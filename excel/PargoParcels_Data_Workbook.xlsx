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KPI Summary" sheetId="2" state="visible" r:id="rId2"/>
    <sheet name="Parcels Sample" sheetId="3" state="visible" r:id="rId3"/>
    <sheet name="Tracking Events Sample" sheetId="4" state="visible" r:id="rId4"/>
    <sheet name="Returns Sample" sheetId="5" state="visible" r:id="rId5"/>
    <sheet name="Monthly Volumes" sheetId="6" state="visible" r:id="rId6"/>
    <sheet name="Retailers" sheetId="7" state="visible" r:id="rId7"/>
    <sheet name="Pickup Points Sample" sheetId="8" state="visible" r:id="rId8"/>
    <sheet name="Customers Sample" sheetId="9" state="visible" r:id="rId9"/>
    <sheet name="Courier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\R#,##0"/>
    <numFmt numFmtId="167" formatCode="\R#,##0.00"/>
    <numFmt numFmtId="168" formatCode="yyyy\-mm\-dd\ hh:mm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  <font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FFFFD5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2" fontId="8" fillId="3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3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2" fontId="8" fillId="3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3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5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2" customWidth="1" style="23" min="2" max="2"/>
    <col width="20" customWidth="1" style="23" min="3" max="3"/>
    <col width="95" customWidth="1" style="23" min="4" max="4"/>
  </cols>
  <sheetData>
    <row r="1" ht="17.35" customHeight="1" s="24">
      <c r="A1" s="25" t="inlineStr">
        <is>
          <t>PargoParcels — Enterprise Analytics Engineering Portfolio</t>
        </is>
      </c>
    </row>
    <row r="2" ht="15" customHeight="1" s="24">
      <c r="A2" s="26" t="inlineStr">
        <is>
          <t>Synthetic SA last-mile logistics dataset | 11.06M rows generated (scales to 220M) | Postgres OLTP -&gt; Snowflake -&gt; dbt</t>
        </is>
      </c>
    </row>
    <row r="3" ht="36" customHeight="1" s="24"/>
    <row r="4" ht="15" customHeight="1" s="24">
      <c r="A4" s="27" t="inlineStr">
        <is>
          <t>This workbook contains representative samples of every table plus a formula-driven KPI summary.</t>
        </is>
      </c>
    </row>
    <row r="6" ht="15" customHeight="1" s="24">
      <c r="A6" s="28" t="n"/>
      <c r="B6" s="28" t="n"/>
      <c r="C6" s="28" t="n"/>
      <c r="D6" s="28" t="n"/>
    </row>
    <row r="7" ht="15" customHeight="1" s="24">
      <c r="A7" s="27" t="inlineStr">
        <is>
          <t>Sheet</t>
        </is>
      </c>
      <c r="B7" s="27" t="inlineStr">
        <is>
          <t>Type</t>
        </is>
      </c>
      <c r="C7" s="27" t="inlineStr">
        <is>
          <t>Rows</t>
        </is>
      </c>
      <c r="D7" s="27" t="inlineStr">
        <is>
          <t>Description</t>
        </is>
      </c>
    </row>
    <row r="8" ht="15" customHeight="1" s="24">
      <c r="A8" s="27" t="inlineStr">
        <is>
          <t>Parcels Sample</t>
        </is>
      </c>
      <c r="B8" s="27" t="inlineStr">
        <is>
          <t>fact</t>
        </is>
      </c>
      <c r="C8" s="27" t="inlineStr">
        <is>
          <t>1,000 of 1,200,931</t>
        </is>
      </c>
      <c r="D8" s="27" t="inlineStr">
        <is>
          <t>Parcel lifecycle w/ milestone timestamps; delivery &amp; dwell hours are live formulas</t>
        </is>
      </c>
    </row>
    <row r="9" ht="15" customHeight="1" s="24">
      <c r="A9" s="27" t="inlineStr">
        <is>
          <t>Tracking Events Sample</t>
        </is>
      </c>
      <c r="B9" s="27" t="inlineStr">
        <is>
          <t>fact</t>
        </is>
      </c>
      <c r="C9" s="27" t="inlineStr">
        <is>
          <t>1,000 of 8,368,335</t>
        </is>
      </c>
      <c r="D9" s="27" t="inlineStr">
        <is>
          <t>Scan-level event log (~7 events per parcel)</t>
        </is>
      </c>
    </row>
    <row r="10" ht="15" customHeight="1" s="24">
      <c r="A10" s="27" t="inlineStr">
        <is>
          <t>Returns Sample</t>
        </is>
      </c>
      <c r="B10" s="27" t="inlineStr">
        <is>
          <t>fact</t>
        </is>
      </c>
      <c r="C10" s="27" t="inlineStr">
        <is>
          <t>500 of 85,769</t>
        </is>
      </c>
      <c r="D10" s="27" t="inlineStr">
        <is>
          <t>Returns w/ reason taxonomy</t>
        </is>
      </c>
    </row>
    <row r="11" ht="15" customHeight="1" s="24">
      <c r="A11" s="27" t="inlineStr">
        <is>
          <t>Monthly Volumes</t>
        </is>
      </c>
      <c r="B11" s="27" t="inlineStr">
        <is>
          <t>aggregate</t>
        </is>
      </c>
      <c r="C11" s="27" t="inlineStr">
        <is>
          <t>36 months</t>
        </is>
      </c>
      <c r="D11" s="27" t="inlineStr">
        <is>
          <t>Network volumes by month; totals are formulas</t>
        </is>
      </c>
    </row>
    <row r="12" ht="15" customHeight="1" s="24">
      <c r="A12" s="27" t="inlineStr">
        <is>
          <t>Retailers</t>
        </is>
      </c>
      <c r="B12" s="27" t="inlineStr">
        <is>
          <t>dimension</t>
        </is>
      </c>
      <c r="C12" s="27" t="inlineStr">
        <is>
          <t>all 150</t>
        </is>
      </c>
      <c r="D12" s="27" t="inlineStr">
        <is>
          <t>Clients incl. Bash, Woolworths, Clicks, Sportscene + tiers and rate cards</t>
        </is>
      </c>
    </row>
    <row r="13" ht="15" customHeight="1" s="24">
      <c r="A13" s="27" t="inlineStr">
        <is>
          <t>Pickup Points Sample</t>
        </is>
      </c>
      <c r="B13" s="27" t="inlineStr">
        <is>
          <t>dimension</t>
        </is>
      </c>
      <c r="C13" s="27" t="inlineStr">
        <is>
          <t>500 of 4,000</t>
        </is>
      </c>
      <c r="D13" s="27" t="inlineStr">
        <is>
          <t>Pargo Point network across all 9 provinces</t>
        </is>
      </c>
    </row>
    <row r="14" ht="15" customHeight="1" s="24">
      <c r="A14" s="27" t="inlineStr">
        <is>
          <t>Customers Sample</t>
        </is>
      </c>
      <c r="B14" s="27" t="inlineStr">
        <is>
          <t>dimension</t>
        </is>
      </c>
      <c r="C14" s="27" t="inlineStr">
        <is>
          <t>500 of 400,000</t>
        </is>
      </c>
      <c r="D14" s="27" t="inlineStr">
        <is>
          <t>Synthetic consumers (PII is fake)</t>
        </is>
      </c>
    </row>
    <row r="15" ht="15" customHeight="1" s="24">
      <c r="A15" s="27" t="inlineStr">
        <is>
          <t>Couriers</t>
        </is>
      </c>
      <c r="B15" s="27" t="inlineStr">
        <is>
          <t>dimension</t>
        </is>
      </c>
      <c r="C15" s="27" t="inlineStr">
        <is>
          <t>all 500</t>
        </is>
      </c>
      <c r="D15" s="27" t="inlineStr">
        <is>
          <t>Courier fleet w/ regions and vehicle types</t>
        </is>
      </c>
    </row>
    <row r="16" ht="15" customHeight="1" s="24">
      <c r="A16" s="23" t="inlineStr">
        <is>
          <t>KPI Summary</t>
        </is>
      </c>
      <c r="B16" s="23" t="inlineStr">
        <is>
          <t>analysis</t>
        </is>
      </c>
      <c r="C16" s="23" t="inlineStr">
        <is>
          <t>—</t>
        </is>
      </c>
      <c r="D16" s="23" t="inlineStr">
        <is>
          <t>Formula-driven KPIs computed from the samples</t>
        </is>
      </c>
    </row>
    <row r="18" ht="36" customHeight="1" s="24">
      <c r="A18" s="46" t="inlineStr">
        <is>
          <t>Data note: This Excel workbook uses representative samples for performance. Full dashboard/eBook figures can differ from workbook sample KPIs; ML metrics use held-out validation data and business impact values are modelled estimates.</t>
        </is>
      </c>
    </row>
  </sheetData>
  <mergeCells count="2">
    <mergeCell ref="A3:F3"/>
    <mergeCell ref="A18:F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3" min="1" max="1"/>
    <col width="20" customWidth="1" style="23" min="2" max="2"/>
  </cols>
  <sheetData>
    <row r="1" ht="17.35" customHeight="1" s="24">
      <c r="A1" s="25" t="inlineStr">
        <is>
          <t>Network KPIs — computed live from 'Parcels Sample' (1,000 parcels)</t>
        </is>
      </c>
    </row>
    <row r="3" ht="15" customHeight="1" s="24">
      <c r="A3" s="28" t="inlineStr">
        <is>
          <t>KPI</t>
        </is>
      </c>
      <c r="B3" s="28" t="inlineStr">
        <is>
          <t>Value</t>
        </is>
      </c>
    </row>
    <row r="4" ht="15" customHeight="1" s="24">
      <c r="A4" s="29" t="inlineStr">
        <is>
          <t>Parcels in sample</t>
        </is>
      </c>
      <c r="B4" s="30">
        <f>COUNTA('Parcels Sample'!A2:A871)</f>
        <v/>
      </c>
    </row>
    <row r="5" ht="15" customHeight="1" s="24">
      <c r="A5" s="31" t="inlineStr">
        <is>
          <t>Avg delivery hours (created → at point)</t>
        </is>
      </c>
      <c r="B5" s="32">
        <f>AVERAGE('Parcels Sample'!Q2:Q871)</f>
        <v/>
      </c>
    </row>
    <row r="6" ht="15" customHeight="1" s="24">
      <c r="A6" s="29" t="inlineStr">
        <is>
          <t>Avg delivery days</t>
        </is>
      </c>
      <c r="B6" s="33">
        <f>AVERAGE('Parcels Sample'!Q2:Q871)/24</f>
        <v/>
      </c>
    </row>
    <row r="7" ht="15" customHeight="1" s="24">
      <c r="A7" s="31" t="inlineStr">
        <is>
          <t>Avg dwell hours (at point → collected)</t>
        </is>
      </c>
      <c r="B7" s="32">
        <f>AVERAGE('Parcels Sample'!R2:R871)</f>
        <v/>
      </c>
    </row>
    <row r="8" ht="15" customHeight="1" s="24">
      <c r="A8" s="29" t="inlineStr">
        <is>
          <t>Delivery success rate</t>
        </is>
      </c>
      <c r="B8" s="34">
        <f>(COUNTIF('Parcels Sample'!K2:K871,"Collected")+COUNTIF('Parcels Sample'!K2:K871,"Damaged"))/COUNTA('Parcels Sample'!K2:K871)</f>
        <v/>
      </c>
    </row>
    <row r="9" ht="15" customHeight="1" s="24">
      <c r="A9" s="31" t="inlineStr">
        <is>
          <t>Returned-to-sender rate</t>
        </is>
      </c>
      <c r="B9" s="35">
        <f>COUNTIF('Parcels Sample'!K2:K871,"ExpiredRTS")/COUNTA('Parcels Sample'!K2:K871)</f>
        <v/>
      </c>
    </row>
    <row r="10" ht="15" customHeight="1" s="24">
      <c r="A10" s="29" t="inlineStr">
        <is>
          <t>48h SLA achievement</t>
        </is>
      </c>
      <c r="B10" s="34">
        <f>COUNTIF('Parcels Sample'!Q2:Q871,"&lt;=48")/COUNT('Parcels Sample'!Q2:Q871)</f>
        <v/>
      </c>
    </row>
    <row r="11" ht="15" customHeight="1" s="24">
      <c r="A11" s="31" t="inlineStr">
        <is>
          <t>Avg parcel value (ZAR)</t>
        </is>
      </c>
      <c r="B11" s="36">
        <f>AVERAGE('Parcels Sample'!N2:N871)</f>
        <v/>
      </c>
    </row>
    <row r="12" ht="15" customHeight="1" s="24">
      <c r="A12" s="29" t="inlineStr">
        <is>
          <t>Avg delivery cost (ZAR)</t>
        </is>
      </c>
      <c r="B12" s="37">
        <f>AVERAGE('Parcels Sample'!P2:P871)</f>
        <v/>
      </c>
    </row>
    <row r="13" ht="15" customHeight="1" s="24">
      <c r="A13" s="31" t="inlineStr">
        <is>
          <t>Total parcels, 36 months (full table)</t>
        </is>
      </c>
      <c r="B13" s="38">
        <f>'Monthly Volumes'!B38</f>
        <v/>
      </c>
    </row>
    <row r="14" ht="15" customHeight="1" s="24">
      <c r="A14" s="29" t="inlineStr">
        <is>
          <t>Network avg delivery hours (full table)</t>
        </is>
      </c>
      <c r="B14" s="39">
        <f>'Monthly Volumes'!C38</f>
        <v/>
      </c>
    </row>
    <row r="16" ht="15" customHeight="1" s="24">
      <c r="A16" s="40" t="inlineStr">
        <is>
          <t>Note: sample-based KPIs will differ slightly from full-table figures shown in the eBook.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8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13" customWidth="1" style="23" min="2" max="2"/>
    <col width="12" customWidth="1" style="23" min="3" max="5"/>
    <col width="26" customWidth="1" style="23" min="6" max="10"/>
    <col width="12" customWidth="1" style="23" min="11" max="12"/>
    <col width="15" customWidth="1" style="23" min="13" max="13"/>
    <col width="12" customWidth="1" style="23" min="14" max="16"/>
  </cols>
  <sheetData>
    <row r="1" ht="15" customHeight="1" s="24">
      <c r="A1" s="28" t="inlineStr">
        <is>
          <t>parcel_id</t>
        </is>
      </c>
      <c r="B1" s="28" t="inlineStr">
        <is>
          <t>waybill_number</t>
        </is>
      </c>
      <c r="C1" s="28" t="inlineStr">
        <is>
          <t>retailer_id</t>
        </is>
      </c>
      <c r="D1" s="28" t="inlineStr">
        <is>
          <t>pickup_point_id</t>
        </is>
      </c>
      <c r="E1" s="28" t="inlineStr">
        <is>
          <t>courier_id</t>
        </is>
      </c>
      <c r="F1" s="28" t="inlineStr">
        <is>
          <t>created_at</t>
        </is>
      </c>
      <c r="G1" s="28" t="inlineStr">
        <is>
          <t>dispatched_at</t>
        </is>
      </c>
      <c r="H1" s="28" t="inlineStr">
        <is>
          <t>arrived_at_point_at</t>
        </is>
      </c>
      <c r="I1" s="28" t="inlineStr">
        <is>
          <t>notified_at</t>
        </is>
      </c>
      <c r="J1" s="28" t="inlineStr">
        <is>
          <t>collected_at</t>
        </is>
      </c>
      <c r="K1" s="28" t="inlineStr">
        <is>
          <t>parcel_status</t>
        </is>
      </c>
      <c r="L1" s="28" t="inlineStr">
        <is>
          <t>service_type</t>
        </is>
      </c>
      <c r="M1" s="28" t="inlineStr">
        <is>
          <t>province</t>
        </is>
      </c>
      <c r="N1" s="28" t="inlineStr">
        <is>
          <t>parcel_value_zar</t>
        </is>
      </c>
      <c r="O1" s="28" t="inlineStr">
        <is>
          <t>parcel_weight_kg</t>
        </is>
      </c>
      <c r="P1" s="28" t="inlineStr">
        <is>
          <t>delivery_cost_zar</t>
        </is>
      </c>
      <c r="Q1" s="28" t="inlineStr">
        <is>
          <t>delivery_hours</t>
        </is>
      </c>
      <c r="R1" s="28" t="inlineStr">
        <is>
          <t>dwell_hours</t>
        </is>
      </c>
    </row>
    <row r="2" ht="15" customHeight="1" s="24">
      <c r="A2" s="27" t="n">
        <v>2012</v>
      </c>
      <c r="B2" s="27" t="inlineStr">
        <is>
          <t>PGO10002012</t>
        </is>
      </c>
      <c r="C2" s="27" t="n">
        <v>97</v>
      </c>
      <c r="D2" s="27" t="n">
        <v>2293</v>
      </c>
      <c r="E2" s="27" t="n">
        <v>420</v>
      </c>
      <c r="F2" s="41" t="n">
        <v>45110.22274289352</v>
      </c>
      <c r="G2" s="41" t="n">
        <v>45110.50674273148</v>
      </c>
      <c r="H2" s="41" t="n">
        <v>45111.1408503588</v>
      </c>
      <c r="I2" s="41" t="n">
        <v>45111.17551931713</v>
      </c>
      <c r="J2" s="41" t="n">
        <v>45112.73043767361</v>
      </c>
      <c r="K2" s="27" t="inlineStr">
        <is>
          <t>Collected</t>
        </is>
      </c>
      <c r="L2" s="27" t="inlineStr">
        <is>
          <t>Standard</t>
        </is>
      </c>
      <c r="M2" s="27" t="inlineStr">
        <is>
          <t>Gauteng</t>
        </is>
      </c>
      <c r="N2" s="27" t="n">
        <v>604.66</v>
      </c>
      <c r="O2" s="27" t="n">
        <v>0.64</v>
      </c>
      <c r="P2" s="27" t="n">
        <v>47.32</v>
      </c>
      <c r="Q2" s="42">
        <f>IF(H2="","",(H2-F2)*24)</f>
        <v/>
      </c>
      <c r="R2" s="42">
        <f>IF(J2="","",(J2-H2)*24)</f>
        <v/>
      </c>
    </row>
    <row r="3" ht="15" customHeight="1" s="24">
      <c r="A3" s="27" t="n">
        <v>13776</v>
      </c>
      <c r="B3" s="27" t="inlineStr">
        <is>
          <t>PGO10013776</t>
        </is>
      </c>
      <c r="C3" s="27" t="n">
        <v>5</v>
      </c>
      <c r="D3" s="27" t="n">
        <v>2997</v>
      </c>
      <c r="E3" s="27" t="n">
        <v>446</v>
      </c>
      <c r="F3" s="41" t="n">
        <v>45110.36177158565</v>
      </c>
      <c r="G3" s="41" t="n">
        <v>45110.3947377662</v>
      </c>
      <c r="H3" s="41" t="n">
        <v>45111.13771767361</v>
      </c>
      <c r="I3" s="41" t="n">
        <v>45111.14231065972</v>
      </c>
      <c r="J3" s="41" t="n">
        <v>45116.35655247685</v>
      </c>
      <c r="K3" s="27" t="inlineStr">
        <is>
          <t>Collected</t>
        </is>
      </c>
      <c r="L3" s="27" t="inlineStr">
        <is>
          <t>Standard</t>
        </is>
      </c>
      <c r="M3" s="27" t="inlineStr">
        <is>
          <t>Gauteng</t>
        </is>
      </c>
      <c r="N3" s="27" t="n">
        <v>339.62</v>
      </c>
      <c r="O3" s="27" t="n">
        <v>2.5</v>
      </c>
      <c r="P3" s="27" t="n">
        <v>57.42</v>
      </c>
      <c r="Q3" s="42">
        <f>IF(H3="","",(H3-F3)*24)</f>
        <v/>
      </c>
      <c r="R3" s="42">
        <f>IF(J3="","",(J3-H3)*24)</f>
        <v/>
      </c>
    </row>
    <row r="4" ht="15" customHeight="1" s="24">
      <c r="A4" s="27" t="n">
        <v>18742</v>
      </c>
      <c r="B4" s="27" t="inlineStr">
        <is>
          <t>PGO10018742</t>
        </is>
      </c>
      <c r="C4" s="27" t="n">
        <v>4</v>
      </c>
      <c r="D4" s="27" t="n">
        <v>1830</v>
      </c>
      <c r="E4" s="27" t="n">
        <v>108</v>
      </c>
      <c r="F4" s="41" t="n">
        <v>45110.96302578704</v>
      </c>
      <c r="G4" s="41" t="n">
        <v>45111.45974076389</v>
      </c>
      <c r="H4" s="41" t="n">
        <v>45112.6058375</v>
      </c>
      <c r="I4" s="41" t="n">
        <v>45112.64840873842</v>
      </c>
      <c r="J4" s="41" t="n">
        <v>45113.96743828704</v>
      </c>
      <c r="K4" s="27" t="inlineStr">
        <is>
          <t>Collected</t>
        </is>
      </c>
      <c r="L4" s="27" t="inlineStr">
        <is>
          <t>Standard</t>
        </is>
      </c>
      <c r="M4" s="27" t="inlineStr">
        <is>
          <t>North West</t>
        </is>
      </c>
      <c r="N4" s="27" t="n">
        <v>459.4</v>
      </c>
      <c r="O4" s="27" t="n">
        <v>1.2</v>
      </c>
      <c r="P4" s="27" t="n">
        <v>41.31</v>
      </c>
      <c r="Q4" s="42">
        <f>IF(H4="","",(H4-F4)*24)</f>
        <v/>
      </c>
      <c r="R4" s="42">
        <f>IF(J4="","",(J4-H4)*24)</f>
        <v/>
      </c>
    </row>
    <row r="5" ht="15" customHeight="1" s="24">
      <c r="A5" s="27" t="n">
        <v>6856</v>
      </c>
      <c r="B5" s="27" t="inlineStr">
        <is>
          <t>PGO10006856</t>
        </is>
      </c>
      <c r="C5" s="27" t="n">
        <v>68</v>
      </c>
      <c r="D5" s="27" t="n">
        <v>3651</v>
      </c>
      <c r="E5" s="27" t="n">
        <v>313</v>
      </c>
      <c r="F5" s="41" t="n">
        <v>45115.71122048611</v>
      </c>
      <c r="G5" s="41" t="n">
        <v>45115.85208866898</v>
      </c>
      <c r="H5" s="41" t="n">
        <v>45116.69105888889</v>
      </c>
      <c r="I5" s="41" t="n">
        <v>45116.74837173611</v>
      </c>
      <c r="J5" s="41" t="n">
        <v>45117.10858140046</v>
      </c>
      <c r="K5" s="27" t="inlineStr">
        <is>
          <t>Collected</t>
        </is>
      </c>
      <c r="L5" s="27" t="inlineStr">
        <is>
          <t>Express</t>
        </is>
      </c>
      <c r="M5" s="27" t="inlineStr">
        <is>
          <t>Gauteng</t>
        </is>
      </c>
      <c r="N5" s="27" t="n">
        <v>244.26</v>
      </c>
      <c r="O5" s="27" t="n">
        <v>1.98</v>
      </c>
      <c r="P5" s="27" t="n">
        <v>60.35</v>
      </c>
      <c r="Q5" s="42">
        <f>IF(H5="","",(H5-F5)*24)</f>
        <v/>
      </c>
      <c r="R5" s="42">
        <f>IF(J5="","",(J5-H5)*24)</f>
        <v/>
      </c>
    </row>
    <row r="6" ht="15" customHeight="1" s="24">
      <c r="A6" s="27" t="n">
        <v>14457</v>
      </c>
      <c r="B6" s="27" t="inlineStr">
        <is>
          <t>PGO10014457</t>
        </is>
      </c>
      <c r="C6" s="27" t="n">
        <v>6</v>
      </c>
      <c r="D6" s="27" t="n">
        <v>3554</v>
      </c>
      <c r="E6" s="27" t="n">
        <v>383</v>
      </c>
      <c r="F6" s="41" t="n">
        <v>45116.91537509259</v>
      </c>
      <c r="G6" s="41" t="n">
        <v>45117.21077237269</v>
      </c>
      <c r="H6" s="41" t="n">
        <v>45118.01544446759</v>
      </c>
      <c r="I6" s="41" t="n">
        <v>45118.03918795139</v>
      </c>
      <c r="J6" s="41" t="n">
        <v>45118.39336310185</v>
      </c>
      <c r="K6" s="27" t="inlineStr">
        <is>
          <t>Collected</t>
        </is>
      </c>
      <c r="L6" s="27" t="inlineStr">
        <is>
          <t>Standard</t>
        </is>
      </c>
      <c r="M6" s="27" t="inlineStr">
        <is>
          <t>Gauteng</t>
        </is>
      </c>
      <c r="N6" s="27" t="n">
        <v>129.32</v>
      </c>
      <c r="O6" s="27" t="n">
        <v>1.33</v>
      </c>
      <c r="P6" s="27" t="n">
        <v>41.15</v>
      </c>
      <c r="Q6" s="42">
        <f>IF(H6="","",(H6-F6)*24)</f>
        <v/>
      </c>
      <c r="R6" s="42">
        <f>IF(J6="","",(J6-H6)*24)</f>
        <v/>
      </c>
    </row>
    <row r="7" ht="15" customHeight="1" s="24">
      <c r="A7" s="27" t="n">
        <v>22191</v>
      </c>
      <c r="B7" s="27" t="inlineStr">
        <is>
          <t>PGO10022191</t>
        </is>
      </c>
      <c r="C7" s="27" t="n">
        <v>43</v>
      </c>
      <c r="D7" s="27" t="n">
        <v>1216</v>
      </c>
      <c r="E7" s="27" t="n">
        <v>155</v>
      </c>
      <c r="F7" s="41" t="n">
        <v>45118.31631681713</v>
      </c>
      <c r="G7" s="41" t="n">
        <v>45118.54537858797</v>
      </c>
      <c r="H7" s="41" t="n">
        <v>45119.56847493056</v>
      </c>
      <c r="I7" s="41" t="n">
        <v>45119.62098212963</v>
      </c>
      <c r="J7" s="41" t="n">
        <v>45121.48594575231</v>
      </c>
      <c r="K7" s="27" t="inlineStr">
        <is>
          <t>Collected</t>
        </is>
      </c>
      <c r="L7" s="27" t="inlineStr">
        <is>
          <t>Standard</t>
        </is>
      </c>
      <c r="M7" s="27" t="inlineStr">
        <is>
          <t>Western Cape</t>
        </is>
      </c>
      <c r="N7" s="27" t="n">
        <v>62.69</v>
      </c>
      <c r="O7" s="27" t="n">
        <v>5.91</v>
      </c>
      <c r="P7" s="27" t="n">
        <v>73.95</v>
      </c>
      <c r="Q7" s="42">
        <f>IF(H7="","",(H7-F7)*24)</f>
        <v/>
      </c>
      <c r="R7" s="42">
        <f>IF(J7="","",(J7-H7)*24)</f>
        <v/>
      </c>
    </row>
    <row r="8" ht="15" customHeight="1" s="24">
      <c r="A8" s="27" t="n">
        <v>1650</v>
      </c>
      <c r="B8" s="27" t="inlineStr">
        <is>
          <t>PGO10001650</t>
        </is>
      </c>
      <c r="C8" s="27" t="n">
        <v>30</v>
      </c>
      <c r="D8" s="27" t="n">
        <v>3609</v>
      </c>
      <c r="E8" s="27" t="n">
        <v>147</v>
      </c>
      <c r="F8" s="41" t="n">
        <v>45120.9513766088</v>
      </c>
      <c r="G8" s="41" t="n">
        <v>45121.42205212963</v>
      </c>
      <c r="H8" s="41" t="n">
        <v>45122.54291722222</v>
      </c>
      <c r="I8" s="41" t="n">
        <v>45122.58072645833</v>
      </c>
      <c r="J8" s="41" t="n">
        <v>45123.07840414352</v>
      </c>
      <c r="K8" s="27" t="inlineStr">
        <is>
          <t>Collected</t>
        </is>
      </c>
      <c r="L8" s="27" t="inlineStr">
        <is>
          <t>Standard</t>
        </is>
      </c>
      <c r="M8" s="27" t="inlineStr">
        <is>
          <t>Mpumalanga</t>
        </is>
      </c>
      <c r="N8" s="27" t="n">
        <v>170.54</v>
      </c>
      <c r="O8" s="27" t="n">
        <v>0.89</v>
      </c>
      <c r="P8" s="27" t="n">
        <v>69.13</v>
      </c>
      <c r="Q8" s="42">
        <f>IF(H8="","",(H8-F8)*24)</f>
        <v/>
      </c>
      <c r="R8" s="42">
        <f>IF(J8="","",(J8-H8)*24)</f>
        <v/>
      </c>
    </row>
    <row r="9" ht="15" customHeight="1" s="24">
      <c r="A9" s="27" t="n">
        <v>9376</v>
      </c>
      <c r="B9" s="27" t="inlineStr">
        <is>
          <t>PGO10009376</t>
        </is>
      </c>
      <c r="C9" s="27" t="n">
        <v>13</v>
      </c>
      <c r="D9" s="27" t="n">
        <v>2679</v>
      </c>
      <c r="E9" s="27" t="n">
        <v>109</v>
      </c>
      <c r="F9" s="41" t="n">
        <v>45123.00018626158</v>
      </c>
      <c r="G9" s="41" t="n">
        <v>45123.82259659722</v>
      </c>
      <c r="H9" s="41" t="n">
        <v>45124.50527984954</v>
      </c>
      <c r="I9" s="41" t="n">
        <v>45124.52279325231</v>
      </c>
      <c r="J9" s="41" t="n">
        <v>45125.91886297454</v>
      </c>
      <c r="K9" s="27" t="inlineStr">
        <is>
          <t>Collected</t>
        </is>
      </c>
      <c r="L9" s="27" t="inlineStr">
        <is>
          <t>Standard</t>
        </is>
      </c>
      <c r="M9" s="27" t="inlineStr">
        <is>
          <t>Gauteng</t>
        </is>
      </c>
      <c r="N9" s="27" t="n">
        <v>366.6</v>
      </c>
      <c r="O9" s="27" t="n">
        <v>0.57</v>
      </c>
      <c r="P9" s="27" t="n">
        <v>68.15000000000001</v>
      </c>
      <c r="Q9" s="42">
        <f>IF(H9="","",(H9-F9)*24)</f>
        <v/>
      </c>
      <c r="R9" s="42">
        <f>IF(J9="","",(J9-H9)*24)</f>
        <v/>
      </c>
    </row>
    <row r="10" ht="15" customHeight="1" s="24">
      <c r="A10" s="27" t="n">
        <v>16860</v>
      </c>
      <c r="B10" s="27" t="inlineStr">
        <is>
          <t>PGO10016860</t>
        </is>
      </c>
      <c r="C10" s="27" t="n">
        <v>17</v>
      </c>
      <c r="D10" s="27" t="n">
        <v>1894</v>
      </c>
      <c r="E10" s="27" t="n">
        <v>217</v>
      </c>
      <c r="F10" s="41" t="n">
        <v>45125.24634394676</v>
      </c>
      <c r="G10" s="41" t="n">
        <v>45125.64091423611</v>
      </c>
      <c r="H10" s="41" t="n">
        <v>45126.7097030787</v>
      </c>
      <c r="I10" s="41" t="n">
        <v>45126.7199078125</v>
      </c>
      <c r="J10" s="41" t="n">
        <v>45128.05943556713</v>
      </c>
      <c r="K10" s="27" t="inlineStr">
        <is>
          <t>Collected</t>
        </is>
      </c>
      <c r="L10" s="27" t="inlineStr">
        <is>
          <t>Standard</t>
        </is>
      </c>
      <c r="M10" s="27" t="inlineStr">
        <is>
          <t>KwaZulu-Natal</t>
        </is>
      </c>
      <c r="N10" s="27" t="n">
        <v>156.6</v>
      </c>
      <c r="O10" s="27" t="n">
        <v>5.8</v>
      </c>
      <c r="P10" s="27" t="n">
        <v>78.90000000000001</v>
      </c>
      <c r="Q10" s="42">
        <f>IF(H10="","",(H10-F10)*24)</f>
        <v/>
      </c>
      <c r="R10" s="42">
        <f>IF(J10="","",(J10-H10)*24)</f>
        <v/>
      </c>
    </row>
    <row r="11" ht="15" customHeight="1" s="24">
      <c r="A11" s="27" t="n">
        <v>17093</v>
      </c>
      <c r="B11" s="27" t="inlineStr">
        <is>
          <t>PGO10017093</t>
        </is>
      </c>
      <c r="C11" s="27" t="n">
        <v>47</v>
      </c>
      <c r="D11" s="27" t="n">
        <v>1190</v>
      </c>
      <c r="E11" s="27" t="n">
        <v>318</v>
      </c>
      <c r="F11" s="41" t="n">
        <v>45125.51845697917</v>
      </c>
      <c r="G11" s="41" t="n">
        <v>45125.69756380787</v>
      </c>
      <c r="H11" s="41" t="n">
        <v>45126.13071267361</v>
      </c>
      <c r="I11" s="41" t="n">
        <v>45126.149125625</v>
      </c>
      <c r="J11" s="41" t="n">
        <v>45127.50838204861</v>
      </c>
      <c r="K11" s="27" t="inlineStr">
        <is>
          <t>Collected</t>
        </is>
      </c>
      <c r="L11" s="27" t="inlineStr">
        <is>
          <t>Standard</t>
        </is>
      </c>
      <c r="M11" s="27" t="inlineStr">
        <is>
          <t>Limpopo</t>
        </is>
      </c>
      <c r="N11" s="27" t="n">
        <v>239.97</v>
      </c>
      <c r="O11" s="27" t="n">
        <v>0.5</v>
      </c>
      <c r="P11" s="27" t="n">
        <v>51.6</v>
      </c>
      <c r="Q11" s="42">
        <f>IF(H11="","",(H11-F11)*24)</f>
        <v/>
      </c>
      <c r="R11" s="42">
        <f>IF(J11="","",(J11-H11)*24)</f>
        <v/>
      </c>
    </row>
    <row r="12" ht="15" customHeight="1" s="24">
      <c r="A12" s="27" t="n">
        <v>4121</v>
      </c>
      <c r="B12" s="27" t="inlineStr">
        <is>
          <t>PGO10004121</t>
        </is>
      </c>
      <c r="C12" s="27" t="n">
        <v>3</v>
      </c>
      <c r="D12" s="27" t="n">
        <v>2698</v>
      </c>
      <c r="E12" s="27" t="n">
        <v>94</v>
      </c>
      <c r="F12" s="41" t="n">
        <v>45127.60576349537</v>
      </c>
      <c r="G12" s="41" t="n">
        <v>45127.70102327546</v>
      </c>
      <c r="H12" s="41" t="n">
        <v>45128.29293097222</v>
      </c>
      <c r="I12" s="41" t="n">
        <v>45128.35166579861</v>
      </c>
      <c r="J12" s="41" t="n">
        <v>45131.80107695602</v>
      </c>
      <c r="K12" s="27" t="inlineStr">
        <is>
          <t>Collected</t>
        </is>
      </c>
      <c r="L12" s="27" t="inlineStr">
        <is>
          <t>Standard</t>
        </is>
      </c>
      <c r="M12" s="27" t="inlineStr">
        <is>
          <t>KwaZulu-Natal</t>
        </is>
      </c>
      <c r="N12" s="27" t="n">
        <v>65.79000000000001</v>
      </c>
      <c r="O12" s="27" t="n">
        <v>2.12</v>
      </c>
      <c r="P12" s="27" t="n">
        <v>40.45</v>
      </c>
      <c r="Q12" s="42">
        <f>IF(H12="","",(H12-F12)*24)</f>
        <v/>
      </c>
      <c r="R12" s="42">
        <f>IF(J12="","",(J12-H12)*24)</f>
        <v/>
      </c>
    </row>
    <row r="13" ht="15" customHeight="1" s="24">
      <c r="A13" s="27" t="n">
        <v>13693</v>
      </c>
      <c r="B13" s="27" t="inlineStr">
        <is>
          <t>PGO10013693</t>
        </is>
      </c>
      <c r="C13" s="27" t="n">
        <v>141</v>
      </c>
      <c r="D13" s="27" t="n">
        <v>1526</v>
      </c>
      <c r="E13" s="27" t="n">
        <v>381</v>
      </c>
      <c r="F13" s="41" t="n">
        <v>45128.14564453703</v>
      </c>
      <c r="G13" s="41" t="n">
        <v>45128.41525674768</v>
      </c>
      <c r="H13" s="41" t="n">
        <v>45129.14417936343</v>
      </c>
      <c r="I13" s="41" t="n">
        <v>45129.19197479167</v>
      </c>
      <c r="J13" s="41" t="n">
        <v>45130.417964375</v>
      </c>
      <c r="K13" s="27" t="inlineStr">
        <is>
          <t>Collected</t>
        </is>
      </c>
      <c r="L13" s="27" t="inlineStr">
        <is>
          <t>Standard</t>
        </is>
      </c>
      <c r="M13" s="27" t="inlineStr">
        <is>
          <t>North West</t>
        </is>
      </c>
      <c r="N13" s="27" t="n">
        <v>158.37</v>
      </c>
      <c r="O13" s="27" t="n">
        <v>0.84</v>
      </c>
      <c r="P13" s="27" t="n">
        <v>57.41</v>
      </c>
      <c r="Q13" s="42">
        <f>IF(H13="","",(H13-F13)*24)</f>
        <v/>
      </c>
      <c r="R13" s="42">
        <f>IF(J13="","",(J13-H13)*24)</f>
        <v/>
      </c>
    </row>
    <row r="14" ht="15" customHeight="1" s="24">
      <c r="A14" s="27" t="n">
        <v>1569</v>
      </c>
      <c r="B14" s="27" t="inlineStr">
        <is>
          <t>PGO10001569</t>
        </is>
      </c>
      <c r="C14" s="27" t="n">
        <v>5</v>
      </c>
      <c r="D14" s="27" t="n">
        <v>3131</v>
      </c>
      <c r="E14" s="27" t="n">
        <v>50</v>
      </c>
      <c r="F14" s="41" t="n">
        <v>45128.3128696875</v>
      </c>
      <c r="G14" s="41" t="n">
        <v>45128.43928755787</v>
      </c>
      <c r="H14" s="41" t="n">
        <v>45129.31421086805</v>
      </c>
      <c r="I14" s="41" t="n">
        <v>45129.33974054398</v>
      </c>
      <c r="J14" s="41" t="n">
        <v>45131.15241909722</v>
      </c>
      <c r="K14" s="27" t="inlineStr">
        <is>
          <t>Collected</t>
        </is>
      </c>
      <c r="L14" s="27" t="inlineStr">
        <is>
          <t>Standard</t>
        </is>
      </c>
      <c r="M14" s="27" t="inlineStr">
        <is>
          <t>Western Cape</t>
        </is>
      </c>
      <c r="N14" s="27" t="n">
        <v>184.1</v>
      </c>
      <c r="O14" s="27" t="n">
        <v>0.32</v>
      </c>
      <c r="P14" s="27" t="n">
        <v>55.98</v>
      </c>
      <c r="Q14" s="42">
        <f>IF(H14="","",(H14-F14)*24)</f>
        <v/>
      </c>
      <c r="R14" s="42">
        <f>IF(J14="","",(J14-H14)*24)</f>
        <v/>
      </c>
    </row>
    <row r="15" ht="15" customHeight="1" s="24">
      <c r="A15" s="27" t="n">
        <v>11002</v>
      </c>
      <c r="B15" s="27" t="inlineStr">
        <is>
          <t>PGO10011002</t>
        </is>
      </c>
      <c r="C15" s="27" t="n">
        <v>17</v>
      </c>
      <c r="D15" s="27" t="n">
        <v>267</v>
      </c>
      <c r="E15" s="27" t="n">
        <v>472</v>
      </c>
      <c r="F15" s="41" t="n">
        <v>45128.69968532407</v>
      </c>
      <c r="G15" s="41" t="n">
        <v>45129.01719796296</v>
      </c>
      <c r="H15" s="41" t="n">
        <v>45130.04758104167</v>
      </c>
      <c r="I15" s="41" t="n">
        <v>45130.05226991898</v>
      </c>
      <c r="J15" s="41" t="n">
        <v>45132.47205325231</v>
      </c>
      <c r="K15" s="27" t="inlineStr">
        <is>
          <t>Collected</t>
        </is>
      </c>
      <c r="L15" s="27" t="inlineStr">
        <is>
          <t>Standard</t>
        </is>
      </c>
      <c r="M15" s="27" t="inlineStr">
        <is>
          <t>KwaZulu-Natal</t>
        </is>
      </c>
      <c r="N15" s="27" t="n">
        <v>297.63</v>
      </c>
      <c r="O15" s="27" t="n">
        <v>0.5</v>
      </c>
      <c r="P15" s="27" t="n">
        <v>54.73</v>
      </c>
      <c r="Q15" s="42">
        <f>IF(H15="","",(H15-F15)*24)</f>
        <v/>
      </c>
      <c r="R15" s="42">
        <f>IF(J15="","",(J15-H15)*24)</f>
        <v/>
      </c>
    </row>
    <row r="16" ht="15" customHeight="1" s="24">
      <c r="A16" s="27" t="n">
        <v>6481</v>
      </c>
      <c r="B16" s="27" t="inlineStr">
        <is>
          <t>PGO10006481</t>
        </is>
      </c>
      <c r="C16" s="27" t="n">
        <v>1</v>
      </c>
      <c r="D16" s="27" t="n">
        <v>3272</v>
      </c>
      <c r="E16" s="27" t="n">
        <v>43</v>
      </c>
      <c r="F16" s="41" t="n">
        <v>45129.26981181713</v>
      </c>
      <c r="G16" s="41" t="n">
        <v>45129.80363502315</v>
      </c>
      <c r="H16" s="41" t="n">
        <v>45130.31614394676</v>
      </c>
      <c r="I16" s="41" t="n">
        <v>45130.37573087963</v>
      </c>
      <c r="J16" s="41" t="n">
        <v>45132.66862734954</v>
      </c>
      <c r="K16" s="27" t="inlineStr">
        <is>
          <t>Collected</t>
        </is>
      </c>
      <c r="L16" s="27" t="inlineStr">
        <is>
          <t>Express</t>
        </is>
      </c>
      <c r="M16" s="27" t="inlineStr">
        <is>
          <t>KwaZulu-Natal</t>
        </is>
      </c>
      <c r="N16" s="27" t="n">
        <v>3866.98</v>
      </c>
      <c r="O16" s="27" t="n">
        <v>5.29</v>
      </c>
      <c r="P16" s="27" t="n">
        <v>66.45</v>
      </c>
      <c r="Q16" s="42">
        <f>IF(H16="","",(H16-F16)*24)</f>
        <v/>
      </c>
      <c r="R16" s="42">
        <f>IF(J16="","",(J16-H16)*24)</f>
        <v/>
      </c>
    </row>
    <row r="17" ht="15" customHeight="1" s="24">
      <c r="A17" s="27" t="n">
        <v>14509</v>
      </c>
      <c r="B17" s="27" t="inlineStr">
        <is>
          <t>PGO10014509</t>
        </is>
      </c>
      <c r="C17" s="27" t="n">
        <v>2</v>
      </c>
      <c r="D17" s="27" t="n">
        <v>907</v>
      </c>
      <c r="E17" s="27" t="n">
        <v>246</v>
      </c>
      <c r="F17" s="41" t="n">
        <v>45133.06190893518</v>
      </c>
      <c r="G17" s="41" t="n">
        <v>45133.33578238426</v>
      </c>
      <c r="H17" s="41" t="n">
        <v>45133.73755923611</v>
      </c>
      <c r="I17" s="41" t="n">
        <v>45133.75315363426</v>
      </c>
      <c r="J17" s="41" t="n">
        <v>45137.32523465278</v>
      </c>
      <c r="K17" s="27" t="inlineStr">
        <is>
          <t>Collected</t>
        </is>
      </c>
      <c r="L17" s="27" t="inlineStr">
        <is>
          <t>Standard</t>
        </is>
      </c>
      <c r="M17" s="27" t="inlineStr">
        <is>
          <t>KwaZulu-Natal</t>
        </is>
      </c>
      <c r="N17" s="27" t="n">
        <v>263.95</v>
      </c>
      <c r="O17" s="27" t="n">
        <v>1.52</v>
      </c>
      <c r="P17" s="27" t="n">
        <v>47.9</v>
      </c>
      <c r="Q17" s="42">
        <f>IF(H17="","",(H17-F17)*24)</f>
        <v/>
      </c>
      <c r="R17" s="42">
        <f>IF(J17="","",(J17-H17)*24)</f>
        <v/>
      </c>
    </row>
    <row r="18" ht="15" customHeight="1" s="24">
      <c r="A18" s="27" t="n">
        <v>17801</v>
      </c>
      <c r="B18" s="27" t="inlineStr">
        <is>
          <t>PGO10017801</t>
        </is>
      </c>
      <c r="C18" s="27" t="n">
        <v>2</v>
      </c>
      <c r="D18" s="27" t="n">
        <v>3988</v>
      </c>
      <c r="E18" s="27" t="n">
        <v>124</v>
      </c>
      <c r="F18" s="41" t="n">
        <v>45136.3522384838</v>
      </c>
      <c r="G18" s="41" t="n">
        <v>45136.77891589121</v>
      </c>
      <c r="H18" s="41" t="n">
        <v>45137.81539032407</v>
      </c>
      <c r="I18" s="41" t="n">
        <v>45137.84262913194</v>
      </c>
      <c r="J18" s="41" t="n">
        <v>45139.24076418982</v>
      </c>
      <c r="K18" s="27" t="inlineStr">
        <is>
          <t>Collected</t>
        </is>
      </c>
      <c r="L18" s="27" t="inlineStr">
        <is>
          <t>Return-to-Retailer</t>
        </is>
      </c>
      <c r="M18" s="27" t="inlineStr">
        <is>
          <t>Mpumalanga</t>
        </is>
      </c>
      <c r="N18" s="27" t="n">
        <v>272.54</v>
      </c>
      <c r="O18" s="27" t="n">
        <v>1.69</v>
      </c>
      <c r="P18" s="27" t="n">
        <v>51.13</v>
      </c>
      <c r="Q18" s="42">
        <f>IF(H18="","",(H18-F18)*24)</f>
        <v/>
      </c>
      <c r="R18" s="42">
        <f>IF(J18="","",(J18-H18)*24)</f>
        <v/>
      </c>
    </row>
    <row r="19" ht="15" customHeight="1" s="24">
      <c r="A19" s="27" t="n">
        <v>17585</v>
      </c>
      <c r="B19" s="27" t="inlineStr">
        <is>
          <t>PGO10017585</t>
        </is>
      </c>
      <c r="C19" s="27" t="n">
        <v>4</v>
      </c>
      <c r="D19" s="27" t="n">
        <v>2452</v>
      </c>
      <c r="E19" s="27" t="n">
        <v>194</v>
      </c>
      <c r="F19" s="41" t="n">
        <v>45137.90602043981</v>
      </c>
      <c r="G19" s="41" t="n">
        <v>45137.92217190972</v>
      </c>
      <c r="H19" s="41" t="n">
        <v>45138.72410836806</v>
      </c>
      <c r="I19" s="41" t="n">
        <v>45138.75131402778</v>
      </c>
      <c r="J19" s="41" t="n">
        <v>45139.64634542824</v>
      </c>
      <c r="K19" s="27" t="inlineStr">
        <is>
          <t>Collected</t>
        </is>
      </c>
      <c r="L19" s="27" t="inlineStr">
        <is>
          <t>Standard</t>
        </is>
      </c>
      <c r="M19" s="27" t="inlineStr">
        <is>
          <t>Eastern Cape</t>
        </is>
      </c>
      <c r="N19" s="27" t="n">
        <v>203.52</v>
      </c>
      <c r="O19" s="27" t="n">
        <v>0.55</v>
      </c>
      <c r="P19" s="27" t="n">
        <v>44.97</v>
      </c>
      <c r="Q19" s="42">
        <f>IF(H19="","",(H19-F19)*24)</f>
        <v/>
      </c>
      <c r="R19" s="42">
        <f>IF(J19="","",(J19-H19)*24)</f>
        <v/>
      </c>
    </row>
    <row r="20" ht="15" customHeight="1" s="24">
      <c r="A20" s="27" t="n">
        <v>14291</v>
      </c>
      <c r="B20" s="27" t="inlineStr">
        <is>
          <t>PGO10014291</t>
        </is>
      </c>
      <c r="C20" s="27" t="n">
        <v>31</v>
      </c>
      <c r="D20" s="27" t="n">
        <v>1156</v>
      </c>
      <c r="E20" s="27" t="n">
        <v>95</v>
      </c>
      <c r="F20" s="41" t="n">
        <v>45138.65287226852</v>
      </c>
      <c r="G20" s="41" t="n">
        <v>45138.79832391204</v>
      </c>
      <c r="H20" s="41" t="n">
        <v>45139.62934420139</v>
      </c>
      <c r="I20" s="41" t="n">
        <v>45139.66915344907</v>
      </c>
      <c r="J20" s="41" t="n">
        <v>45142.66352402778</v>
      </c>
      <c r="K20" s="27" t="inlineStr">
        <is>
          <t>Collected</t>
        </is>
      </c>
      <c r="L20" s="27" t="inlineStr">
        <is>
          <t>Standard</t>
        </is>
      </c>
      <c r="M20" s="27" t="inlineStr">
        <is>
          <t>Eastern Cape</t>
        </is>
      </c>
      <c r="N20" s="27" t="n">
        <v>395.18</v>
      </c>
      <c r="O20" s="27" t="n">
        <v>2.86</v>
      </c>
      <c r="P20" s="27" t="n">
        <v>56.05</v>
      </c>
      <c r="Q20" s="42">
        <f>IF(H20="","",(H20-F20)*24)</f>
        <v/>
      </c>
      <c r="R20" s="42">
        <f>IF(J20="","",(J20-H20)*24)</f>
        <v/>
      </c>
    </row>
    <row r="21" ht="15" customHeight="1" s="24">
      <c r="A21" s="27" t="n">
        <v>44944</v>
      </c>
      <c r="B21" s="27" t="inlineStr">
        <is>
          <t>PGO10044944</t>
        </is>
      </c>
      <c r="C21" s="27" t="n">
        <v>3</v>
      </c>
      <c r="D21" s="27" t="n">
        <v>3772</v>
      </c>
      <c r="E21" s="27" t="n">
        <v>88</v>
      </c>
      <c r="F21" s="41" t="n">
        <v>45143.36907100694</v>
      </c>
      <c r="G21" s="41" t="n">
        <v>45143.74703340277</v>
      </c>
      <c r="H21" s="41" t="n">
        <v>45145.01741592593</v>
      </c>
      <c r="I21" s="41" t="n">
        <v>45145.0638375</v>
      </c>
      <c r="J21" s="41" t="n">
        <v>45145.27238125</v>
      </c>
      <c r="K21" s="27" t="inlineStr">
        <is>
          <t>Collected</t>
        </is>
      </c>
      <c r="L21" s="27" t="inlineStr">
        <is>
          <t>Standard</t>
        </is>
      </c>
      <c r="M21" s="27" t="inlineStr">
        <is>
          <t>Western Cape</t>
        </is>
      </c>
      <c r="N21" s="27" t="n">
        <v>272.69</v>
      </c>
      <c r="O21" s="27" t="n">
        <v>0.13</v>
      </c>
      <c r="P21" s="27" t="n">
        <v>39.74</v>
      </c>
      <c r="Q21" s="42">
        <f>IF(H21="","",(H21-F21)*24)</f>
        <v/>
      </c>
      <c r="R21" s="42">
        <f>IF(J21="","",(J21-H21)*24)</f>
        <v/>
      </c>
    </row>
    <row r="22" ht="15" customHeight="1" s="24">
      <c r="A22" s="27" t="n">
        <v>34109</v>
      </c>
      <c r="B22" s="27" t="inlineStr">
        <is>
          <t>PGO10034109</t>
        </is>
      </c>
      <c r="C22" s="27" t="n">
        <v>21</v>
      </c>
      <c r="D22" s="27" t="n">
        <v>1051</v>
      </c>
      <c r="E22" s="27" t="n">
        <v>421</v>
      </c>
      <c r="F22" s="41" t="n">
        <v>45144.9601903588</v>
      </c>
      <c r="G22" s="41" t="n">
        <v>45145.20195201389</v>
      </c>
      <c r="H22" s="41" t="n">
        <v>45145.81490881945</v>
      </c>
      <c r="I22" s="41" t="n">
        <v>45145.87538880787</v>
      </c>
      <c r="J22" s="41" t="n">
        <v>45148.64167974537</v>
      </c>
      <c r="K22" s="27" t="inlineStr">
        <is>
          <t>Collected</t>
        </is>
      </c>
      <c r="L22" s="27" t="inlineStr">
        <is>
          <t>Standard</t>
        </is>
      </c>
      <c r="M22" s="27" t="inlineStr">
        <is>
          <t>KwaZulu-Natal</t>
        </is>
      </c>
      <c r="N22" s="27" t="n">
        <v>70.72</v>
      </c>
      <c r="O22" s="27" t="n">
        <v>2.5</v>
      </c>
      <c r="P22" s="27" t="n">
        <v>61.39</v>
      </c>
      <c r="Q22" s="42">
        <f>IF(H22="","",(H22-F22)*24)</f>
        <v/>
      </c>
      <c r="R22" s="42">
        <f>IF(J22="","",(J22-H22)*24)</f>
        <v/>
      </c>
    </row>
    <row r="23" ht="15" customHeight="1" s="24">
      <c r="A23" s="27" t="n">
        <v>25415</v>
      </c>
      <c r="B23" s="27" t="inlineStr">
        <is>
          <t>PGO10025415</t>
        </is>
      </c>
      <c r="C23" s="27" t="n">
        <v>5</v>
      </c>
      <c r="D23" s="27" t="n">
        <v>3644</v>
      </c>
      <c r="E23" s="27" t="n">
        <v>330</v>
      </c>
      <c r="F23" s="41" t="n">
        <v>45146.0651071875</v>
      </c>
      <c r="G23" s="41" t="n">
        <v>45146.23760336806</v>
      </c>
      <c r="H23" s="41" t="n">
        <v>45147.55290891204</v>
      </c>
      <c r="I23" s="41" t="n">
        <v>45147.60391525463</v>
      </c>
      <c r="J23" s="41" t="n">
        <v>45147.91543212963</v>
      </c>
      <c r="K23" s="27" t="inlineStr">
        <is>
          <t>Collected</t>
        </is>
      </c>
      <c r="L23" s="27" t="inlineStr">
        <is>
          <t>Standard</t>
        </is>
      </c>
      <c r="M23" s="27" t="inlineStr">
        <is>
          <t>KwaZulu-Natal</t>
        </is>
      </c>
      <c r="N23" s="27" t="n">
        <v>159.15</v>
      </c>
      <c r="O23" s="27" t="n">
        <v>6.01</v>
      </c>
      <c r="P23" s="27" t="n">
        <v>81.64</v>
      </c>
      <c r="Q23" s="42">
        <f>IF(H23="","",(H23-F23)*24)</f>
        <v/>
      </c>
      <c r="R23" s="42">
        <f>IF(J23="","",(J23-H23)*24)</f>
        <v/>
      </c>
    </row>
    <row r="24" ht="15" customHeight="1" s="24">
      <c r="A24" s="27" t="n">
        <v>40220</v>
      </c>
      <c r="B24" s="27" t="inlineStr">
        <is>
          <t>PGO10040220</t>
        </is>
      </c>
      <c r="C24" s="27" t="n">
        <v>46</v>
      </c>
      <c r="D24" s="27" t="n">
        <v>2319</v>
      </c>
      <c r="E24" s="27" t="n">
        <v>113</v>
      </c>
      <c r="F24" s="41" t="n">
        <v>45146.51898092592</v>
      </c>
      <c r="G24" s="41" t="n">
        <v>45146.61276224537</v>
      </c>
      <c r="H24" s="41" t="n">
        <v>45147.12054659722</v>
      </c>
      <c r="I24" s="41" t="n">
        <v>45147.17268663194</v>
      </c>
      <c r="J24" s="41" t="n">
        <v>45148.42289482639</v>
      </c>
      <c r="K24" s="27" t="inlineStr">
        <is>
          <t>Collected</t>
        </is>
      </c>
      <c r="L24" s="27" t="inlineStr">
        <is>
          <t>Standard</t>
        </is>
      </c>
      <c r="M24" s="27" t="inlineStr">
        <is>
          <t>Gauteng</t>
        </is>
      </c>
      <c r="N24" s="27" t="n">
        <v>317.09</v>
      </c>
      <c r="O24" s="27" t="n">
        <v>0.79</v>
      </c>
      <c r="P24" s="27" t="n">
        <v>55.65</v>
      </c>
      <c r="Q24" s="42">
        <f>IF(H24="","",(H24-F24)*24)</f>
        <v/>
      </c>
      <c r="R24" s="42">
        <f>IF(J24="","",(J24-H24)*24)</f>
        <v/>
      </c>
    </row>
    <row r="25" ht="15" customHeight="1" s="24">
      <c r="A25" s="27" t="n">
        <v>23304</v>
      </c>
      <c r="B25" s="27" t="inlineStr">
        <is>
          <t>PGO10023304</t>
        </is>
      </c>
      <c r="C25" s="27" t="n">
        <v>15</v>
      </c>
      <c r="D25" s="27" t="n">
        <v>276</v>
      </c>
      <c r="E25" s="27" t="n">
        <v>356</v>
      </c>
      <c r="F25" s="41" t="n">
        <v>45148.9524334375</v>
      </c>
      <c r="G25" s="41" t="n">
        <v>45149.49654258102</v>
      </c>
      <c r="H25" s="41" t="n">
        <v>45150.31073321759</v>
      </c>
      <c r="I25" s="41" t="n">
        <v>45150.33935707176</v>
      </c>
      <c r="J25" s="41" t="n">
        <v>45156.90928454861</v>
      </c>
      <c r="K25" s="27" t="inlineStr">
        <is>
          <t>Collected</t>
        </is>
      </c>
      <c r="L25" s="27" t="inlineStr">
        <is>
          <t>Standard</t>
        </is>
      </c>
      <c r="M25" s="27" t="inlineStr">
        <is>
          <t>Gauteng</t>
        </is>
      </c>
      <c r="N25" s="27" t="n">
        <v>1965.48</v>
      </c>
      <c r="O25" s="27" t="n">
        <v>0.36</v>
      </c>
      <c r="P25" s="27" t="n">
        <v>62.71</v>
      </c>
      <c r="Q25" s="42">
        <f>IF(H25="","",(H25-F25)*24)</f>
        <v/>
      </c>
      <c r="R25" s="42">
        <f>IF(J25="","",(J25-H25)*24)</f>
        <v/>
      </c>
    </row>
    <row r="26" ht="15" customHeight="1" s="24">
      <c r="A26" s="27" t="n">
        <v>37113</v>
      </c>
      <c r="B26" s="27" t="inlineStr">
        <is>
          <t>PGO10037113</t>
        </is>
      </c>
      <c r="C26" s="27" t="n">
        <v>77</v>
      </c>
      <c r="D26" s="27" t="n">
        <v>2413</v>
      </c>
      <c r="E26" s="27" t="n">
        <v>18</v>
      </c>
      <c r="F26" s="41" t="n">
        <v>45149.44601157407</v>
      </c>
      <c r="G26" s="41" t="n">
        <v>45149.52306472222</v>
      </c>
      <c r="H26" s="41" t="n">
        <v>45150.49650817129</v>
      </c>
      <c r="I26" s="41" t="n">
        <v>45150.50727868055</v>
      </c>
      <c r="J26" s="41" t="n"/>
      <c r="K26" s="27" t="inlineStr">
        <is>
          <t>ExpiredRTS</t>
        </is>
      </c>
      <c r="L26" s="27" t="inlineStr">
        <is>
          <t>Express</t>
        </is>
      </c>
      <c r="M26" s="27" t="inlineStr">
        <is>
          <t>KwaZulu-Natal</t>
        </is>
      </c>
      <c r="N26" s="27" t="n">
        <v>233.97</v>
      </c>
      <c r="O26" s="27" t="n">
        <v>3.31</v>
      </c>
      <c r="P26" s="27" t="n">
        <v>47.27</v>
      </c>
      <c r="Q26" s="42">
        <f>IF(H26="","",(H26-F26)*24)</f>
        <v/>
      </c>
      <c r="R26" s="42">
        <f>IF(J26="","",(J26-H26)*24)</f>
        <v/>
      </c>
    </row>
    <row r="27" ht="15" customHeight="1" s="24">
      <c r="A27" s="27" t="n">
        <v>23054</v>
      </c>
      <c r="B27" s="27" t="inlineStr">
        <is>
          <t>PGO10023054</t>
        </is>
      </c>
      <c r="C27" s="27" t="n">
        <v>4</v>
      </c>
      <c r="D27" s="27" t="n">
        <v>3236</v>
      </c>
      <c r="E27" s="27" t="n">
        <v>445</v>
      </c>
      <c r="F27" s="41" t="n">
        <v>45151.98717034722</v>
      </c>
      <c r="G27" s="41" t="n">
        <v>45152.16928716435</v>
      </c>
      <c r="H27" s="41" t="n">
        <v>45152.94494350695</v>
      </c>
      <c r="I27" s="41" t="n">
        <v>45152.99772071759</v>
      </c>
      <c r="J27" s="41" t="n">
        <v>45156.32337981481</v>
      </c>
      <c r="K27" s="27" t="inlineStr">
        <is>
          <t>Collected</t>
        </is>
      </c>
      <c r="L27" s="27" t="inlineStr">
        <is>
          <t>Standard</t>
        </is>
      </c>
      <c r="M27" s="27" t="inlineStr">
        <is>
          <t>Gauteng</t>
        </is>
      </c>
      <c r="N27" s="27" t="n">
        <v>112.91</v>
      </c>
      <c r="O27" s="27" t="n">
        <v>1.03</v>
      </c>
      <c r="P27" s="27" t="n">
        <v>41.74</v>
      </c>
      <c r="Q27" s="42">
        <f>IF(H27="","",(H27-F27)*24)</f>
        <v/>
      </c>
      <c r="R27" s="42">
        <f>IF(J27="","",(J27-H27)*24)</f>
        <v/>
      </c>
    </row>
    <row r="28" ht="15" customHeight="1" s="24">
      <c r="A28" s="27" t="n">
        <v>33447</v>
      </c>
      <c r="B28" s="27" t="inlineStr">
        <is>
          <t>PGO10033447</t>
        </is>
      </c>
      <c r="C28" s="27" t="n">
        <v>2</v>
      </c>
      <c r="D28" s="27" t="n">
        <v>1297</v>
      </c>
      <c r="E28" s="27" t="n">
        <v>295</v>
      </c>
      <c r="F28" s="41" t="n">
        <v>45152.04671114583</v>
      </c>
      <c r="G28" s="41" t="n">
        <v>45152.26001585648</v>
      </c>
      <c r="H28" s="41" t="n">
        <v>45153.39055649305</v>
      </c>
      <c r="I28" s="41" t="n">
        <v>45153.44810974537</v>
      </c>
      <c r="J28" s="41" t="n">
        <v>45156.73009136574</v>
      </c>
      <c r="K28" s="27" t="inlineStr">
        <is>
          <t>Collected</t>
        </is>
      </c>
      <c r="L28" s="27" t="inlineStr">
        <is>
          <t>Standard</t>
        </is>
      </c>
      <c r="M28" s="27" t="inlineStr">
        <is>
          <t>Eastern Cape</t>
        </is>
      </c>
      <c r="N28" s="27" t="n">
        <v>227.07</v>
      </c>
      <c r="O28" s="27" t="n">
        <v>1.44</v>
      </c>
      <c r="P28" s="27" t="n">
        <v>48.33</v>
      </c>
      <c r="Q28" s="42">
        <f>IF(H28="","",(H28-F28)*24)</f>
        <v/>
      </c>
      <c r="R28" s="42">
        <f>IF(J28="","",(J28-H28)*24)</f>
        <v/>
      </c>
    </row>
    <row r="29" ht="15" customHeight="1" s="24">
      <c r="A29" s="27" t="n">
        <v>27616</v>
      </c>
      <c r="B29" s="27" t="inlineStr">
        <is>
          <t>PGO10027616</t>
        </is>
      </c>
      <c r="C29" s="27" t="n">
        <v>111</v>
      </c>
      <c r="D29" s="27" t="n">
        <v>3878</v>
      </c>
      <c r="E29" s="27" t="n">
        <v>113</v>
      </c>
      <c r="F29" s="41" t="n">
        <v>45153.05765291666</v>
      </c>
      <c r="G29" s="41" t="n">
        <v>45153.2747949537</v>
      </c>
      <c r="H29" s="41" t="n">
        <v>45153.84099557871</v>
      </c>
      <c r="I29" s="41" t="n">
        <v>45153.86908591435</v>
      </c>
      <c r="J29" s="41" t="n">
        <v>45155.56076898148</v>
      </c>
      <c r="K29" s="27" t="inlineStr">
        <is>
          <t>Collected</t>
        </is>
      </c>
      <c r="L29" s="27" t="inlineStr">
        <is>
          <t>Express</t>
        </is>
      </c>
      <c r="M29" s="27" t="inlineStr">
        <is>
          <t>Gauteng</t>
        </is>
      </c>
      <c r="N29" s="27" t="n">
        <v>269.18</v>
      </c>
      <c r="O29" s="27" t="n">
        <v>1.88</v>
      </c>
      <c r="P29" s="27" t="n">
        <v>62.48</v>
      </c>
      <c r="Q29" s="42">
        <f>IF(H29="","",(H29-F29)*24)</f>
        <v/>
      </c>
      <c r="R29" s="42">
        <f>IF(J29="","",(J29-H29)*24)</f>
        <v/>
      </c>
    </row>
    <row r="30" ht="15" customHeight="1" s="24">
      <c r="A30" s="27" t="n">
        <v>24162</v>
      </c>
      <c r="B30" s="27" t="inlineStr">
        <is>
          <t>PGO10024162</t>
        </is>
      </c>
      <c r="C30" s="27" t="n">
        <v>3</v>
      </c>
      <c r="D30" s="27" t="n">
        <v>3210</v>
      </c>
      <c r="E30" s="27" t="n">
        <v>317</v>
      </c>
      <c r="F30" s="41" t="n">
        <v>45155.05101811342</v>
      </c>
      <c r="G30" s="41" t="n">
        <v>45155.16662929398</v>
      </c>
      <c r="H30" s="41" t="n">
        <v>45155.68108349537</v>
      </c>
      <c r="I30" s="41" t="n">
        <v>45155.68450876157</v>
      </c>
      <c r="J30" s="41" t="n">
        <v>45156.88260427083</v>
      </c>
      <c r="K30" s="27" t="inlineStr">
        <is>
          <t>Collected</t>
        </is>
      </c>
      <c r="L30" s="27" t="inlineStr">
        <is>
          <t>Standard</t>
        </is>
      </c>
      <c r="M30" s="27" t="inlineStr">
        <is>
          <t>Gauteng</t>
        </is>
      </c>
      <c r="N30" s="27" t="n">
        <v>276.71</v>
      </c>
      <c r="O30" s="27" t="n">
        <v>5.52</v>
      </c>
      <c r="P30" s="27" t="n">
        <v>53.7</v>
      </c>
      <c r="Q30" s="42">
        <f>IF(H30="","",(H30-F30)*24)</f>
        <v/>
      </c>
      <c r="R30" s="42">
        <f>IF(J30="","",(J30-H30)*24)</f>
        <v/>
      </c>
    </row>
    <row r="31" ht="15" customHeight="1" s="24">
      <c r="A31" s="27" t="n">
        <v>44297</v>
      </c>
      <c r="B31" s="27" t="inlineStr">
        <is>
          <t>PGO10044297</t>
        </is>
      </c>
      <c r="C31" s="27" t="n">
        <v>2</v>
      </c>
      <c r="D31" s="27" t="n">
        <v>3712</v>
      </c>
      <c r="E31" s="27" t="n">
        <v>191</v>
      </c>
      <c r="F31" s="41" t="n">
        <v>45155.75129972222</v>
      </c>
      <c r="G31" s="41" t="n">
        <v>45155.98121703704</v>
      </c>
      <c r="H31" s="41" t="n">
        <v>45156.78120429398</v>
      </c>
      <c r="I31" s="41" t="n">
        <v>45156.83778269676</v>
      </c>
      <c r="J31" s="41" t="n">
        <v>45157.04823576389</v>
      </c>
      <c r="K31" s="27" t="inlineStr">
        <is>
          <t>Collected</t>
        </is>
      </c>
      <c r="L31" s="27" t="inlineStr">
        <is>
          <t>Standard</t>
        </is>
      </c>
      <c r="M31" s="27" t="inlineStr">
        <is>
          <t>Gauteng</t>
        </is>
      </c>
      <c r="N31" s="27" t="n">
        <v>201</v>
      </c>
      <c r="O31" s="27" t="n">
        <v>0.48</v>
      </c>
      <c r="P31" s="27" t="n">
        <v>51.06</v>
      </c>
      <c r="Q31" s="42">
        <f>IF(H31="","",(H31-F31)*24)</f>
        <v/>
      </c>
      <c r="R31" s="42">
        <f>IF(J31="","",(J31-H31)*24)</f>
        <v/>
      </c>
    </row>
    <row r="32" ht="15" customHeight="1" s="24">
      <c r="A32" s="27" t="n">
        <v>35689</v>
      </c>
      <c r="B32" s="27" t="inlineStr">
        <is>
          <t>PGO10035689</t>
        </is>
      </c>
      <c r="C32" s="27" t="n">
        <v>2</v>
      </c>
      <c r="D32" s="27" t="n">
        <v>676</v>
      </c>
      <c r="E32" s="27" t="n">
        <v>234</v>
      </c>
      <c r="F32" s="41" t="n">
        <v>45161.14421375</v>
      </c>
      <c r="G32" s="41" t="n">
        <v>45161.30441837963</v>
      </c>
      <c r="H32" s="41" t="n">
        <v>45161.8446662963</v>
      </c>
      <c r="I32" s="41" t="n">
        <v>45161.85875833334</v>
      </c>
      <c r="J32" s="41" t="n">
        <v>45163.41306238426</v>
      </c>
      <c r="K32" s="27" t="inlineStr">
        <is>
          <t>Collected</t>
        </is>
      </c>
      <c r="L32" s="27" t="inlineStr">
        <is>
          <t>Standard</t>
        </is>
      </c>
      <c r="M32" s="27" t="inlineStr">
        <is>
          <t>KwaZulu-Natal</t>
        </is>
      </c>
      <c r="N32" s="27" t="n">
        <v>157.3</v>
      </c>
      <c r="O32" s="27" t="n">
        <v>2.33</v>
      </c>
      <c r="P32" s="27" t="n">
        <v>48.12</v>
      </c>
      <c r="Q32" s="42">
        <f>IF(H32="","",(H32-F32)*24)</f>
        <v/>
      </c>
      <c r="R32" s="42">
        <f>IF(J32="","",(J32-H32)*24)</f>
        <v/>
      </c>
    </row>
    <row r="33" ht="15" customHeight="1" s="24">
      <c r="A33" s="27" t="n">
        <v>31764</v>
      </c>
      <c r="B33" s="27" t="inlineStr">
        <is>
          <t>PGO10031764</t>
        </is>
      </c>
      <c r="C33" s="27" t="n">
        <v>23</v>
      </c>
      <c r="D33" s="27" t="n">
        <v>1348</v>
      </c>
      <c r="E33" s="27" t="n">
        <v>217</v>
      </c>
      <c r="F33" s="41" t="n">
        <v>45162.82749831019</v>
      </c>
      <c r="G33" s="41" t="n">
        <v>45162.86098162037</v>
      </c>
      <c r="H33" s="41" t="n">
        <v>45164.14970048611</v>
      </c>
      <c r="I33" s="41" t="n">
        <v>45164.18730927083</v>
      </c>
      <c r="J33" s="41" t="n">
        <v>45165.61454645833</v>
      </c>
      <c r="K33" s="27" t="inlineStr">
        <is>
          <t>Collected</t>
        </is>
      </c>
      <c r="L33" s="27" t="inlineStr">
        <is>
          <t>Standard</t>
        </is>
      </c>
      <c r="M33" s="27" t="inlineStr">
        <is>
          <t>KwaZulu-Natal</t>
        </is>
      </c>
      <c r="N33" s="27" t="n">
        <v>429.01</v>
      </c>
      <c r="O33" s="27" t="n">
        <v>5.43</v>
      </c>
      <c r="P33" s="27" t="n">
        <v>67.09</v>
      </c>
      <c r="Q33" s="42">
        <f>IF(H33="","",(H33-F33)*24)</f>
        <v/>
      </c>
      <c r="R33" s="42">
        <f>IF(J33="","",(J33-H33)*24)</f>
        <v/>
      </c>
    </row>
    <row r="34" ht="15" customHeight="1" s="24">
      <c r="A34" s="27" t="n">
        <v>44982</v>
      </c>
      <c r="B34" s="27" t="inlineStr">
        <is>
          <t>PGO10044982</t>
        </is>
      </c>
      <c r="C34" s="27" t="n">
        <v>26</v>
      </c>
      <c r="D34" s="27" t="n">
        <v>3557</v>
      </c>
      <c r="E34" s="27" t="n">
        <v>291</v>
      </c>
      <c r="F34" s="41" t="n">
        <v>45163.29559863426</v>
      </c>
      <c r="G34" s="41" t="n">
        <v>45163.40786679398</v>
      </c>
      <c r="H34" s="41" t="n">
        <v>45163.87748396991</v>
      </c>
      <c r="I34" s="41" t="n">
        <v>45163.93726229166</v>
      </c>
      <c r="J34" s="41" t="n">
        <v>45165.33401479167</v>
      </c>
      <c r="K34" s="27" t="inlineStr">
        <is>
          <t>Collected</t>
        </is>
      </c>
      <c r="L34" s="27" t="inlineStr">
        <is>
          <t>Return-to-Retailer</t>
        </is>
      </c>
      <c r="M34" s="27" t="inlineStr">
        <is>
          <t>Gauteng</t>
        </is>
      </c>
      <c r="N34" s="27" t="n">
        <v>368.43</v>
      </c>
      <c r="O34" s="27" t="n">
        <v>0.83</v>
      </c>
      <c r="P34" s="27" t="n">
        <v>57.87</v>
      </c>
      <c r="Q34" s="42">
        <f>IF(H34="","",(H34-F34)*24)</f>
        <v/>
      </c>
      <c r="R34" s="42">
        <f>IF(J34="","",(J34-H34)*24)</f>
        <v/>
      </c>
    </row>
    <row r="35" ht="15" customHeight="1" s="24">
      <c r="A35" s="27" t="n">
        <v>41799</v>
      </c>
      <c r="B35" s="27" t="inlineStr">
        <is>
          <t>PGO10041799</t>
        </is>
      </c>
      <c r="C35" s="27" t="n">
        <v>31</v>
      </c>
      <c r="D35" s="27" t="n">
        <v>3754</v>
      </c>
      <c r="E35" s="27" t="n">
        <v>168</v>
      </c>
      <c r="F35" s="41" t="n">
        <v>45163.46913696759</v>
      </c>
      <c r="G35" s="41" t="n">
        <v>45163.74884875</v>
      </c>
      <c r="H35" s="41" t="n">
        <v>45164.11426355324</v>
      </c>
      <c r="I35" s="41" t="n">
        <v>45164.1382040625</v>
      </c>
      <c r="J35" s="41" t="n">
        <v>45165.11532873843</v>
      </c>
      <c r="K35" s="27" t="inlineStr">
        <is>
          <t>Collected</t>
        </is>
      </c>
      <c r="L35" s="27" t="inlineStr">
        <is>
          <t>Standard</t>
        </is>
      </c>
      <c r="M35" s="27" t="inlineStr">
        <is>
          <t>Gauteng</t>
        </is>
      </c>
      <c r="N35" s="27" t="n">
        <v>374.53</v>
      </c>
      <c r="O35" s="27" t="n">
        <v>0.11</v>
      </c>
      <c r="P35" s="27" t="n">
        <v>54.74</v>
      </c>
      <c r="Q35" s="42">
        <f>IF(H35="","",(H35-F35)*24)</f>
        <v/>
      </c>
      <c r="R35" s="42">
        <f>IF(J35="","",(J35-H35)*24)</f>
        <v/>
      </c>
    </row>
    <row r="36" ht="15" customHeight="1" s="24">
      <c r="A36" s="27" t="n">
        <v>41559</v>
      </c>
      <c r="B36" s="27" t="inlineStr">
        <is>
          <t>PGO10041559</t>
        </is>
      </c>
      <c r="C36" s="27" t="n">
        <v>20</v>
      </c>
      <c r="D36" s="27" t="n">
        <v>2177</v>
      </c>
      <c r="E36" s="27" t="n">
        <v>153</v>
      </c>
      <c r="F36" s="41" t="n">
        <v>45163.71629927083</v>
      </c>
      <c r="G36" s="41" t="n">
        <v>45163.98807413194</v>
      </c>
      <c r="H36" s="41" t="n">
        <v>45164.82127739584</v>
      </c>
      <c r="I36" s="41" t="n">
        <v>45164.8779309375</v>
      </c>
      <c r="J36" s="41" t="n">
        <v>45164.90167226852</v>
      </c>
      <c r="K36" s="27" t="inlineStr">
        <is>
          <t>Collected</t>
        </is>
      </c>
      <c r="L36" s="27" t="inlineStr">
        <is>
          <t>Standard</t>
        </is>
      </c>
      <c r="M36" s="27" t="inlineStr">
        <is>
          <t>Limpopo</t>
        </is>
      </c>
      <c r="N36" s="27" t="n">
        <v>85.42</v>
      </c>
      <c r="O36" s="27" t="n">
        <v>0.25</v>
      </c>
      <c r="P36" s="27" t="n">
        <v>56.69</v>
      </c>
      <c r="Q36" s="42">
        <f>IF(H36="","",(H36-F36)*24)</f>
        <v/>
      </c>
      <c r="R36" s="42">
        <f>IF(J36="","",(J36-H36)*24)</f>
        <v/>
      </c>
    </row>
    <row r="37" ht="15" customHeight="1" s="24">
      <c r="A37" s="27" t="n">
        <v>22952</v>
      </c>
      <c r="B37" s="27" t="inlineStr">
        <is>
          <t>PGO10022952</t>
        </is>
      </c>
      <c r="C37" s="27" t="n">
        <v>3</v>
      </c>
      <c r="D37" s="27" t="n">
        <v>595</v>
      </c>
      <c r="E37" s="27" t="n">
        <v>272</v>
      </c>
      <c r="F37" s="41" t="n">
        <v>45164.15031976852</v>
      </c>
      <c r="G37" s="41" t="n">
        <v>45164.25205136574</v>
      </c>
      <c r="H37" s="41" t="n">
        <v>45165.00933173611</v>
      </c>
      <c r="I37" s="41" t="n">
        <v>45165.04850170139</v>
      </c>
      <c r="J37" s="41" t="n">
        <v>45165.74625907408</v>
      </c>
      <c r="K37" s="27" t="inlineStr">
        <is>
          <t>Collected</t>
        </is>
      </c>
      <c r="L37" s="27" t="inlineStr">
        <is>
          <t>Standard</t>
        </is>
      </c>
      <c r="M37" s="27" t="inlineStr">
        <is>
          <t>Western Cape</t>
        </is>
      </c>
      <c r="N37" s="27" t="n">
        <v>270.01</v>
      </c>
      <c r="O37" s="27" t="n">
        <v>1.06</v>
      </c>
      <c r="P37" s="27" t="n">
        <v>39.28</v>
      </c>
      <c r="Q37" s="42">
        <f>IF(H37="","",(H37-F37)*24)</f>
        <v/>
      </c>
      <c r="R37" s="42">
        <f>IF(J37="","",(J37-H37)*24)</f>
        <v/>
      </c>
    </row>
    <row r="38" ht="15" customHeight="1" s="24">
      <c r="A38" s="27" t="n">
        <v>36398</v>
      </c>
      <c r="B38" s="27" t="inlineStr">
        <is>
          <t>PGO10036398</t>
        </is>
      </c>
      <c r="C38" s="27" t="n">
        <v>2</v>
      </c>
      <c r="D38" s="27" t="n">
        <v>479</v>
      </c>
      <c r="E38" s="27" t="n">
        <v>152</v>
      </c>
      <c r="F38" s="41" t="n">
        <v>45164.41934112269</v>
      </c>
      <c r="G38" s="41" t="n">
        <v>45164.69770523148</v>
      </c>
      <c r="H38" s="41" t="n">
        <v>45165.58308347222</v>
      </c>
      <c r="I38" s="41" t="n">
        <v>45165.60463138889</v>
      </c>
      <c r="J38" s="41" t="n">
        <v>45166.60474717592</v>
      </c>
      <c r="K38" s="27" t="inlineStr">
        <is>
          <t>Collected</t>
        </is>
      </c>
      <c r="L38" s="27" t="inlineStr">
        <is>
          <t>Standard</t>
        </is>
      </c>
      <c r="M38" s="27" t="inlineStr">
        <is>
          <t>Mpumalanga</t>
        </is>
      </c>
      <c r="N38" s="27" t="n">
        <v>181.34</v>
      </c>
      <c r="O38" s="27" t="n">
        <v>2.61</v>
      </c>
      <c r="P38" s="27" t="n">
        <v>52.11</v>
      </c>
      <c r="Q38" s="42">
        <f>IF(H38="","",(H38-F38)*24)</f>
        <v/>
      </c>
      <c r="R38" s="42">
        <f>IF(J38="","",(J38-H38)*24)</f>
        <v/>
      </c>
    </row>
    <row r="39" ht="15" customHeight="1" s="24">
      <c r="A39" s="27" t="n">
        <v>27680</v>
      </c>
      <c r="B39" s="27" t="inlineStr">
        <is>
          <t>PGO10027680</t>
        </is>
      </c>
      <c r="C39" s="27" t="n">
        <v>7</v>
      </c>
      <c r="D39" s="27" t="n">
        <v>726</v>
      </c>
      <c r="E39" s="27" t="n">
        <v>91</v>
      </c>
      <c r="F39" s="41" t="n">
        <v>45166.64047144676</v>
      </c>
      <c r="G39" s="41" t="n">
        <v>45166.68983878472</v>
      </c>
      <c r="H39" s="41" t="n">
        <v>45167.50821494213</v>
      </c>
      <c r="I39" s="41" t="n">
        <v>45167.53110783565</v>
      </c>
      <c r="J39" s="41" t="n">
        <v>45168.76502318287</v>
      </c>
      <c r="K39" s="27" t="inlineStr">
        <is>
          <t>Collected</t>
        </is>
      </c>
      <c r="L39" s="27" t="inlineStr">
        <is>
          <t>Standard</t>
        </is>
      </c>
      <c r="M39" s="27" t="inlineStr">
        <is>
          <t>Gauteng</t>
        </is>
      </c>
      <c r="N39" s="27" t="n">
        <v>1077.07</v>
      </c>
      <c r="O39" s="27" t="n">
        <v>9.359999999999999</v>
      </c>
      <c r="P39" s="27" t="n">
        <v>66.67</v>
      </c>
      <c r="Q39" s="42">
        <f>IF(H39="","",(H39-F39)*24)</f>
        <v/>
      </c>
      <c r="R39" s="42">
        <f>IF(J39="","",(J39-H39)*24)</f>
        <v/>
      </c>
    </row>
    <row r="40" ht="15" customHeight="1" s="24">
      <c r="A40" s="27" t="n">
        <v>46174</v>
      </c>
      <c r="B40" s="27" t="inlineStr">
        <is>
          <t>PGO10046174</t>
        </is>
      </c>
      <c r="C40" s="27" t="n">
        <v>26</v>
      </c>
      <c r="D40" s="27" t="n">
        <v>3702</v>
      </c>
      <c r="E40" s="27" t="n">
        <v>113</v>
      </c>
      <c r="F40" s="41" t="n">
        <v>45170.43699223379</v>
      </c>
      <c r="G40" s="41" t="n">
        <v>45170.51867230324</v>
      </c>
      <c r="H40" s="41" t="n">
        <v>45170.90277341435</v>
      </c>
      <c r="I40" s="41" t="n">
        <v>45170.94562618055</v>
      </c>
      <c r="J40" s="41" t="n">
        <v>45171.98059434028</v>
      </c>
      <c r="K40" s="27" t="inlineStr">
        <is>
          <t>Collected</t>
        </is>
      </c>
      <c r="L40" s="27" t="inlineStr">
        <is>
          <t>Express</t>
        </is>
      </c>
      <c r="M40" s="27" t="inlineStr">
        <is>
          <t>Gauteng</t>
        </is>
      </c>
      <c r="N40" s="27" t="n">
        <v>257.52</v>
      </c>
      <c r="O40" s="27" t="n">
        <v>0.37</v>
      </c>
      <c r="P40" s="27" t="n">
        <v>57.38</v>
      </c>
      <c r="Q40" s="42">
        <f>IF(H40="","",(H40-F40)*24)</f>
        <v/>
      </c>
      <c r="R40" s="42">
        <f>IF(J40="","",(J40-H40)*24)</f>
        <v/>
      </c>
    </row>
    <row r="41" ht="15" customHeight="1" s="24">
      <c r="A41" s="27" t="n">
        <v>46883</v>
      </c>
      <c r="B41" s="27" t="inlineStr">
        <is>
          <t>PGO10046883</t>
        </is>
      </c>
      <c r="C41" s="27" t="n">
        <v>1</v>
      </c>
      <c r="D41" s="27" t="n">
        <v>2244</v>
      </c>
      <c r="E41" s="27" t="n">
        <v>333</v>
      </c>
      <c r="F41" s="41" t="n">
        <v>45171.13159452546</v>
      </c>
      <c r="G41" s="41" t="n">
        <v>45171.24451449074</v>
      </c>
      <c r="H41" s="41" t="n">
        <v>45172.88248172454</v>
      </c>
      <c r="I41" s="41" t="n">
        <v>45172.91069378472</v>
      </c>
      <c r="J41" s="41" t="n">
        <v>45173.58361707176</v>
      </c>
      <c r="K41" s="27" t="inlineStr">
        <is>
          <t>Collected</t>
        </is>
      </c>
      <c r="L41" s="27" t="inlineStr">
        <is>
          <t>Standard</t>
        </is>
      </c>
      <c r="M41" s="27" t="inlineStr">
        <is>
          <t>Gauteng</t>
        </is>
      </c>
      <c r="N41" s="27" t="n">
        <v>50.01</v>
      </c>
      <c r="O41" s="27" t="n">
        <v>1.31</v>
      </c>
      <c r="P41" s="27" t="n">
        <v>46.85</v>
      </c>
      <c r="Q41" s="42">
        <f>IF(H41="","",(H41-F41)*24)</f>
        <v/>
      </c>
      <c r="R41" s="42">
        <f>IF(J41="","",(J41-H41)*24)</f>
        <v/>
      </c>
    </row>
    <row r="42" ht="15" customHeight="1" s="24">
      <c r="A42" s="27" t="n">
        <v>51997</v>
      </c>
      <c r="B42" s="27" t="inlineStr">
        <is>
          <t>PGO10051997</t>
        </is>
      </c>
      <c r="C42" s="27" t="n">
        <v>28</v>
      </c>
      <c r="D42" s="27" t="n">
        <v>1657</v>
      </c>
      <c r="E42" s="27" t="n">
        <v>280</v>
      </c>
      <c r="F42" s="41" t="n">
        <v>45171.75451792824</v>
      </c>
      <c r="G42" s="41" t="n">
        <v>45172.06266069444</v>
      </c>
      <c r="H42" s="41" t="n">
        <v>45172.80277310185</v>
      </c>
      <c r="I42" s="41" t="n">
        <v>45172.84614498843</v>
      </c>
      <c r="J42" s="41" t="n">
        <v>45174.89961988426</v>
      </c>
      <c r="K42" s="27" t="inlineStr">
        <is>
          <t>Collected</t>
        </is>
      </c>
      <c r="L42" s="27" t="inlineStr">
        <is>
          <t>Standard</t>
        </is>
      </c>
      <c r="M42" s="27" t="inlineStr">
        <is>
          <t>Gauteng</t>
        </is>
      </c>
      <c r="N42" s="27" t="n">
        <v>116.4</v>
      </c>
      <c r="O42" s="27" t="n">
        <v>0.8100000000000001</v>
      </c>
      <c r="P42" s="27" t="n">
        <v>62.18</v>
      </c>
      <c r="Q42" s="42">
        <f>IF(H42="","",(H42-F42)*24)</f>
        <v/>
      </c>
      <c r="R42" s="42">
        <f>IF(J42="","",(J42-H42)*24)</f>
        <v/>
      </c>
    </row>
    <row r="43" ht="15" customHeight="1" s="24">
      <c r="A43" s="27" t="n">
        <v>64410</v>
      </c>
      <c r="B43" s="27" t="inlineStr">
        <is>
          <t>PGO10064410</t>
        </is>
      </c>
      <c r="C43" s="27" t="n">
        <v>3</v>
      </c>
      <c r="D43" s="27" t="n">
        <v>3027</v>
      </c>
      <c r="E43" s="27" t="n">
        <v>116</v>
      </c>
      <c r="F43" s="41" t="n">
        <v>45172.41937417824</v>
      </c>
      <c r="G43" s="41" t="n">
        <v>45172.45877972222</v>
      </c>
      <c r="H43" s="41" t="n">
        <v>45173.49080618055</v>
      </c>
      <c r="I43" s="41" t="n">
        <v>45173.49997304398</v>
      </c>
      <c r="J43" s="41" t="n">
        <v>45174.80962326389</v>
      </c>
      <c r="K43" s="27" t="inlineStr">
        <is>
          <t>Collected</t>
        </is>
      </c>
      <c r="L43" s="27" t="inlineStr">
        <is>
          <t>Standard</t>
        </is>
      </c>
      <c r="M43" s="27" t="inlineStr">
        <is>
          <t>Gauteng</t>
        </is>
      </c>
      <c r="N43" s="27" t="n">
        <v>1046.44</v>
      </c>
      <c r="O43" s="27" t="n">
        <v>1.82</v>
      </c>
      <c r="P43" s="27" t="n">
        <v>40.63</v>
      </c>
      <c r="Q43" s="42">
        <f>IF(H43="","",(H43-F43)*24)</f>
        <v/>
      </c>
      <c r="R43" s="42">
        <f>IF(J43="","",(J43-H43)*24)</f>
        <v/>
      </c>
    </row>
    <row r="44" ht="15" customHeight="1" s="24">
      <c r="A44" s="27" t="n">
        <v>61481</v>
      </c>
      <c r="B44" s="27" t="inlineStr">
        <is>
          <t>PGO10061481</t>
        </is>
      </c>
      <c r="C44" s="27" t="n">
        <v>12</v>
      </c>
      <c r="D44" s="27" t="n">
        <v>623</v>
      </c>
      <c r="E44" s="27" t="n">
        <v>64</v>
      </c>
      <c r="F44" s="41" t="n">
        <v>45172.98879241898</v>
      </c>
      <c r="G44" s="41" t="n">
        <v>45173.21441832176</v>
      </c>
      <c r="H44" s="41" t="n">
        <v>45174.79475642361</v>
      </c>
      <c r="I44" s="41" t="n">
        <v>45174.80985932871</v>
      </c>
      <c r="J44" s="41" t="n">
        <v>45175.37368195602</v>
      </c>
      <c r="K44" s="27" t="inlineStr">
        <is>
          <t>Damaged</t>
        </is>
      </c>
      <c r="L44" s="27" t="inlineStr">
        <is>
          <t>Express</t>
        </is>
      </c>
      <c r="M44" s="27" t="inlineStr">
        <is>
          <t>KwaZulu-Natal</t>
        </is>
      </c>
      <c r="N44" s="27" t="n">
        <v>335.25</v>
      </c>
      <c r="O44" s="27" t="n">
        <v>2.43</v>
      </c>
      <c r="P44" s="27" t="n">
        <v>65.59999999999999</v>
      </c>
      <c r="Q44" s="42">
        <f>IF(H44="","",(H44-F44)*24)</f>
        <v/>
      </c>
      <c r="R44" s="42">
        <f>IF(J44="","",(J44-H44)*24)</f>
        <v/>
      </c>
    </row>
    <row r="45" ht="15" customHeight="1" s="24">
      <c r="A45" s="27" t="n">
        <v>53717</v>
      </c>
      <c r="B45" s="27" t="inlineStr">
        <is>
          <t>PGO10053717</t>
        </is>
      </c>
      <c r="C45" s="27" t="n">
        <v>46</v>
      </c>
      <c r="D45" s="27" t="n">
        <v>17</v>
      </c>
      <c r="E45" s="27" t="n">
        <v>375</v>
      </c>
      <c r="F45" s="41" t="n">
        <v>45173.61643509259</v>
      </c>
      <c r="G45" s="41" t="n">
        <v>45173.90114692129</v>
      </c>
      <c r="H45" s="41" t="n">
        <v>45174.32970606482</v>
      </c>
      <c r="I45" s="41" t="n">
        <v>45174.34114568287</v>
      </c>
      <c r="J45" s="41" t="n">
        <v>45175.68038935185</v>
      </c>
      <c r="K45" s="27" t="inlineStr">
        <is>
          <t>Collected</t>
        </is>
      </c>
      <c r="L45" s="27" t="inlineStr">
        <is>
          <t>Standard</t>
        </is>
      </c>
      <c r="M45" s="27" t="inlineStr">
        <is>
          <t>Gauteng</t>
        </is>
      </c>
      <c r="N45" s="27" t="n">
        <v>422.49</v>
      </c>
      <c r="O45" s="27" t="n">
        <v>0.5600000000000001</v>
      </c>
      <c r="P45" s="27" t="n">
        <v>58.6</v>
      </c>
      <c r="Q45" s="42">
        <f>IF(H45="","",(H45-F45)*24)</f>
        <v/>
      </c>
      <c r="R45" s="42">
        <f>IF(J45="","",(J45-H45)*24)</f>
        <v/>
      </c>
    </row>
    <row r="46" ht="15" customHeight="1" s="24">
      <c r="A46" s="27" t="n">
        <v>59253</v>
      </c>
      <c r="B46" s="27" t="inlineStr">
        <is>
          <t>PGO10059253</t>
        </is>
      </c>
      <c r="C46" s="27" t="n">
        <v>20</v>
      </c>
      <c r="D46" s="27" t="n">
        <v>3633</v>
      </c>
      <c r="E46" s="27" t="n">
        <v>421</v>
      </c>
      <c r="F46" s="41" t="n">
        <v>45173.96595611111</v>
      </c>
      <c r="G46" s="41" t="n">
        <v>45174.08227262732</v>
      </c>
      <c r="H46" s="41" t="n">
        <v>45174.7938347338</v>
      </c>
      <c r="I46" s="41" t="n">
        <v>45174.83043547453</v>
      </c>
      <c r="J46" s="41" t="n">
        <v>45176.12387574074</v>
      </c>
      <c r="K46" s="27" t="inlineStr">
        <is>
          <t>Collected</t>
        </is>
      </c>
      <c r="L46" s="27" t="inlineStr">
        <is>
          <t>Standard</t>
        </is>
      </c>
      <c r="M46" s="27" t="inlineStr">
        <is>
          <t>KwaZulu-Natal</t>
        </is>
      </c>
      <c r="N46" s="27" t="n">
        <v>1027.55</v>
      </c>
      <c r="O46" s="27" t="n">
        <v>9.48</v>
      </c>
      <c r="P46" s="27" t="n">
        <v>84.03</v>
      </c>
      <c r="Q46" s="42">
        <f>IF(H46="","",(H46-F46)*24)</f>
        <v/>
      </c>
      <c r="R46" s="42">
        <f>IF(J46="","",(J46-H46)*24)</f>
        <v/>
      </c>
    </row>
    <row r="47" ht="15" customHeight="1" s="24">
      <c r="A47" s="27" t="n">
        <v>60251</v>
      </c>
      <c r="B47" s="27" t="inlineStr">
        <is>
          <t>PGO10060251</t>
        </is>
      </c>
      <c r="C47" s="27" t="n">
        <v>4</v>
      </c>
      <c r="D47" s="27" t="n">
        <v>3153</v>
      </c>
      <c r="E47" s="27" t="n">
        <v>11</v>
      </c>
      <c r="F47" s="41" t="n">
        <v>45174.23779324074</v>
      </c>
      <c r="G47" s="41" t="n">
        <v>45174.55200909722</v>
      </c>
      <c r="H47" s="41" t="n">
        <v>45176.83687648148</v>
      </c>
      <c r="I47" s="41" t="n">
        <v>45176.85047023148</v>
      </c>
      <c r="J47" s="41" t="n">
        <v>45178.81010777778</v>
      </c>
      <c r="K47" s="27" t="inlineStr">
        <is>
          <t>Collected</t>
        </is>
      </c>
      <c r="L47" s="27" t="inlineStr">
        <is>
          <t>Standard</t>
        </is>
      </c>
      <c r="M47" s="27" t="inlineStr">
        <is>
          <t>KwaZulu-Natal</t>
        </is>
      </c>
      <c r="N47" s="27" t="n">
        <v>120.62</v>
      </c>
      <c r="O47" s="27" t="n">
        <v>5.68</v>
      </c>
      <c r="P47" s="27" t="n">
        <v>59.32</v>
      </c>
      <c r="Q47" s="42">
        <f>IF(H47="","",(H47-F47)*24)</f>
        <v/>
      </c>
      <c r="R47" s="42">
        <f>IF(J47="","",(J47-H47)*24)</f>
        <v/>
      </c>
    </row>
    <row r="48" ht="15" customHeight="1" s="24">
      <c r="A48" s="27" t="n">
        <v>59912</v>
      </c>
      <c r="B48" s="27" t="inlineStr">
        <is>
          <t>PGO10059912</t>
        </is>
      </c>
      <c r="C48" s="27" t="n">
        <v>105</v>
      </c>
      <c r="D48" s="27" t="n">
        <v>2989</v>
      </c>
      <c r="E48" s="27" t="n">
        <v>18</v>
      </c>
      <c r="F48" s="41" t="n">
        <v>45174.71638186343</v>
      </c>
      <c r="G48" s="41" t="n">
        <v>45175.10481633102</v>
      </c>
      <c r="H48" s="41" t="n">
        <v>45176.31025373843</v>
      </c>
      <c r="I48" s="41" t="n">
        <v>45176.33035090278</v>
      </c>
      <c r="J48" s="41" t="n">
        <v>45177.15852453704</v>
      </c>
      <c r="K48" s="27" t="inlineStr">
        <is>
          <t>Collected</t>
        </is>
      </c>
      <c r="L48" s="27" t="inlineStr">
        <is>
          <t>Standard</t>
        </is>
      </c>
      <c r="M48" s="27" t="inlineStr">
        <is>
          <t>KwaZulu-Natal</t>
        </is>
      </c>
      <c r="N48" s="27" t="n">
        <v>349.7</v>
      </c>
      <c r="O48" s="27" t="n">
        <v>0.27</v>
      </c>
      <c r="P48" s="27" t="n">
        <v>53.91</v>
      </c>
      <c r="Q48" s="42">
        <f>IF(H48="","",(H48-F48)*24)</f>
        <v/>
      </c>
      <c r="R48" s="42">
        <f>IF(J48="","",(J48-H48)*24)</f>
        <v/>
      </c>
    </row>
    <row r="49" ht="15" customHeight="1" s="24">
      <c r="A49" s="27" t="n">
        <v>51519</v>
      </c>
      <c r="B49" s="27" t="inlineStr">
        <is>
          <t>PGO10051519</t>
        </is>
      </c>
      <c r="C49" s="27" t="n">
        <v>1</v>
      </c>
      <c r="D49" s="27" t="n">
        <v>2969</v>
      </c>
      <c r="E49" s="27" t="n">
        <v>461</v>
      </c>
      <c r="F49" s="41" t="n">
        <v>45179.52417530092</v>
      </c>
      <c r="G49" s="41" t="n">
        <v>45179.64056388889</v>
      </c>
      <c r="H49" s="41" t="n">
        <v>45180.56997302084</v>
      </c>
      <c r="I49" s="41" t="n">
        <v>45180.57574902778</v>
      </c>
      <c r="J49" s="41" t="n">
        <v>45181.07951899306</v>
      </c>
      <c r="K49" s="27" t="inlineStr">
        <is>
          <t>Collected</t>
        </is>
      </c>
      <c r="L49" s="27" t="inlineStr">
        <is>
          <t>Standard</t>
        </is>
      </c>
      <c r="M49" s="27" t="inlineStr">
        <is>
          <t>Eastern Cape</t>
        </is>
      </c>
      <c r="N49" s="27" t="n">
        <v>145.21</v>
      </c>
      <c r="O49" s="27" t="n">
        <v>2.7</v>
      </c>
      <c r="P49" s="27" t="n">
        <v>44.41</v>
      </c>
      <c r="Q49" s="42">
        <f>IF(H49="","",(H49-F49)*24)</f>
        <v/>
      </c>
      <c r="R49" s="42">
        <f>IF(J49="","",(J49-H49)*24)</f>
        <v/>
      </c>
    </row>
    <row r="50" ht="15" customHeight="1" s="24">
      <c r="A50" s="27" t="n">
        <v>48139</v>
      </c>
      <c r="B50" s="27" t="inlineStr">
        <is>
          <t>PGO10048139</t>
        </is>
      </c>
      <c r="C50" s="27" t="n">
        <v>15</v>
      </c>
      <c r="D50" s="27" t="n">
        <v>3402</v>
      </c>
      <c r="E50" s="27" t="n">
        <v>249</v>
      </c>
      <c r="F50" s="41" t="n">
        <v>45182.76380259259</v>
      </c>
      <c r="G50" s="41" t="n">
        <v>45182.96592142361</v>
      </c>
      <c r="H50" s="41" t="n">
        <v>45184.12240306713</v>
      </c>
      <c r="I50" s="41" t="n">
        <v>45184.1467634838</v>
      </c>
      <c r="J50" s="41" t="n">
        <v>45185.48014159723</v>
      </c>
      <c r="K50" s="27" t="inlineStr">
        <is>
          <t>Collected</t>
        </is>
      </c>
      <c r="L50" s="27" t="inlineStr">
        <is>
          <t>Return-to-Retailer</t>
        </is>
      </c>
      <c r="M50" s="27" t="inlineStr">
        <is>
          <t>Limpopo</t>
        </is>
      </c>
      <c r="N50" s="27" t="n">
        <v>34.81</v>
      </c>
      <c r="O50" s="27" t="n">
        <v>1.83</v>
      </c>
      <c r="P50" s="27" t="n">
        <v>65.51000000000001</v>
      </c>
      <c r="Q50" s="42">
        <f>IF(H50="","",(H50-F50)*24)</f>
        <v/>
      </c>
      <c r="R50" s="42">
        <f>IF(J50="","",(J50-H50)*24)</f>
        <v/>
      </c>
    </row>
    <row r="51" ht="15" customHeight="1" s="24">
      <c r="A51" s="27" t="n">
        <v>60561</v>
      </c>
      <c r="B51" s="27" t="inlineStr">
        <is>
          <t>PGO10060561</t>
        </is>
      </c>
      <c r="C51" s="27" t="n">
        <v>1</v>
      </c>
      <c r="D51" s="27" t="n">
        <v>3361</v>
      </c>
      <c r="E51" s="27" t="n">
        <v>380</v>
      </c>
      <c r="F51" s="41" t="n">
        <v>45183.41925821759</v>
      </c>
      <c r="G51" s="41" t="n">
        <v>45183.69741008102</v>
      </c>
      <c r="H51" s="41" t="n">
        <v>45185.32834009259</v>
      </c>
      <c r="I51" s="41" t="n">
        <v>45185.35087945602</v>
      </c>
      <c r="J51" s="41" t="n">
        <v>45186.34843974537</v>
      </c>
      <c r="K51" s="27" t="inlineStr">
        <is>
          <t>Collected</t>
        </is>
      </c>
      <c r="L51" s="27" t="inlineStr">
        <is>
          <t>Standard</t>
        </is>
      </c>
      <c r="M51" s="27" t="inlineStr">
        <is>
          <t>Mpumalanga</t>
        </is>
      </c>
      <c r="N51" s="27" t="n">
        <v>332.14</v>
      </c>
      <c r="O51" s="27" t="n">
        <v>2.57</v>
      </c>
      <c r="P51" s="27" t="n">
        <v>46.85</v>
      </c>
      <c r="Q51" s="42">
        <f>IF(H51="","",(H51-F51)*24)</f>
        <v/>
      </c>
      <c r="R51" s="42">
        <f>IF(J51="","",(J51-H51)*24)</f>
        <v/>
      </c>
    </row>
    <row r="52" ht="15" customHeight="1" s="24">
      <c r="A52" s="27" t="n">
        <v>47772</v>
      </c>
      <c r="B52" s="27" t="inlineStr">
        <is>
          <t>PGO10047772</t>
        </is>
      </c>
      <c r="C52" s="27" t="n">
        <v>4</v>
      </c>
      <c r="D52" s="27" t="n">
        <v>203</v>
      </c>
      <c r="E52" s="27" t="n">
        <v>120</v>
      </c>
      <c r="F52" s="41" t="n">
        <v>45185.03620819445</v>
      </c>
      <c r="G52" s="41" t="n">
        <v>45185.3549406713</v>
      </c>
      <c r="H52" s="41" t="n">
        <v>45186.24271890047</v>
      </c>
      <c r="I52" s="41" t="n">
        <v>45186.27536976852</v>
      </c>
      <c r="J52" s="41" t="n">
        <v>45188.48086025463</v>
      </c>
      <c r="K52" s="27" t="inlineStr">
        <is>
          <t>Collected</t>
        </is>
      </c>
      <c r="L52" s="27" t="inlineStr">
        <is>
          <t>Standard</t>
        </is>
      </c>
      <c r="M52" s="27" t="inlineStr">
        <is>
          <t>Mpumalanga</t>
        </is>
      </c>
      <c r="N52" s="27" t="n">
        <v>1475.39</v>
      </c>
      <c r="O52" s="27" t="n">
        <v>1.13</v>
      </c>
      <c r="P52" s="27" t="n">
        <v>41.58</v>
      </c>
      <c r="Q52" s="42">
        <f>IF(H52="","",(H52-F52)*24)</f>
        <v/>
      </c>
      <c r="R52" s="42">
        <f>IF(J52="","",(J52-H52)*24)</f>
        <v/>
      </c>
    </row>
    <row r="53" ht="15" customHeight="1" s="24">
      <c r="A53" s="27" t="n">
        <v>47636</v>
      </c>
      <c r="B53" s="27" t="inlineStr">
        <is>
          <t>PGO10047636</t>
        </is>
      </c>
      <c r="C53" s="27" t="n">
        <v>65</v>
      </c>
      <c r="D53" s="27" t="n">
        <v>2894</v>
      </c>
      <c r="E53" s="27" t="n">
        <v>122</v>
      </c>
      <c r="F53" s="41" t="n">
        <v>45186.10864400463</v>
      </c>
      <c r="G53" s="41" t="n">
        <v>45186.35187378472</v>
      </c>
      <c r="H53" s="41" t="n">
        <v>45187.25558988426</v>
      </c>
      <c r="I53" s="41" t="n">
        <v>45187.296125</v>
      </c>
      <c r="J53" s="41" t="n">
        <v>45187.75162989584</v>
      </c>
      <c r="K53" s="27" t="inlineStr">
        <is>
          <t>Collected</t>
        </is>
      </c>
      <c r="L53" s="27" t="inlineStr">
        <is>
          <t>Express</t>
        </is>
      </c>
      <c r="M53" s="27" t="inlineStr">
        <is>
          <t>North West</t>
        </is>
      </c>
      <c r="N53" s="27" t="n">
        <v>522.89</v>
      </c>
      <c r="O53" s="27" t="n">
        <v>3.09</v>
      </c>
      <c r="P53" s="27" t="n">
        <v>57.47</v>
      </c>
      <c r="Q53" s="42">
        <f>IF(H53="","",(H53-F53)*24)</f>
        <v/>
      </c>
      <c r="R53" s="42">
        <f>IF(J53="","",(J53-H53)*24)</f>
        <v/>
      </c>
    </row>
    <row r="54" ht="15" customHeight="1" s="24">
      <c r="A54" s="27" t="n">
        <v>63489</v>
      </c>
      <c r="B54" s="27" t="inlineStr">
        <is>
          <t>PGO10063489</t>
        </is>
      </c>
      <c r="C54" s="27" t="n">
        <v>22</v>
      </c>
      <c r="D54" s="27" t="n">
        <v>2110</v>
      </c>
      <c r="E54" s="27" t="n">
        <v>51</v>
      </c>
      <c r="F54" s="41" t="n">
        <v>45186.19462425926</v>
      </c>
      <c r="G54" s="41" t="n">
        <v>45186.2426555787</v>
      </c>
      <c r="H54" s="41" t="n">
        <v>45186.68346085648</v>
      </c>
      <c r="I54" s="41" t="n">
        <v>45186.73955490741</v>
      </c>
      <c r="J54" s="41" t="n">
        <v>45187.05904899305</v>
      </c>
      <c r="K54" s="27" t="inlineStr">
        <is>
          <t>Collected</t>
        </is>
      </c>
      <c r="L54" s="27" t="inlineStr">
        <is>
          <t>Express</t>
        </is>
      </c>
      <c r="M54" s="27" t="inlineStr">
        <is>
          <t>Gauteng</t>
        </is>
      </c>
      <c r="N54" s="27" t="n">
        <v>1638.43</v>
      </c>
      <c r="O54" s="27" t="n">
        <v>3.38</v>
      </c>
      <c r="P54" s="27" t="n">
        <v>56.08</v>
      </c>
      <c r="Q54" s="42">
        <f>IF(H54="","",(H54-F54)*24)</f>
        <v/>
      </c>
      <c r="R54" s="42">
        <f>IF(J54="","",(J54-H54)*24)</f>
        <v/>
      </c>
    </row>
    <row r="55" ht="15" customHeight="1" s="24">
      <c r="A55" s="27" t="n">
        <v>67770</v>
      </c>
      <c r="B55" s="27" t="inlineStr">
        <is>
          <t>PGO10067770</t>
        </is>
      </c>
      <c r="C55" s="27" t="n">
        <v>18</v>
      </c>
      <c r="D55" s="27" t="n">
        <v>3620</v>
      </c>
      <c r="E55" s="27" t="n">
        <v>398</v>
      </c>
      <c r="F55" s="41" t="n">
        <v>45186.72264728009</v>
      </c>
      <c r="G55" s="41" t="n">
        <v>45187.22145381945</v>
      </c>
      <c r="H55" s="41" t="n">
        <v>45187.8633065625</v>
      </c>
      <c r="I55" s="41" t="n">
        <v>45187.92177054398</v>
      </c>
      <c r="J55" s="41" t="n">
        <v>45188.99582979167</v>
      </c>
      <c r="K55" s="27" t="inlineStr">
        <is>
          <t>Collected</t>
        </is>
      </c>
      <c r="L55" s="27" t="inlineStr">
        <is>
          <t>Standard</t>
        </is>
      </c>
      <c r="M55" s="27" t="inlineStr">
        <is>
          <t>Gauteng</t>
        </is>
      </c>
      <c r="N55" s="27" t="n">
        <v>132.67</v>
      </c>
      <c r="O55" s="27" t="n">
        <v>2.61</v>
      </c>
      <c r="P55" s="27" t="n">
        <v>45.07</v>
      </c>
      <c r="Q55" s="42">
        <f>IF(H55="","",(H55-F55)*24)</f>
        <v/>
      </c>
      <c r="R55" s="42">
        <f>IF(J55="","",(J55-H55)*24)</f>
        <v/>
      </c>
    </row>
    <row r="56" ht="15" customHeight="1" s="24">
      <c r="A56" s="27" t="n">
        <v>60557</v>
      </c>
      <c r="B56" s="27" t="inlineStr">
        <is>
          <t>PGO10060557</t>
        </is>
      </c>
      <c r="C56" s="27" t="n">
        <v>3</v>
      </c>
      <c r="D56" s="27" t="n">
        <v>303</v>
      </c>
      <c r="E56" s="27" t="n">
        <v>134</v>
      </c>
      <c r="F56" s="41" t="n">
        <v>45190.06966927083</v>
      </c>
      <c r="G56" s="41" t="n">
        <v>45190.26406649306</v>
      </c>
      <c r="H56" s="41" t="n">
        <v>45190.69098403935</v>
      </c>
      <c r="I56" s="41" t="n">
        <v>45190.74425524306</v>
      </c>
      <c r="J56" s="41" t="n">
        <v>45191.57680644676</v>
      </c>
      <c r="K56" s="27" t="inlineStr">
        <is>
          <t>Collected</t>
        </is>
      </c>
      <c r="L56" s="27" t="inlineStr">
        <is>
          <t>Standard</t>
        </is>
      </c>
      <c r="M56" s="27" t="inlineStr">
        <is>
          <t>Free State</t>
        </is>
      </c>
      <c r="N56" s="27" t="n">
        <v>871.65</v>
      </c>
      <c r="O56" s="27" t="n">
        <v>1.1</v>
      </c>
      <c r="P56" s="27" t="n">
        <v>40.65</v>
      </c>
      <c r="Q56" s="42">
        <f>IF(H56="","",(H56-F56)*24)</f>
        <v/>
      </c>
      <c r="R56" s="42">
        <f>IF(J56="","",(J56-H56)*24)</f>
        <v/>
      </c>
    </row>
    <row r="57" ht="15" customHeight="1" s="24">
      <c r="A57" s="27" t="n">
        <v>51162</v>
      </c>
      <c r="B57" s="27" t="inlineStr">
        <is>
          <t>PGO10051162</t>
        </is>
      </c>
      <c r="C57" s="27" t="n">
        <v>85</v>
      </c>
      <c r="D57" s="27" t="n">
        <v>1019</v>
      </c>
      <c r="E57" s="27" t="n">
        <v>196</v>
      </c>
      <c r="F57" s="41" t="n">
        <v>45190.71966331018</v>
      </c>
      <c r="G57" s="41" t="n">
        <v>45190.80190721065</v>
      </c>
      <c r="H57" s="41" t="n">
        <v>45191.87839043982</v>
      </c>
      <c r="I57" s="41" t="n">
        <v>45191.93921604167</v>
      </c>
      <c r="J57" s="41" t="n">
        <v>45194.84707686343</v>
      </c>
      <c r="K57" s="27" t="inlineStr">
        <is>
          <t>Collected</t>
        </is>
      </c>
      <c r="L57" s="27" t="inlineStr">
        <is>
          <t>Standard</t>
        </is>
      </c>
      <c r="M57" s="27" t="inlineStr">
        <is>
          <t>Limpopo</t>
        </is>
      </c>
      <c r="N57" s="27" t="n">
        <v>787.48</v>
      </c>
      <c r="O57" s="27" t="n">
        <v>1.99</v>
      </c>
      <c r="P57" s="27" t="n">
        <v>68.17</v>
      </c>
      <c r="Q57" s="42">
        <f>IF(H57="","",(H57-F57)*24)</f>
        <v/>
      </c>
      <c r="R57" s="42">
        <f>IF(J57="","",(J57-H57)*24)</f>
        <v/>
      </c>
    </row>
    <row r="58" ht="15" customHeight="1" s="24">
      <c r="A58" s="27" t="n">
        <v>66645</v>
      </c>
      <c r="B58" s="27" t="inlineStr">
        <is>
          <t>PGO10066645</t>
        </is>
      </c>
      <c r="C58" s="27" t="n">
        <v>6</v>
      </c>
      <c r="D58" s="27" t="n">
        <v>2710</v>
      </c>
      <c r="E58" s="27" t="n">
        <v>352</v>
      </c>
      <c r="F58" s="41" t="n">
        <v>45191.21221592592</v>
      </c>
      <c r="G58" s="41" t="n">
        <v>45191.80077585648</v>
      </c>
      <c r="H58" s="41" t="n">
        <v>45192.36270949074</v>
      </c>
      <c r="I58" s="41" t="n">
        <v>45192.42309138889</v>
      </c>
      <c r="J58" s="41" t="n">
        <v>45193.48732306713</v>
      </c>
      <c r="K58" s="27" t="inlineStr">
        <is>
          <t>Collected</t>
        </is>
      </c>
      <c r="L58" s="27" t="inlineStr">
        <is>
          <t>Standard</t>
        </is>
      </c>
      <c r="M58" s="27" t="inlineStr">
        <is>
          <t>Gauteng</t>
        </is>
      </c>
      <c r="N58" s="27" t="n">
        <v>668.89</v>
      </c>
      <c r="O58" s="27" t="n">
        <v>0.71</v>
      </c>
      <c r="P58" s="27" t="n">
        <v>41.7</v>
      </c>
      <c r="Q58" s="42">
        <f>IF(H58="","",(H58-F58)*24)</f>
        <v/>
      </c>
      <c r="R58" s="42">
        <f>IF(J58="","",(J58-H58)*24)</f>
        <v/>
      </c>
    </row>
    <row r="59" ht="15" customHeight="1" s="24">
      <c r="A59" s="27" t="n">
        <v>46009</v>
      </c>
      <c r="B59" s="27" t="inlineStr">
        <is>
          <t>PGO10046009</t>
        </is>
      </c>
      <c r="C59" s="27" t="n">
        <v>92</v>
      </c>
      <c r="D59" s="27" t="n">
        <v>1896</v>
      </c>
      <c r="E59" s="27" t="n">
        <v>444</v>
      </c>
      <c r="F59" s="41" t="n">
        <v>45191.2508371412</v>
      </c>
      <c r="G59" s="41" t="n">
        <v>45191.39928856481</v>
      </c>
      <c r="H59" s="41" t="n">
        <v>45191.79776666667</v>
      </c>
      <c r="I59" s="41" t="n">
        <v>45191.84355545139</v>
      </c>
      <c r="J59" s="41" t="n">
        <v>45192.54121728009</v>
      </c>
      <c r="K59" s="27" t="inlineStr">
        <is>
          <t>Collected</t>
        </is>
      </c>
      <c r="L59" s="27" t="inlineStr">
        <is>
          <t>Standard</t>
        </is>
      </c>
      <c r="M59" s="27" t="inlineStr">
        <is>
          <t>Gauteng</t>
        </is>
      </c>
      <c r="N59" s="27" t="n">
        <v>369.89</v>
      </c>
      <c r="O59" s="27" t="n">
        <v>1.78</v>
      </c>
      <c r="P59" s="27" t="n">
        <v>59.09</v>
      </c>
      <c r="Q59" s="42">
        <f>IF(H59="","",(H59-F59)*24)</f>
        <v/>
      </c>
      <c r="R59" s="42">
        <f>IF(J59="","",(J59-H59)*24)</f>
        <v/>
      </c>
    </row>
    <row r="60" ht="15" customHeight="1" s="24">
      <c r="A60" s="27" t="n">
        <v>56061</v>
      </c>
      <c r="B60" s="27" t="inlineStr">
        <is>
          <t>PGO10056061</t>
        </is>
      </c>
      <c r="C60" s="27" t="n">
        <v>78</v>
      </c>
      <c r="D60" s="27" t="n">
        <v>3695</v>
      </c>
      <c r="E60" s="27" t="n">
        <v>155</v>
      </c>
      <c r="F60" s="41" t="n">
        <v>45195.02905243055</v>
      </c>
      <c r="G60" s="41" t="n">
        <v>45195.32645819445</v>
      </c>
      <c r="H60" s="41" t="n">
        <v>45195.91382722222</v>
      </c>
      <c r="I60" s="41" t="n">
        <v>45195.92449273148</v>
      </c>
      <c r="J60" s="41" t="n">
        <v>45199.42064302084</v>
      </c>
      <c r="K60" s="27" t="inlineStr">
        <is>
          <t>Collected</t>
        </is>
      </c>
      <c r="L60" s="27" t="inlineStr">
        <is>
          <t>Standard</t>
        </is>
      </c>
      <c r="M60" s="27" t="inlineStr">
        <is>
          <t>Western Cape</t>
        </is>
      </c>
      <c r="N60" s="27" t="n">
        <v>525.25</v>
      </c>
      <c r="O60" s="27" t="n">
        <v>0.32</v>
      </c>
      <c r="P60" s="27" t="n">
        <v>62.18</v>
      </c>
      <c r="Q60" s="42">
        <f>IF(H60="","",(H60-F60)*24)</f>
        <v/>
      </c>
      <c r="R60" s="42">
        <f>IF(J60="","",(J60-H60)*24)</f>
        <v/>
      </c>
    </row>
    <row r="61" ht="15" customHeight="1" s="24">
      <c r="A61" s="27" t="n">
        <v>51612</v>
      </c>
      <c r="B61" s="27" t="inlineStr">
        <is>
          <t>PGO10051612</t>
        </is>
      </c>
      <c r="C61" s="27" t="n">
        <v>3</v>
      </c>
      <c r="D61" s="27" t="n">
        <v>1732</v>
      </c>
      <c r="E61" s="27" t="n">
        <v>441</v>
      </c>
      <c r="F61" s="41" t="n">
        <v>45195.10349980324</v>
      </c>
      <c r="G61" s="41" t="n">
        <v>45195.33588318287</v>
      </c>
      <c r="H61" s="41" t="n">
        <v>45195.99505597222</v>
      </c>
      <c r="I61" s="41" t="n">
        <v>45196.057471875</v>
      </c>
      <c r="J61" s="41" t="n">
        <v>45196.73707050926</v>
      </c>
      <c r="K61" s="27" t="inlineStr">
        <is>
          <t>Collected</t>
        </is>
      </c>
      <c r="L61" s="27" t="inlineStr">
        <is>
          <t>Standard</t>
        </is>
      </c>
      <c r="M61" s="27" t="inlineStr">
        <is>
          <t>Northern Cape</t>
        </is>
      </c>
      <c r="N61" s="27" t="n">
        <v>146.79</v>
      </c>
      <c r="O61" s="27" t="n">
        <v>0.9399999999999999</v>
      </c>
      <c r="P61" s="27" t="n">
        <v>37.97</v>
      </c>
      <c r="Q61" s="42">
        <f>IF(H61="","",(H61-F61)*24)</f>
        <v/>
      </c>
      <c r="R61" s="42">
        <f>IF(J61="","",(J61-H61)*24)</f>
        <v/>
      </c>
    </row>
    <row r="62" ht="15" customHeight="1" s="24">
      <c r="A62" s="27" t="n">
        <v>62021</v>
      </c>
      <c r="B62" s="27" t="inlineStr">
        <is>
          <t>PGO10062021</t>
        </is>
      </c>
      <c r="C62" s="27" t="n">
        <v>31</v>
      </c>
      <c r="D62" s="27" t="n">
        <v>1237</v>
      </c>
      <c r="E62" s="27" t="n">
        <v>260</v>
      </c>
      <c r="F62" s="41" t="n">
        <v>45196.30524043981</v>
      </c>
      <c r="G62" s="41" t="n">
        <v>45196.57133381945</v>
      </c>
      <c r="H62" s="41" t="n">
        <v>45197.11127629629</v>
      </c>
      <c r="I62" s="41" t="n">
        <v>45197.12502972222</v>
      </c>
      <c r="J62" s="41" t="n">
        <v>45197.37003453704</v>
      </c>
      <c r="K62" s="27" t="inlineStr">
        <is>
          <t>Collected</t>
        </is>
      </c>
      <c r="L62" s="27" t="inlineStr">
        <is>
          <t>Standard</t>
        </is>
      </c>
      <c r="M62" s="27" t="inlineStr">
        <is>
          <t>Eastern Cape</t>
        </is>
      </c>
      <c r="N62" s="27" t="n">
        <v>424.67</v>
      </c>
      <c r="O62" s="27" t="n">
        <v>1.18</v>
      </c>
      <c r="P62" s="27" t="n">
        <v>58.04</v>
      </c>
      <c r="Q62" s="42">
        <f>IF(H62="","",(H62-F62)*24)</f>
        <v/>
      </c>
      <c r="R62" s="42">
        <f>IF(J62="","",(J62-H62)*24)</f>
        <v/>
      </c>
    </row>
    <row r="63" ht="15" customHeight="1" s="24">
      <c r="A63" s="27" t="n">
        <v>55719</v>
      </c>
      <c r="B63" s="27" t="inlineStr">
        <is>
          <t>PGO10055719</t>
        </is>
      </c>
      <c r="C63" s="27" t="n">
        <v>92</v>
      </c>
      <c r="D63" s="27" t="n">
        <v>1614</v>
      </c>
      <c r="E63" s="27" t="n">
        <v>183</v>
      </c>
      <c r="F63" s="41" t="n">
        <v>45197.92326378472</v>
      </c>
      <c r="G63" s="41" t="n">
        <v>45198.31052877315</v>
      </c>
      <c r="H63" s="41" t="n">
        <v>45198.48439943287</v>
      </c>
      <c r="I63" s="41" t="n">
        <v>45198.49535278935</v>
      </c>
      <c r="J63" s="41" t="n">
        <v>45201.06173501157</v>
      </c>
      <c r="K63" s="27" t="inlineStr">
        <is>
          <t>Collected</t>
        </is>
      </c>
      <c r="L63" s="27" t="inlineStr">
        <is>
          <t>Return-to-Retailer</t>
        </is>
      </c>
      <c r="M63" s="27" t="inlineStr">
        <is>
          <t>Gauteng</t>
        </is>
      </c>
      <c r="N63" s="27" t="n">
        <v>2255.14</v>
      </c>
      <c r="O63" s="27" t="n">
        <v>0.15</v>
      </c>
      <c r="P63" s="27" t="n">
        <v>57.7</v>
      </c>
      <c r="Q63" s="42">
        <f>IF(H63="","",(H63-F63)*24)</f>
        <v/>
      </c>
      <c r="R63" s="42">
        <f>IF(J63="","",(J63-H63)*24)</f>
        <v/>
      </c>
    </row>
    <row r="64" ht="15" customHeight="1" s="24">
      <c r="A64" s="27" t="n">
        <v>62630</v>
      </c>
      <c r="B64" s="27" t="inlineStr">
        <is>
          <t>PGO10062630</t>
        </is>
      </c>
      <c r="C64" s="27" t="n">
        <v>47</v>
      </c>
      <c r="D64" s="27" t="n">
        <v>196</v>
      </c>
      <c r="E64" s="27" t="n">
        <v>340</v>
      </c>
      <c r="F64" s="41" t="n">
        <v>45198.25996078704</v>
      </c>
      <c r="G64" s="41" t="n">
        <v>45198.60568358796</v>
      </c>
      <c r="H64" s="41" t="n">
        <v>45199.78542133102</v>
      </c>
      <c r="I64" s="41" t="n">
        <v>45199.84789590278</v>
      </c>
      <c r="J64" s="41" t="n">
        <v>45200.60830438657</v>
      </c>
      <c r="K64" s="27" t="inlineStr">
        <is>
          <t>Collected</t>
        </is>
      </c>
      <c r="L64" s="27" t="inlineStr">
        <is>
          <t>Standard</t>
        </is>
      </c>
      <c r="M64" s="27" t="inlineStr">
        <is>
          <t>Western Cape</t>
        </is>
      </c>
      <c r="N64" s="27" t="n">
        <v>71.75</v>
      </c>
      <c r="O64" s="27" t="n">
        <v>0.36</v>
      </c>
      <c r="P64" s="27" t="n">
        <v>51.4</v>
      </c>
      <c r="Q64" s="42">
        <f>IF(H64="","",(H64-F64)*24)</f>
        <v/>
      </c>
      <c r="R64" s="42">
        <f>IF(J64="","",(J64-H64)*24)</f>
        <v/>
      </c>
    </row>
    <row r="65" ht="15" customHeight="1" s="24">
      <c r="A65" s="27" t="n">
        <v>67045</v>
      </c>
      <c r="B65" s="27" t="inlineStr">
        <is>
          <t>PGO10067045</t>
        </is>
      </c>
      <c r="C65" s="27" t="n">
        <v>65</v>
      </c>
      <c r="D65" s="27" t="n">
        <v>2700</v>
      </c>
      <c r="E65" s="27" t="n">
        <v>269</v>
      </c>
      <c r="F65" s="41" t="n">
        <v>45199.97020370371</v>
      </c>
      <c r="G65" s="41" t="n">
        <v>45200.00562605324</v>
      </c>
      <c r="H65" s="41" t="n">
        <v>45200.97509439815</v>
      </c>
      <c r="I65" s="41" t="n">
        <v>45201.03752056713</v>
      </c>
      <c r="J65" s="41" t="n">
        <v>45201.9454337037</v>
      </c>
      <c r="K65" s="27" t="inlineStr">
        <is>
          <t>Collected</t>
        </is>
      </c>
      <c r="L65" s="27" t="inlineStr">
        <is>
          <t>Standard</t>
        </is>
      </c>
      <c r="M65" s="27" t="inlineStr">
        <is>
          <t>Eastern Cape</t>
        </is>
      </c>
      <c r="N65" s="27" t="n">
        <v>223.51</v>
      </c>
      <c r="O65" s="27" t="n">
        <v>0.57</v>
      </c>
      <c r="P65" s="27" t="n">
        <v>59.69</v>
      </c>
      <c r="Q65" s="42">
        <f>IF(H65="","",(H65-F65)*24)</f>
        <v/>
      </c>
      <c r="R65" s="42">
        <f>IF(J65="","",(J65-H65)*24)</f>
        <v/>
      </c>
    </row>
    <row r="66" ht="15" customHeight="1" s="24">
      <c r="A66" s="27" t="n">
        <v>78836</v>
      </c>
      <c r="B66" s="27" t="inlineStr">
        <is>
          <t>PGO10078836</t>
        </is>
      </c>
      <c r="C66" s="27" t="n">
        <v>1</v>
      </c>
      <c r="D66" s="27" t="n">
        <v>3804</v>
      </c>
      <c r="E66" s="27" t="n">
        <v>112</v>
      </c>
      <c r="F66" s="41" t="n">
        <v>45202.88412849537</v>
      </c>
      <c r="G66" s="41" t="n">
        <v>45203.04676548611</v>
      </c>
      <c r="H66" s="41" t="n">
        <v>45203.82510346065</v>
      </c>
      <c r="I66" s="41" t="n">
        <v>45203.86313565973</v>
      </c>
      <c r="J66" s="41" t="n">
        <v>45205.87930634259</v>
      </c>
      <c r="K66" s="27" t="inlineStr">
        <is>
          <t>Collected</t>
        </is>
      </c>
      <c r="L66" s="27" t="inlineStr">
        <is>
          <t>Express</t>
        </is>
      </c>
      <c r="M66" s="27" t="inlineStr">
        <is>
          <t>Eastern Cape</t>
        </is>
      </c>
      <c r="N66" s="27" t="n">
        <v>1157.72</v>
      </c>
      <c r="O66" s="27" t="n">
        <v>2.44</v>
      </c>
      <c r="P66" s="27" t="n">
        <v>48.36</v>
      </c>
      <c r="Q66" s="42">
        <f>IF(H66="","",(H66-F66)*24)</f>
        <v/>
      </c>
      <c r="R66" s="42">
        <f>IF(J66="","",(J66-H66)*24)</f>
        <v/>
      </c>
    </row>
    <row r="67" ht="15" customHeight="1" s="24">
      <c r="A67" s="27" t="n">
        <v>69444</v>
      </c>
      <c r="B67" s="27" t="inlineStr">
        <is>
          <t>PGO10069444</t>
        </is>
      </c>
      <c r="C67" s="27" t="n">
        <v>75</v>
      </c>
      <c r="D67" s="27" t="n">
        <v>2714</v>
      </c>
      <c r="E67" s="27" t="n">
        <v>381</v>
      </c>
      <c r="F67" s="41" t="n">
        <v>45205.40130667824</v>
      </c>
      <c r="G67" s="41" t="n">
        <v>45205.70618908565</v>
      </c>
      <c r="H67" s="41" t="n">
        <v>45206.35910494213</v>
      </c>
      <c r="I67" s="41" t="n">
        <v>45206.38654442129</v>
      </c>
      <c r="J67" s="41" t="n">
        <v>45209.33707246528</v>
      </c>
      <c r="K67" s="27" t="inlineStr">
        <is>
          <t>Collected</t>
        </is>
      </c>
      <c r="L67" s="27" t="inlineStr">
        <is>
          <t>Standard</t>
        </is>
      </c>
      <c r="M67" s="27" t="inlineStr">
        <is>
          <t>North West</t>
        </is>
      </c>
      <c r="N67" s="27" t="n">
        <v>142.66</v>
      </c>
      <c r="O67" s="27" t="n">
        <v>0.31</v>
      </c>
      <c r="P67" s="27" t="n">
        <v>66.27</v>
      </c>
      <c r="Q67" s="42">
        <f>IF(H67="","",(H67-F67)*24)</f>
        <v/>
      </c>
      <c r="R67" s="42">
        <f>IF(J67="","",(J67-H67)*24)</f>
        <v/>
      </c>
    </row>
    <row r="68" ht="15" customHeight="1" s="24">
      <c r="A68" s="27" t="n">
        <v>75934</v>
      </c>
      <c r="B68" s="27" t="inlineStr">
        <is>
          <t>PGO10075934</t>
        </is>
      </c>
      <c r="C68" s="27" t="n">
        <v>34</v>
      </c>
      <c r="D68" s="27" t="n">
        <v>347</v>
      </c>
      <c r="E68" s="27" t="n">
        <v>461</v>
      </c>
      <c r="F68" s="41" t="n">
        <v>45206.614114375</v>
      </c>
      <c r="G68" s="41" t="n">
        <v>45206.66884564815</v>
      </c>
      <c r="H68" s="41" t="n">
        <v>45207.36164585648</v>
      </c>
      <c r="I68" s="41" t="n">
        <v>45207.37137690972</v>
      </c>
      <c r="J68" s="41" t="n">
        <v>45208.98151592592</v>
      </c>
      <c r="K68" s="27" t="inlineStr">
        <is>
          <t>Collected</t>
        </is>
      </c>
      <c r="L68" s="27" t="inlineStr">
        <is>
          <t>Standard</t>
        </is>
      </c>
      <c r="M68" s="27" t="inlineStr">
        <is>
          <t>Eastern Cape</t>
        </is>
      </c>
      <c r="N68" s="27" t="n">
        <v>443.83</v>
      </c>
      <c r="O68" s="27" t="n">
        <v>1.44</v>
      </c>
      <c r="P68" s="27" t="n">
        <v>56.56</v>
      </c>
      <c r="Q68" s="42">
        <f>IF(H68="","",(H68-F68)*24)</f>
        <v/>
      </c>
      <c r="R68" s="42">
        <f>IF(J68="","",(J68-H68)*24)</f>
        <v/>
      </c>
    </row>
    <row r="69" ht="15" customHeight="1" s="24">
      <c r="A69" s="27" t="n">
        <v>88653</v>
      </c>
      <c r="B69" s="27" t="inlineStr">
        <is>
          <t>PGO10088653</t>
        </is>
      </c>
      <c r="C69" s="27" t="n">
        <v>15</v>
      </c>
      <c r="D69" s="27" t="n">
        <v>3664</v>
      </c>
      <c r="E69" s="27" t="n">
        <v>153</v>
      </c>
      <c r="F69" s="41" t="n">
        <v>45206.71562200232</v>
      </c>
      <c r="G69" s="41" t="n">
        <v>45206.91248487269</v>
      </c>
      <c r="H69" s="41" t="n">
        <v>45207.95877162037</v>
      </c>
      <c r="I69" s="41" t="n">
        <v>45207.97999369213</v>
      </c>
      <c r="J69" s="41" t="n">
        <v>45210.92084920139</v>
      </c>
      <c r="K69" s="27" t="inlineStr">
        <is>
          <t>Collected</t>
        </is>
      </c>
      <c r="L69" s="27" t="inlineStr">
        <is>
          <t>Standard</t>
        </is>
      </c>
      <c r="M69" s="27" t="inlineStr">
        <is>
          <t>Limpopo</t>
        </is>
      </c>
      <c r="N69" s="27" t="n">
        <v>88.2</v>
      </c>
      <c r="O69" s="27" t="n">
        <v>0.83</v>
      </c>
      <c r="P69" s="27" t="n">
        <v>68.25</v>
      </c>
      <c r="Q69" s="42">
        <f>IF(H69="","",(H69-F69)*24)</f>
        <v/>
      </c>
      <c r="R69" s="42">
        <f>IF(J69="","",(J69-H69)*24)</f>
        <v/>
      </c>
    </row>
    <row r="70" ht="15" customHeight="1" s="24">
      <c r="A70" s="27" t="n">
        <v>90642</v>
      </c>
      <c r="B70" s="27" t="inlineStr">
        <is>
          <t>PGO10090642</t>
        </is>
      </c>
      <c r="C70" s="27" t="n">
        <v>9</v>
      </c>
      <c r="D70" s="27" t="n">
        <v>2584</v>
      </c>
      <c r="E70" s="27" t="n">
        <v>13</v>
      </c>
      <c r="F70" s="41" t="n">
        <v>45207.527705625</v>
      </c>
      <c r="G70" s="41" t="n">
        <v>45207.67808388889</v>
      </c>
      <c r="H70" s="41" t="n">
        <v>45208.03826663194</v>
      </c>
      <c r="I70" s="41" t="n">
        <v>45208.07859532408</v>
      </c>
      <c r="J70" s="41" t="n">
        <v>45210.74194125</v>
      </c>
      <c r="K70" s="27" t="inlineStr">
        <is>
          <t>Collected</t>
        </is>
      </c>
      <c r="L70" s="27" t="inlineStr">
        <is>
          <t>Standard</t>
        </is>
      </c>
      <c r="M70" s="27" t="inlineStr">
        <is>
          <t>Mpumalanga</t>
        </is>
      </c>
      <c r="N70" s="27" t="n">
        <v>465.71</v>
      </c>
      <c r="O70" s="27" t="n">
        <v>0.36</v>
      </c>
      <c r="P70" s="27" t="n">
        <v>54.83</v>
      </c>
      <c r="Q70" s="42">
        <f>IF(H70="","",(H70-F70)*24)</f>
        <v/>
      </c>
      <c r="R70" s="42">
        <f>IF(J70="","",(J70-H70)*24)</f>
        <v/>
      </c>
    </row>
    <row r="71" ht="15" customHeight="1" s="24">
      <c r="A71" s="27" t="n">
        <v>85785</v>
      </c>
      <c r="B71" s="27" t="inlineStr">
        <is>
          <t>PGO10085785</t>
        </is>
      </c>
      <c r="C71" s="27" t="n">
        <v>1</v>
      </c>
      <c r="D71" s="27" t="n">
        <v>162</v>
      </c>
      <c r="E71" s="27" t="n">
        <v>5</v>
      </c>
      <c r="F71" s="41" t="n">
        <v>45208.96317800926</v>
      </c>
      <c r="G71" s="41" t="n">
        <v>45209.0227711574</v>
      </c>
      <c r="H71" s="41" t="n">
        <v>45209.90809065972</v>
      </c>
      <c r="I71" s="41" t="n">
        <v>45209.93348453704</v>
      </c>
      <c r="J71" s="41" t="n">
        <v>45210.04451542824</v>
      </c>
      <c r="K71" s="27" t="inlineStr">
        <is>
          <t>Collected</t>
        </is>
      </c>
      <c r="L71" s="27" t="inlineStr">
        <is>
          <t>Return-to-Retailer</t>
        </is>
      </c>
      <c r="M71" s="27" t="inlineStr">
        <is>
          <t>Gauteng</t>
        </is>
      </c>
      <c r="N71" s="27" t="n">
        <v>291.12</v>
      </c>
      <c r="O71" s="27" t="n">
        <v>0.19</v>
      </c>
      <c r="P71" s="27" t="n">
        <v>47.84</v>
      </c>
      <c r="Q71" s="42">
        <f>IF(H71="","",(H71-F71)*24)</f>
        <v/>
      </c>
      <c r="R71" s="42">
        <f>IF(J71="","",(J71-H71)*24)</f>
        <v/>
      </c>
    </row>
    <row r="72" ht="15" customHeight="1" s="24">
      <c r="A72" s="27" t="n">
        <v>70243</v>
      </c>
      <c r="B72" s="27" t="inlineStr">
        <is>
          <t>PGO10070243</t>
        </is>
      </c>
      <c r="C72" s="27" t="n">
        <v>78</v>
      </c>
      <c r="D72" s="27" t="n">
        <v>3887</v>
      </c>
      <c r="E72" s="27" t="n">
        <v>350</v>
      </c>
      <c r="F72" s="41" t="n">
        <v>45212.48207063657</v>
      </c>
      <c r="G72" s="41" t="n">
        <v>45212.60794878472</v>
      </c>
      <c r="H72" s="41" t="n">
        <v>45213.07802116898</v>
      </c>
      <c r="I72" s="41" t="n">
        <v>45213.14047652778</v>
      </c>
      <c r="J72" s="41" t="n"/>
      <c r="K72" s="27" t="inlineStr">
        <is>
          <t>ExpiredRTS</t>
        </is>
      </c>
      <c r="L72" s="27" t="inlineStr">
        <is>
          <t>Standard</t>
        </is>
      </c>
      <c r="M72" s="27" t="inlineStr">
        <is>
          <t>Gauteng</t>
        </is>
      </c>
      <c r="N72" s="27" t="n">
        <v>144.81</v>
      </c>
      <c r="O72" s="27" t="n">
        <v>0.64</v>
      </c>
      <c r="P72" s="27" t="n">
        <v>66.09</v>
      </c>
      <c r="Q72" s="42">
        <f>IF(H72="","",(H72-F72)*24)</f>
        <v/>
      </c>
      <c r="R72" s="42">
        <f>IF(J72="","",(J72-H72)*24)</f>
        <v/>
      </c>
    </row>
    <row r="73" ht="15" customHeight="1" s="24">
      <c r="A73" s="27" t="n">
        <v>69708</v>
      </c>
      <c r="B73" s="27" t="inlineStr">
        <is>
          <t>PGO10069708</t>
        </is>
      </c>
      <c r="C73" s="27" t="n">
        <v>1</v>
      </c>
      <c r="D73" s="27" t="n">
        <v>3518</v>
      </c>
      <c r="E73" s="27" t="n">
        <v>379</v>
      </c>
      <c r="F73" s="41" t="n">
        <v>45219.28584670139</v>
      </c>
      <c r="G73" s="41" t="n">
        <v>45219.74150590278</v>
      </c>
      <c r="H73" s="41" t="n">
        <v>45220.01656172454</v>
      </c>
      <c r="I73" s="41" t="n">
        <v>45220.02891501157</v>
      </c>
      <c r="J73" s="41" t="n">
        <v>45222.99116241898</v>
      </c>
      <c r="K73" s="27" t="inlineStr">
        <is>
          <t>Collected</t>
        </is>
      </c>
      <c r="L73" s="27" t="inlineStr">
        <is>
          <t>Standard</t>
        </is>
      </c>
      <c r="M73" s="27" t="inlineStr">
        <is>
          <t>Gauteng</t>
        </is>
      </c>
      <c r="N73" s="27" t="n">
        <v>381.13</v>
      </c>
      <c r="O73" s="27" t="n">
        <v>0.96</v>
      </c>
      <c r="P73" s="27" t="n">
        <v>46.66</v>
      </c>
      <c r="Q73" s="42">
        <f>IF(H73="","",(H73-F73)*24)</f>
        <v/>
      </c>
      <c r="R73" s="42">
        <f>IF(J73="","",(J73-H73)*24)</f>
        <v/>
      </c>
    </row>
    <row r="74" ht="15" customHeight="1" s="24">
      <c r="A74" s="27" t="n">
        <v>77809</v>
      </c>
      <c r="B74" s="27" t="inlineStr">
        <is>
          <t>PGO10077809</t>
        </is>
      </c>
      <c r="C74" s="27" t="n">
        <v>43</v>
      </c>
      <c r="D74" s="27" t="n">
        <v>3440</v>
      </c>
      <c r="E74" s="27" t="n">
        <v>59</v>
      </c>
      <c r="F74" s="41" t="n">
        <v>45219.9065225463</v>
      </c>
      <c r="G74" s="41" t="n">
        <v>45220.13678150463</v>
      </c>
      <c r="H74" s="41" t="n">
        <v>45220.91040961805</v>
      </c>
      <c r="I74" s="41" t="n">
        <v>45220.91991106481</v>
      </c>
      <c r="J74" s="41" t="n">
        <v>45221.12220881944</v>
      </c>
      <c r="K74" s="27" t="inlineStr">
        <is>
          <t>Collected</t>
        </is>
      </c>
      <c r="L74" s="27" t="inlineStr">
        <is>
          <t>Express</t>
        </is>
      </c>
      <c r="M74" s="27" t="inlineStr">
        <is>
          <t>KwaZulu-Natal</t>
        </is>
      </c>
      <c r="N74" s="27" t="n">
        <v>220.92</v>
      </c>
      <c r="O74" s="27" t="n">
        <v>1.49</v>
      </c>
      <c r="P74" s="27" t="n">
        <v>51.43</v>
      </c>
      <c r="Q74" s="42">
        <f>IF(H74="","",(H74-F74)*24)</f>
        <v/>
      </c>
      <c r="R74" s="42">
        <f>IF(J74="","",(J74-H74)*24)</f>
        <v/>
      </c>
    </row>
    <row r="75" ht="15" customHeight="1" s="24">
      <c r="A75" s="27" t="n">
        <v>90501</v>
      </c>
      <c r="B75" s="27" t="inlineStr">
        <is>
          <t>PGO10090501</t>
        </is>
      </c>
      <c r="C75" s="27" t="n">
        <v>7</v>
      </c>
      <c r="D75" s="27" t="n">
        <v>2638</v>
      </c>
      <c r="E75" s="27" t="n">
        <v>316</v>
      </c>
      <c r="F75" s="41" t="n">
        <v>45221.67632819444</v>
      </c>
      <c r="G75" s="41" t="n">
        <v>45221.93746126157</v>
      </c>
      <c r="H75" s="41" t="n">
        <v>45222.60451123842</v>
      </c>
      <c r="I75" s="41" t="n">
        <v>45222.61511423611</v>
      </c>
      <c r="J75" s="41" t="n">
        <v>45223.07445188658</v>
      </c>
      <c r="K75" s="27" t="inlineStr">
        <is>
          <t>Collected</t>
        </is>
      </c>
      <c r="L75" s="27" t="inlineStr">
        <is>
          <t>Standard</t>
        </is>
      </c>
      <c r="M75" s="27" t="inlineStr">
        <is>
          <t>KwaZulu-Natal</t>
        </is>
      </c>
      <c r="N75" s="27" t="n">
        <v>73.66</v>
      </c>
      <c r="O75" s="27" t="n">
        <v>2.42</v>
      </c>
      <c r="P75" s="27" t="n">
        <v>47.71</v>
      </c>
      <c r="Q75" s="42">
        <f>IF(H75="","",(H75-F75)*24)</f>
        <v/>
      </c>
      <c r="R75" s="42">
        <f>IF(J75="","",(J75-H75)*24)</f>
        <v/>
      </c>
    </row>
    <row r="76" ht="15" customHeight="1" s="24">
      <c r="A76" s="27" t="n">
        <v>74697</v>
      </c>
      <c r="B76" s="27" t="inlineStr">
        <is>
          <t>PGO10074697</t>
        </is>
      </c>
      <c r="C76" s="27" t="n">
        <v>6</v>
      </c>
      <c r="D76" s="27" t="n">
        <v>712</v>
      </c>
      <c r="E76" s="27" t="n">
        <v>459</v>
      </c>
      <c r="F76" s="41" t="n">
        <v>45226.29260417824</v>
      </c>
      <c r="G76" s="41" t="n">
        <v>45226.30470689815</v>
      </c>
      <c r="H76" s="41" t="n">
        <v>45226.71597090278</v>
      </c>
      <c r="I76" s="41" t="n">
        <v>45226.75207967593</v>
      </c>
      <c r="J76" s="41" t="n">
        <v>45228.99219002315</v>
      </c>
      <c r="K76" s="27" t="inlineStr">
        <is>
          <t>Collected</t>
        </is>
      </c>
      <c r="L76" s="27" t="inlineStr">
        <is>
          <t>Standard</t>
        </is>
      </c>
      <c r="M76" s="27" t="inlineStr">
        <is>
          <t>Gauteng</t>
        </is>
      </c>
      <c r="N76" s="27" t="n">
        <v>155.58</v>
      </c>
      <c r="O76" s="27" t="n">
        <v>0.45</v>
      </c>
      <c r="P76" s="27" t="n">
        <v>41.8</v>
      </c>
      <c r="Q76" s="42">
        <f>IF(H76="","",(H76-F76)*24)</f>
        <v/>
      </c>
      <c r="R76" s="42">
        <f>IF(J76="","",(J76-H76)*24)</f>
        <v/>
      </c>
    </row>
    <row r="77" ht="15" customHeight="1" s="24">
      <c r="A77" s="27" t="n">
        <v>89984</v>
      </c>
      <c r="B77" s="27" t="inlineStr">
        <is>
          <t>PGO10089984</t>
        </is>
      </c>
      <c r="C77" s="27" t="n">
        <v>6</v>
      </c>
      <c r="D77" s="27" t="n">
        <v>2127</v>
      </c>
      <c r="E77" s="27" t="n">
        <v>252</v>
      </c>
      <c r="F77" s="41" t="n">
        <v>45226.35595508102</v>
      </c>
      <c r="G77" s="41" t="n">
        <v>45226.68579053241</v>
      </c>
      <c r="H77" s="41" t="n">
        <v>45227.11958878472</v>
      </c>
      <c r="I77" s="41" t="n">
        <v>45227.15538884259</v>
      </c>
      <c r="J77" s="41" t="n">
        <v>45227.59486619213</v>
      </c>
      <c r="K77" s="27" t="inlineStr">
        <is>
          <t>Collected</t>
        </is>
      </c>
      <c r="L77" s="27" t="inlineStr">
        <is>
          <t>Express</t>
        </is>
      </c>
      <c r="M77" s="27" t="inlineStr">
        <is>
          <t>Mpumalanga</t>
        </is>
      </c>
      <c r="N77" s="27" t="n">
        <v>1172.55</v>
      </c>
      <c r="O77" s="27" t="n">
        <v>0.52</v>
      </c>
      <c r="P77" s="27" t="n">
        <v>40.75</v>
      </c>
      <c r="Q77" s="42">
        <f>IF(H77="","",(H77-F77)*24)</f>
        <v/>
      </c>
      <c r="R77" s="42">
        <f>IF(J77="","",(J77-H77)*24)</f>
        <v/>
      </c>
    </row>
    <row r="78" ht="15" customHeight="1" s="24">
      <c r="A78" s="27" t="n">
        <v>83461</v>
      </c>
      <c r="B78" s="27" t="inlineStr">
        <is>
          <t>PGO10083461</t>
        </is>
      </c>
      <c r="C78" s="27" t="n">
        <v>145</v>
      </c>
      <c r="D78" s="27" t="n">
        <v>2493</v>
      </c>
      <c r="E78" s="27" t="n">
        <v>22</v>
      </c>
      <c r="F78" s="41" t="n">
        <v>45228.75196938658</v>
      </c>
      <c r="G78" s="41" t="n">
        <v>45228.79950381944</v>
      </c>
      <c r="H78" s="41" t="n">
        <v>45229.29917526621</v>
      </c>
      <c r="I78" s="41" t="n">
        <v>45229.30627047454</v>
      </c>
      <c r="J78" s="41" t="n">
        <v>45230.37967498843</v>
      </c>
      <c r="K78" s="27" t="inlineStr">
        <is>
          <t>Collected</t>
        </is>
      </c>
      <c r="L78" s="27" t="inlineStr">
        <is>
          <t>Standard</t>
        </is>
      </c>
      <c r="M78" s="27" t="inlineStr">
        <is>
          <t>Gauteng</t>
        </is>
      </c>
      <c r="N78" s="27" t="n">
        <v>84.54000000000001</v>
      </c>
      <c r="O78" s="27" t="n">
        <v>1.65</v>
      </c>
      <c r="P78" s="27" t="n">
        <v>53.64</v>
      </c>
      <c r="Q78" s="42">
        <f>IF(H78="","",(H78-F78)*24)</f>
        <v/>
      </c>
      <c r="R78" s="42">
        <f>IF(J78="","",(J78-H78)*24)</f>
        <v/>
      </c>
    </row>
    <row r="79" ht="15" customHeight="1" s="24">
      <c r="A79" s="27" t="n">
        <v>75974</v>
      </c>
      <c r="B79" s="27" t="inlineStr">
        <is>
          <t>PGO10075974</t>
        </is>
      </c>
      <c r="C79" s="27" t="n">
        <v>1</v>
      </c>
      <c r="D79" s="27" t="n">
        <v>64</v>
      </c>
      <c r="E79" s="27" t="n">
        <v>102</v>
      </c>
      <c r="F79" s="41" t="n">
        <v>45230.4924283912</v>
      </c>
      <c r="G79" s="41" t="n">
        <v>45230.86008925926</v>
      </c>
      <c r="H79" s="41" t="n">
        <v>45231.168306875</v>
      </c>
      <c r="I79" s="41" t="n">
        <v>45231.20114091435</v>
      </c>
      <c r="J79" s="41" t="n">
        <v>45233.32381525463</v>
      </c>
      <c r="K79" s="27" t="inlineStr">
        <is>
          <t>Collected</t>
        </is>
      </c>
      <c r="L79" s="27" t="inlineStr">
        <is>
          <t>Standard</t>
        </is>
      </c>
      <c r="M79" s="27" t="inlineStr">
        <is>
          <t>Gauteng</t>
        </is>
      </c>
      <c r="N79" s="27" t="n">
        <v>98.48999999999999</v>
      </c>
      <c r="O79" s="27" t="n">
        <v>1.7</v>
      </c>
      <c r="P79" s="27" t="n">
        <v>47.58</v>
      </c>
      <c r="Q79" s="42">
        <f>IF(H79="","",(H79-F79)*24)</f>
        <v/>
      </c>
      <c r="R79" s="42">
        <f>IF(J79="","",(J79-H79)*24)</f>
        <v/>
      </c>
    </row>
    <row r="80" ht="15" customHeight="1" s="24">
      <c r="A80" s="27" t="n">
        <v>74375</v>
      </c>
      <c r="B80" s="27" t="inlineStr">
        <is>
          <t>PGO10074375</t>
        </is>
      </c>
      <c r="C80" s="27" t="n">
        <v>7</v>
      </c>
      <c r="D80" s="27" t="n">
        <v>2905</v>
      </c>
      <c r="E80" s="27" t="n">
        <v>175</v>
      </c>
      <c r="F80" s="41" t="n">
        <v>45231.08588861111</v>
      </c>
      <c r="G80" s="41" t="n">
        <v>45231.1932831713</v>
      </c>
      <c r="H80" s="41" t="n">
        <v>45232.30691768519</v>
      </c>
      <c r="I80" s="41" t="n">
        <v>45232.33198282407</v>
      </c>
      <c r="J80" s="41" t="n">
        <v>45233.18119128472</v>
      </c>
      <c r="K80" s="27" t="inlineStr">
        <is>
          <t>Collected</t>
        </is>
      </c>
      <c r="L80" s="27" t="inlineStr">
        <is>
          <t>Standard</t>
        </is>
      </c>
      <c r="M80" s="27" t="inlineStr">
        <is>
          <t>Mpumalanga</t>
        </is>
      </c>
      <c r="N80" s="27" t="n">
        <v>7042.62</v>
      </c>
      <c r="O80" s="27" t="n">
        <v>0.64</v>
      </c>
      <c r="P80" s="27" t="n">
        <v>49.59</v>
      </c>
      <c r="Q80" s="42">
        <f>IF(H80="","",(H80-F80)*24)</f>
        <v/>
      </c>
      <c r="R80" s="42">
        <f>IF(J80="","",(J80-H80)*24)</f>
        <v/>
      </c>
    </row>
    <row r="81" ht="15" customHeight="1" s="24">
      <c r="A81" s="27" t="n">
        <v>100909</v>
      </c>
      <c r="B81" s="27" t="inlineStr">
        <is>
          <t>PGO10100909</t>
        </is>
      </c>
      <c r="C81" s="27" t="n">
        <v>72</v>
      </c>
      <c r="D81" s="27" t="n">
        <v>3729</v>
      </c>
      <c r="E81" s="27" t="n">
        <v>312</v>
      </c>
      <c r="F81" s="41" t="n">
        <v>45235.52631302083</v>
      </c>
      <c r="G81" s="41" t="n">
        <v>45235.57059878473</v>
      </c>
      <c r="H81" s="41" t="n">
        <v>45236.99232217592</v>
      </c>
      <c r="I81" s="41" t="n">
        <v>45237.03272070602</v>
      </c>
      <c r="J81" s="41" t="n">
        <v>45238.40793927083</v>
      </c>
      <c r="K81" s="27" t="inlineStr">
        <is>
          <t>Collected</t>
        </is>
      </c>
      <c r="L81" s="27" t="inlineStr">
        <is>
          <t>Standard</t>
        </is>
      </c>
      <c r="M81" s="27" t="inlineStr">
        <is>
          <t>Western Cape</t>
        </is>
      </c>
      <c r="N81" s="27" t="n">
        <v>162.37</v>
      </c>
      <c r="O81" s="27" t="n">
        <v>1.38</v>
      </c>
      <c r="P81" s="27" t="n">
        <v>61.95</v>
      </c>
      <c r="Q81" s="42">
        <f>IF(H81="","",(H81-F81)*24)</f>
        <v/>
      </c>
      <c r="R81" s="42">
        <f>IF(J81="","",(J81-H81)*24)</f>
        <v/>
      </c>
    </row>
    <row r="82" ht="15" customHeight="1" s="24">
      <c r="A82" s="27" t="n">
        <v>129996</v>
      </c>
      <c r="B82" s="27" t="inlineStr">
        <is>
          <t>PGO10129996</t>
        </is>
      </c>
      <c r="C82" s="27" t="n">
        <v>11</v>
      </c>
      <c r="D82" s="27" t="n">
        <v>1297</v>
      </c>
      <c r="E82" s="27" t="n">
        <v>355</v>
      </c>
      <c r="F82" s="41" t="n">
        <v>45235.56823333333</v>
      </c>
      <c r="G82" s="41" t="n">
        <v>45235.64236017361</v>
      </c>
      <c r="H82" s="41" t="n">
        <v>45236.64781866898</v>
      </c>
      <c r="I82" s="41" t="n">
        <v>45236.69400581018</v>
      </c>
      <c r="J82" s="41" t="n">
        <v>45237.578623125</v>
      </c>
      <c r="K82" s="27" t="inlineStr">
        <is>
          <t>Collected</t>
        </is>
      </c>
      <c r="L82" s="27" t="inlineStr">
        <is>
          <t>Standard</t>
        </is>
      </c>
      <c r="M82" s="27" t="inlineStr">
        <is>
          <t>Eastern Cape</t>
        </is>
      </c>
      <c r="N82" s="27" t="n">
        <v>57.45</v>
      </c>
      <c r="O82" s="27" t="n">
        <v>0.61</v>
      </c>
      <c r="P82" s="27" t="n">
        <v>65.7</v>
      </c>
      <c r="Q82" s="42">
        <f>IF(H82="","",(H82-F82)*24)</f>
        <v/>
      </c>
      <c r="R82" s="42">
        <f>IF(J82="","",(J82-H82)*24)</f>
        <v/>
      </c>
    </row>
    <row r="83" ht="15" customHeight="1" s="24">
      <c r="A83" s="27" t="n">
        <v>119454</v>
      </c>
      <c r="B83" s="27" t="inlineStr">
        <is>
          <t>PGO10119454</t>
        </is>
      </c>
      <c r="C83" s="27" t="n">
        <v>4</v>
      </c>
      <c r="D83" s="27" t="n">
        <v>329</v>
      </c>
      <c r="E83" s="27" t="n">
        <v>175</v>
      </c>
      <c r="F83" s="41" t="n">
        <v>45237.63822908565</v>
      </c>
      <c r="G83" s="41" t="n">
        <v>45237.75585325232</v>
      </c>
      <c r="H83" s="41" t="n">
        <v>45238.92817392361</v>
      </c>
      <c r="I83" s="41" t="n">
        <v>45238.95228033564</v>
      </c>
      <c r="J83" s="41" t="n">
        <v>45239.66826135416</v>
      </c>
      <c r="K83" s="27" t="inlineStr">
        <is>
          <t>Collected</t>
        </is>
      </c>
      <c r="L83" s="27" t="inlineStr">
        <is>
          <t>Express</t>
        </is>
      </c>
      <c r="M83" s="27" t="inlineStr">
        <is>
          <t>Mpumalanga</t>
        </is>
      </c>
      <c r="N83" s="27" t="n">
        <v>494.16</v>
      </c>
      <c r="O83" s="27" t="n">
        <v>1.66</v>
      </c>
      <c r="P83" s="27" t="n">
        <v>44.09</v>
      </c>
      <c r="Q83" s="42">
        <f>IF(H83="","",(H83-F83)*24)</f>
        <v/>
      </c>
      <c r="R83" s="42">
        <f>IF(J83="","",(J83-H83)*24)</f>
        <v/>
      </c>
    </row>
    <row r="84" ht="15" customHeight="1" s="24">
      <c r="A84" s="27" t="n">
        <v>127789</v>
      </c>
      <c r="B84" s="27" t="inlineStr">
        <is>
          <t>PGO10127789</t>
        </is>
      </c>
      <c r="C84" s="27" t="n">
        <v>23</v>
      </c>
      <c r="D84" s="27" t="n">
        <v>3402</v>
      </c>
      <c r="E84" s="27" t="n">
        <v>79</v>
      </c>
      <c r="F84" s="41" t="n">
        <v>45237.90050430556</v>
      </c>
      <c r="G84" s="41" t="n">
        <v>45238.43399354166</v>
      </c>
      <c r="H84" s="41" t="n">
        <v>45239.33880612269</v>
      </c>
      <c r="I84" s="41" t="n">
        <v>45239.36937576389</v>
      </c>
      <c r="J84" s="41" t="n">
        <v>45242.07099471065</v>
      </c>
      <c r="K84" s="27" t="inlineStr">
        <is>
          <t>Collected</t>
        </is>
      </c>
      <c r="L84" s="27" t="inlineStr">
        <is>
          <t>Standard</t>
        </is>
      </c>
      <c r="M84" s="27" t="inlineStr">
        <is>
          <t>Limpopo</t>
        </is>
      </c>
      <c r="N84" s="27" t="n">
        <v>459.64</v>
      </c>
      <c r="O84" s="27" t="n">
        <v>0.9399999999999999</v>
      </c>
      <c r="P84" s="27" t="n">
        <v>51.09</v>
      </c>
      <c r="Q84" s="42">
        <f>IF(H84="","",(H84-F84)*24)</f>
        <v/>
      </c>
      <c r="R84" s="42">
        <f>IF(J84="","",(J84-H84)*24)</f>
        <v/>
      </c>
    </row>
    <row r="85" ht="15" customHeight="1" s="24">
      <c r="A85" s="27" t="n">
        <v>98416</v>
      </c>
      <c r="B85" s="27" t="inlineStr">
        <is>
          <t>PGO10098416</t>
        </is>
      </c>
      <c r="C85" s="27" t="n">
        <v>65</v>
      </c>
      <c r="D85" s="27" t="n">
        <v>2280</v>
      </c>
      <c r="E85" s="27" t="n">
        <v>282</v>
      </c>
      <c r="F85" s="41" t="n">
        <v>45238.27838043981</v>
      </c>
      <c r="G85" s="41" t="n">
        <v>45238.5011600463</v>
      </c>
      <c r="H85" s="41" t="n">
        <v>45239.67304633102</v>
      </c>
      <c r="I85" s="41" t="n">
        <v>45239.71943184028</v>
      </c>
      <c r="J85" s="41" t="n">
        <v>45242.83423797454</v>
      </c>
      <c r="K85" s="27" t="inlineStr">
        <is>
          <t>Collected</t>
        </is>
      </c>
      <c r="L85" s="27" t="inlineStr">
        <is>
          <t>Standard</t>
        </is>
      </c>
      <c r="M85" s="27" t="inlineStr">
        <is>
          <t>Gauteng</t>
        </is>
      </c>
      <c r="N85" s="27" t="n">
        <v>553.4</v>
      </c>
      <c r="O85" s="27" t="n">
        <v>3.02</v>
      </c>
      <c r="P85" s="27" t="n">
        <v>58.57</v>
      </c>
      <c r="Q85" s="42">
        <f>IF(H85="","",(H85-F85)*24)</f>
        <v/>
      </c>
      <c r="R85" s="42">
        <f>IF(J85="","",(J85-H85)*24)</f>
        <v/>
      </c>
    </row>
    <row r="86" ht="15" customHeight="1" s="24">
      <c r="A86" s="27" t="n">
        <v>93443</v>
      </c>
      <c r="B86" s="27" t="inlineStr">
        <is>
          <t>PGO10093443</t>
        </is>
      </c>
      <c r="C86" s="27" t="n">
        <v>1</v>
      </c>
      <c r="D86" s="27" t="n">
        <v>595</v>
      </c>
      <c r="E86" s="27" t="n">
        <v>68</v>
      </c>
      <c r="F86" s="41" t="n">
        <v>45239.27153266204</v>
      </c>
      <c r="G86" s="41" t="n">
        <v>45240.44824173611</v>
      </c>
      <c r="H86" s="41" t="n">
        <v>45241.13790502315</v>
      </c>
      <c r="I86" s="41" t="n">
        <v>45241.17709655093</v>
      </c>
      <c r="J86" s="41" t="n">
        <v>45243.57294255787</v>
      </c>
      <c r="K86" s="27" t="inlineStr">
        <is>
          <t>Collected</t>
        </is>
      </c>
      <c r="L86" s="27" t="inlineStr">
        <is>
          <t>Standard</t>
        </is>
      </c>
      <c r="M86" s="27" t="inlineStr">
        <is>
          <t>Western Cape</t>
        </is>
      </c>
      <c r="N86" s="27" t="n">
        <v>280.13</v>
      </c>
      <c r="O86" s="27" t="n">
        <v>0.6</v>
      </c>
      <c r="P86" s="27" t="n">
        <v>46.31</v>
      </c>
      <c r="Q86" s="42">
        <f>IF(H86="","",(H86-F86)*24)</f>
        <v/>
      </c>
      <c r="R86" s="42">
        <f>IF(J86="","",(J86-H86)*24)</f>
        <v/>
      </c>
    </row>
    <row r="87" ht="15" customHeight="1" s="24">
      <c r="A87" s="27" t="n">
        <v>110412</v>
      </c>
      <c r="B87" s="27" t="inlineStr">
        <is>
          <t>PGO10110412</t>
        </is>
      </c>
      <c r="C87" s="27" t="n">
        <v>1</v>
      </c>
      <c r="D87" s="27" t="n">
        <v>2246</v>
      </c>
      <c r="E87" s="27" t="n">
        <v>340</v>
      </c>
      <c r="F87" s="41" t="n">
        <v>45240.35917548611</v>
      </c>
      <c r="G87" s="41" t="n">
        <v>45240.50811938658</v>
      </c>
      <c r="H87" s="41" t="n">
        <v>45241.43077831018</v>
      </c>
      <c r="I87" s="41" t="n">
        <v>45241.44161123843</v>
      </c>
      <c r="J87" s="41" t="n">
        <v>45245.00158174769</v>
      </c>
      <c r="K87" s="27" t="inlineStr">
        <is>
          <t>Collected</t>
        </is>
      </c>
      <c r="L87" s="27" t="inlineStr">
        <is>
          <t>Standard</t>
        </is>
      </c>
      <c r="M87" s="27" t="inlineStr">
        <is>
          <t>Western Cape</t>
        </is>
      </c>
      <c r="N87" s="27" t="n">
        <v>228.72</v>
      </c>
      <c r="O87" s="27" t="n">
        <v>3.02</v>
      </c>
      <c r="P87" s="27" t="n">
        <v>48.46</v>
      </c>
      <c r="Q87" s="42">
        <f>IF(H87="","",(H87-F87)*24)</f>
        <v/>
      </c>
      <c r="R87" s="42">
        <f>IF(J87="","",(J87-H87)*24)</f>
        <v/>
      </c>
    </row>
    <row r="88" ht="15" customHeight="1" s="24">
      <c r="A88" s="27" t="n">
        <v>118296</v>
      </c>
      <c r="B88" s="27" t="inlineStr">
        <is>
          <t>PGO10118296</t>
        </is>
      </c>
      <c r="C88" s="27" t="n">
        <v>85</v>
      </c>
      <c r="D88" s="27" t="n">
        <v>623</v>
      </c>
      <c r="E88" s="27" t="n">
        <v>423</v>
      </c>
      <c r="F88" s="41" t="n">
        <v>45241.6432528588</v>
      </c>
      <c r="G88" s="41" t="n">
        <v>45241.67268541667</v>
      </c>
      <c r="H88" s="41" t="n">
        <v>45242.47274232639</v>
      </c>
      <c r="I88" s="41" t="n">
        <v>45242.50420631944</v>
      </c>
      <c r="J88" s="41" t="n">
        <v>45243.08537883102</v>
      </c>
      <c r="K88" s="27" t="inlineStr">
        <is>
          <t>Collected</t>
        </is>
      </c>
      <c r="L88" s="27" t="inlineStr">
        <is>
          <t>Standard</t>
        </is>
      </c>
      <c r="M88" s="27" t="inlineStr">
        <is>
          <t>KwaZulu-Natal</t>
        </is>
      </c>
      <c r="N88" s="27" t="n">
        <v>276.63</v>
      </c>
      <c r="O88" s="27" t="n">
        <v>1.31</v>
      </c>
      <c r="P88" s="27" t="n">
        <v>68.04000000000001</v>
      </c>
      <c r="Q88" s="42">
        <f>IF(H88="","",(H88-F88)*24)</f>
        <v/>
      </c>
      <c r="R88" s="42">
        <f>IF(J88="","",(J88-H88)*24)</f>
        <v/>
      </c>
    </row>
    <row r="89" ht="15" customHeight="1" s="24">
      <c r="A89" s="27" t="n">
        <v>94573</v>
      </c>
      <c r="B89" s="27" t="inlineStr">
        <is>
          <t>PGO10094573</t>
        </is>
      </c>
      <c r="C89" s="27" t="n">
        <v>5</v>
      </c>
      <c r="D89" s="27" t="n">
        <v>1672</v>
      </c>
      <c r="E89" s="27" t="n">
        <v>149</v>
      </c>
      <c r="F89" s="41" t="n">
        <v>45241.89906210648</v>
      </c>
      <c r="G89" s="41" t="n">
        <v>45242.27295309028</v>
      </c>
      <c r="H89" s="41" t="n">
        <v>45243.30013165509</v>
      </c>
      <c r="I89" s="41" t="n">
        <v>45243.34137760416</v>
      </c>
      <c r="J89" s="41" t="n">
        <v>45247.09733395834</v>
      </c>
      <c r="K89" s="27" t="inlineStr">
        <is>
          <t>Collected</t>
        </is>
      </c>
      <c r="L89" s="27" t="inlineStr">
        <is>
          <t>Standard</t>
        </is>
      </c>
      <c r="M89" s="27" t="inlineStr">
        <is>
          <t>Eastern Cape</t>
        </is>
      </c>
      <c r="N89" s="27" t="n">
        <v>55.59</v>
      </c>
      <c r="O89" s="27" t="n">
        <v>1.09</v>
      </c>
      <c r="P89" s="27" t="n">
        <v>58.27</v>
      </c>
      <c r="Q89" s="42">
        <f>IF(H89="","",(H89-F89)*24)</f>
        <v/>
      </c>
      <c r="R89" s="42">
        <f>IF(J89="","",(J89-H89)*24)</f>
        <v/>
      </c>
    </row>
    <row r="90" ht="15" customHeight="1" s="24">
      <c r="A90" s="27" t="n">
        <v>110300</v>
      </c>
      <c r="B90" s="27" t="inlineStr">
        <is>
          <t>PGO10110300</t>
        </is>
      </c>
      <c r="C90" s="27" t="n">
        <v>4</v>
      </c>
      <c r="D90" s="27" t="n">
        <v>1087</v>
      </c>
      <c r="E90" s="27" t="n">
        <v>388</v>
      </c>
      <c r="F90" s="41" t="n">
        <v>45242.63025640047</v>
      </c>
      <c r="G90" s="41" t="n">
        <v>45242.76333758102</v>
      </c>
      <c r="H90" s="41" t="n">
        <v>45243.43122611111</v>
      </c>
      <c r="I90" s="41" t="n">
        <v>45243.48518840278</v>
      </c>
      <c r="J90" s="41" t="n">
        <v>45244.31267579861</v>
      </c>
      <c r="K90" s="27" t="inlineStr">
        <is>
          <t>Collected</t>
        </is>
      </c>
      <c r="L90" s="27" t="inlineStr">
        <is>
          <t>Return-to-Retailer</t>
        </is>
      </c>
      <c r="M90" s="27" t="inlineStr">
        <is>
          <t>Eastern Cape</t>
        </is>
      </c>
      <c r="N90" s="27" t="n">
        <v>675.16</v>
      </c>
      <c r="O90" s="27" t="n">
        <v>1.01</v>
      </c>
      <c r="P90" s="27" t="n">
        <v>43.14</v>
      </c>
      <c r="Q90" s="42">
        <f>IF(H90="","",(H90-F90)*24)</f>
        <v/>
      </c>
      <c r="R90" s="42">
        <f>IF(J90="","",(J90-H90)*24)</f>
        <v/>
      </c>
    </row>
    <row r="91" ht="15" customHeight="1" s="24">
      <c r="A91" s="27" t="n">
        <v>115428</v>
      </c>
      <c r="B91" s="27" t="inlineStr">
        <is>
          <t>PGO10115428</t>
        </is>
      </c>
      <c r="C91" s="27" t="n">
        <v>112</v>
      </c>
      <c r="D91" s="27" t="n">
        <v>600</v>
      </c>
      <c r="E91" s="27" t="n">
        <v>255</v>
      </c>
      <c r="F91" s="41" t="n">
        <v>45243.12007274306</v>
      </c>
      <c r="G91" s="41" t="n">
        <v>45243.25980113426</v>
      </c>
      <c r="H91" s="41" t="n">
        <v>45244.07059866898</v>
      </c>
      <c r="I91" s="41" t="n">
        <v>45244.13030005787</v>
      </c>
      <c r="J91" s="41" t="n">
        <v>45246.41361236111</v>
      </c>
      <c r="K91" s="27" t="inlineStr">
        <is>
          <t>Collected</t>
        </is>
      </c>
      <c r="L91" s="27" t="inlineStr">
        <is>
          <t>Express</t>
        </is>
      </c>
      <c r="M91" s="27" t="inlineStr">
        <is>
          <t>Free State</t>
        </is>
      </c>
      <c r="N91" s="27" t="n">
        <v>400.35</v>
      </c>
      <c r="O91" s="27" t="n">
        <v>0.5600000000000001</v>
      </c>
      <c r="P91" s="27" t="n">
        <v>53.7</v>
      </c>
      <c r="Q91" s="42">
        <f>IF(H91="","",(H91-F91)*24)</f>
        <v/>
      </c>
      <c r="R91" s="42">
        <f>IF(J91="","",(J91-H91)*24)</f>
        <v/>
      </c>
    </row>
    <row r="92" ht="15" customHeight="1" s="24">
      <c r="A92" s="27" t="n">
        <v>123039</v>
      </c>
      <c r="B92" s="27" t="inlineStr">
        <is>
          <t>PGO10123039</t>
        </is>
      </c>
      <c r="C92" s="27" t="n">
        <v>46</v>
      </c>
      <c r="D92" s="27" t="n">
        <v>2285</v>
      </c>
      <c r="E92" s="27" t="n">
        <v>347</v>
      </c>
      <c r="F92" s="41" t="n">
        <v>45243.86975820602</v>
      </c>
      <c r="G92" s="41" t="n">
        <v>45244.07365574074</v>
      </c>
      <c r="H92" s="41" t="n">
        <v>45244.9818233449</v>
      </c>
      <c r="I92" s="41" t="n">
        <v>45244.98536225694</v>
      </c>
      <c r="J92" s="41" t="n">
        <v>45246.07668356482</v>
      </c>
      <c r="K92" s="27" t="inlineStr">
        <is>
          <t>Collected</t>
        </is>
      </c>
      <c r="L92" s="27" t="inlineStr">
        <is>
          <t>Standard</t>
        </is>
      </c>
      <c r="M92" s="27" t="inlineStr">
        <is>
          <t>Free State</t>
        </is>
      </c>
      <c r="N92" s="27" t="n">
        <v>79.45</v>
      </c>
      <c r="O92" s="27" t="n">
        <v>1.62</v>
      </c>
      <c r="P92" s="27" t="n">
        <v>53.8</v>
      </c>
      <c r="Q92" s="42">
        <f>IF(H92="","",(H92-F92)*24)</f>
        <v/>
      </c>
      <c r="R92" s="42">
        <f>IF(J92="","",(J92-H92)*24)</f>
        <v/>
      </c>
    </row>
    <row r="93" ht="15" customHeight="1" s="24">
      <c r="A93" s="27" t="n">
        <v>92099</v>
      </c>
      <c r="B93" s="27" t="inlineStr">
        <is>
          <t>PGO10092099</t>
        </is>
      </c>
      <c r="C93" s="27" t="n">
        <v>1</v>
      </c>
      <c r="D93" s="27" t="n">
        <v>2927</v>
      </c>
      <c r="E93" s="27" t="n">
        <v>120</v>
      </c>
      <c r="F93" s="41" t="n">
        <v>45243.9039903125</v>
      </c>
      <c r="G93" s="41" t="n">
        <v>45244.03875203704</v>
      </c>
      <c r="H93" s="41" t="n">
        <v>45244.42500172454</v>
      </c>
      <c r="I93" s="41" t="n">
        <v>45244.45653103009</v>
      </c>
      <c r="J93" s="41" t="n">
        <v>45244.65877694444</v>
      </c>
      <c r="K93" s="27" t="inlineStr">
        <is>
          <t>Collected</t>
        </is>
      </c>
      <c r="L93" s="27" t="inlineStr">
        <is>
          <t>Standard</t>
        </is>
      </c>
      <c r="M93" s="27" t="inlineStr">
        <is>
          <t>Mpumalanga</t>
        </is>
      </c>
      <c r="N93" s="27" t="n">
        <v>322.89</v>
      </c>
      <c r="O93" s="27" t="n">
        <v>0.64</v>
      </c>
      <c r="P93" s="27" t="n">
        <v>48.45</v>
      </c>
      <c r="Q93" s="42">
        <f>IF(H93="","",(H93-F93)*24)</f>
        <v/>
      </c>
      <c r="R93" s="42">
        <f>IF(J93="","",(J93-H93)*24)</f>
        <v/>
      </c>
    </row>
    <row r="94" ht="15" customHeight="1" s="24">
      <c r="A94" s="27" t="n">
        <v>122283</v>
      </c>
      <c r="B94" s="27" t="inlineStr">
        <is>
          <t>PGO10122283</t>
        </is>
      </c>
      <c r="C94" s="27" t="n">
        <v>95</v>
      </c>
      <c r="D94" s="27" t="n">
        <v>2555</v>
      </c>
      <c r="E94" s="27" t="n">
        <v>498</v>
      </c>
      <c r="F94" s="41" t="n">
        <v>45245.87029278935</v>
      </c>
      <c r="G94" s="41" t="n">
        <v>45246.07368537037</v>
      </c>
      <c r="H94" s="41" t="n">
        <v>45246.65217033565</v>
      </c>
      <c r="I94" s="41" t="n">
        <v>45246.66317314815</v>
      </c>
      <c r="J94" s="41" t="n">
        <v>45248.93068583334</v>
      </c>
      <c r="K94" s="27" t="inlineStr">
        <is>
          <t>Collected</t>
        </is>
      </c>
      <c r="L94" s="27" t="inlineStr">
        <is>
          <t>Standard</t>
        </is>
      </c>
      <c r="M94" s="27" t="inlineStr">
        <is>
          <t>KwaZulu-Natal</t>
        </is>
      </c>
      <c r="N94" s="27" t="n">
        <v>443.11</v>
      </c>
      <c r="O94" s="27" t="n">
        <v>0.08</v>
      </c>
      <c r="P94" s="27" t="n">
        <v>60.91</v>
      </c>
      <c r="Q94" s="42">
        <f>IF(H94="","",(H94-F94)*24)</f>
        <v/>
      </c>
      <c r="R94" s="42">
        <f>IF(J94="","",(J94-H94)*24)</f>
        <v/>
      </c>
    </row>
    <row r="95" ht="15" customHeight="1" s="24">
      <c r="A95" s="27" t="n">
        <v>107904</v>
      </c>
      <c r="B95" s="27" t="inlineStr">
        <is>
          <t>PGO10107904</t>
        </is>
      </c>
      <c r="C95" s="27" t="n">
        <v>7</v>
      </c>
      <c r="D95" s="27" t="n">
        <v>2521</v>
      </c>
      <c r="E95" s="27" t="n">
        <v>473</v>
      </c>
      <c r="F95" s="41" t="n">
        <v>45245.90956319444</v>
      </c>
      <c r="G95" s="41" t="n">
        <v>45246.526646875</v>
      </c>
      <c r="H95" s="41" t="n">
        <v>45247.02006174769</v>
      </c>
      <c r="I95" s="41" t="n">
        <v>45247.0441903588</v>
      </c>
      <c r="J95" s="41" t="n">
        <v>45247.60787290509</v>
      </c>
      <c r="K95" s="27" t="inlineStr">
        <is>
          <t>Collected</t>
        </is>
      </c>
      <c r="L95" s="27" t="inlineStr">
        <is>
          <t>Standard</t>
        </is>
      </c>
      <c r="M95" s="27" t="inlineStr">
        <is>
          <t>Gauteng</t>
        </is>
      </c>
      <c r="N95" s="27" t="n">
        <v>1166.3</v>
      </c>
      <c r="O95" s="27" t="n">
        <v>0.73</v>
      </c>
      <c r="P95" s="27" t="n">
        <v>48.24</v>
      </c>
      <c r="Q95" s="42">
        <f>IF(H95="","",(H95-F95)*24)</f>
        <v/>
      </c>
      <c r="R95" s="42">
        <f>IF(J95="","",(J95-H95)*24)</f>
        <v/>
      </c>
    </row>
    <row r="96" ht="15" customHeight="1" s="24">
      <c r="A96" s="27" t="n">
        <v>111170</v>
      </c>
      <c r="B96" s="27" t="inlineStr">
        <is>
          <t>PGO10111170</t>
        </is>
      </c>
      <c r="C96" s="27" t="n">
        <v>2</v>
      </c>
      <c r="D96" s="27" t="n">
        <v>2785</v>
      </c>
      <c r="E96" s="27" t="n">
        <v>248</v>
      </c>
      <c r="F96" s="41" t="n">
        <v>45247.44269679398</v>
      </c>
      <c r="G96" s="41" t="n">
        <v>45247.63311099537</v>
      </c>
      <c r="H96" s="41" t="n">
        <v>45249.17626341435</v>
      </c>
      <c r="I96" s="41" t="n">
        <v>45249.20177715278</v>
      </c>
      <c r="J96" s="41" t="n">
        <v>45249.74266884259</v>
      </c>
      <c r="K96" s="27" t="inlineStr">
        <is>
          <t>Collected</t>
        </is>
      </c>
      <c r="L96" s="27" t="inlineStr">
        <is>
          <t>Express</t>
        </is>
      </c>
      <c r="M96" s="27" t="inlineStr">
        <is>
          <t>KwaZulu-Natal</t>
        </is>
      </c>
      <c r="N96" s="27" t="n">
        <v>348.85</v>
      </c>
      <c r="O96" s="27" t="n">
        <v>2.18</v>
      </c>
      <c r="P96" s="27" t="n">
        <v>51.08</v>
      </c>
      <c r="Q96" s="42">
        <f>IF(H96="","",(H96-F96)*24)</f>
        <v/>
      </c>
      <c r="R96" s="42">
        <f>IF(J96="","",(J96-H96)*24)</f>
        <v/>
      </c>
    </row>
    <row r="97" ht="15" customHeight="1" s="24">
      <c r="A97" s="27" t="n">
        <v>92284</v>
      </c>
      <c r="B97" s="27" t="inlineStr">
        <is>
          <t>PGO10092284</t>
        </is>
      </c>
      <c r="C97" s="27" t="n">
        <v>2</v>
      </c>
      <c r="D97" s="27" t="n">
        <v>2149</v>
      </c>
      <c r="E97" s="27" t="n">
        <v>138</v>
      </c>
      <c r="F97" s="41" t="n">
        <v>45248.68386274306</v>
      </c>
      <c r="G97" s="41" t="n">
        <v>45248.75950020833</v>
      </c>
      <c r="H97" s="41" t="n">
        <v>45249.78444443287</v>
      </c>
      <c r="I97" s="41" t="n">
        <v>45249.83909482639</v>
      </c>
      <c r="J97" s="41" t="n">
        <v>45251.63647212963</v>
      </c>
      <c r="K97" s="27" t="inlineStr">
        <is>
          <t>Collected</t>
        </is>
      </c>
      <c r="L97" s="27" t="inlineStr">
        <is>
          <t>Standard</t>
        </is>
      </c>
      <c r="M97" s="27" t="inlineStr">
        <is>
          <t>Limpopo</t>
        </is>
      </c>
      <c r="N97" s="27" t="n">
        <v>242.75</v>
      </c>
      <c r="O97" s="27" t="n">
        <v>0.95</v>
      </c>
      <c r="P97" s="27" t="n">
        <v>49.38</v>
      </c>
      <c r="Q97" s="42">
        <f>IF(H97="","",(H97-F97)*24)</f>
        <v/>
      </c>
      <c r="R97" s="42">
        <f>IF(J97="","",(J97-H97)*24)</f>
        <v/>
      </c>
    </row>
    <row r="98" ht="15" customHeight="1" s="24">
      <c r="A98" s="27" t="n">
        <v>96939</v>
      </c>
      <c r="B98" s="27" t="inlineStr">
        <is>
          <t>PGO10096939</t>
        </is>
      </c>
      <c r="C98" s="27" t="n">
        <v>14</v>
      </c>
      <c r="D98" s="27" t="n">
        <v>1942</v>
      </c>
      <c r="E98" s="27" t="n">
        <v>331</v>
      </c>
      <c r="F98" s="41" t="n">
        <v>45251.14954195602</v>
      </c>
      <c r="G98" s="41" t="n">
        <v>45251.33606578704</v>
      </c>
      <c r="H98" s="41" t="n">
        <v>45251.86951829861</v>
      </c>
      <c r="I98" s="41" t="n">
        <v>45251.92992674768</v>
      </c>
      <c r="J98" s="41" t="n">
        <v>45252.1259849074</v>
      </c>
      <c r="K98" s="27" t="inlineStr">
        <is>
          <t>Collected</t>
        </is>
      </c>
      <c r="L98" s="27" t="inlineStr">
        <is>
          <t>Standard</t>
        </is>
      </c>
      <c r="M98" s="27" t="inlineStr">
        <is>
          <t>Gauteng</t>
        </is>
      </c>
      <c r="N98" s="27" t="n">
        <v>115.03</v>
      </c>
      <c r="O98" s="27" t="n">
        <v>0.9</v>
      </c>
      <c r="P98" s="27" t="n">
        <v>66.66</v>
      </c>
      <c r="Q98" s="42">
        <f>IF(H98="","",(H98-F98)*24)</f>
        <v/>
      </c>
      <c r="R98" s="42">
        <f>IF(J98="","",(J98-H98)*24)</f>
        <v/>
      </c>
    </row>
    <row r="99" ht="15" customHeight="1" s="24">
      <c r="A99" s="27" t="n">
        <v>121765</v>
      </c>
      <c r="B99" s="27" t="inlineStr">
        <is>
          <t>PGO10121765</t>
        </is>
      </c>
      <c r="C99" s="27" t="n">
        <v>7</v>
      </c>
      <c r="D99" s="27" t="n">
        <v>745</v>
      </c>
      <c r="E99" s="27" t="n">
        <v>156</v>
      </c>
      <c r="F99" s="41" t="n">
        <v>45253.06461844908</v>
      </c>
      <c r="G99" s="41" t="n">
        <v>45253.47225994213</v>
      </c>
      <c r="H99" s="41" t="n">
        <v>45254.02840006944</v>
      </c>
      <c r="I99" s="41" t="n">
        <v>45254.04118670139</v>
      </c>
      <c r="J99" s="41" t="n">
        <v>45255.17372414352</v>
      </c>
      <c r="K99" s="27" t="inlineStr">
        <is>
          <t>Collected</t>
        </is>
      </c>
      <c r="L99" s="27" t="inlineStr">
        <is>
          <t>Standard</t>
        </is>
      </c>
      <c r="M99" s="27" t="inlineStr">
        <is>
          <t>Mpumalanga</t>
        </is>
      </c>
      <c r="N99" s="27" t="n">
        <v>315.98</v>
      </c>
      <c r="O99" s="27" t="n">
        <v>0.85</v>
      </c>
      <c r="P99" s="27" t="n">
        <v>47.71</v>
      </c>
      <c r="Q99" s="42">
        <f>IF(H99="","",(H99-F99)*24)</f>
        <v/>
      </c>
      <c r="R99" s="42">
        <f>IF(J99="","",(J99-H99)*24)</f>
        <v/>
      </c>
    </row>
    <row r="100" ht="15" customHeight="1" s="24">
      <c r="A100" s="27" t="n">
        <v>102898</v>
      </c>
      <c r="B100" s="27" t="inlineStr">
        <is>
          <t>PGO10102898</t>
        </is>
      </c>
      <c r="C100" s="27" t="n">
        <v>2</v>
      </c>
      <c r="D100" s="27" t="n">
        <v>1556</v>
      </c>
      <c r="E100" s="27" t="n">
        <v>416</v>
      </c>
      <c r="F100" s="41" t="n">
        <v>45253.8643830787</v>
      </c>
      <c r="G100" s="41" t="n">
        <v>45254.03583900463</v>
      </c>
      <c r="H100" s="41" t="n">
        <v>45255.91338586806</v>
      </c>
      <c r="I100" s="41" t="n">
        <v>45255.96846959491</v>
      </c>
      <c r="J100" s="41" t="n">
        <v>45257.20628576389</v>
      </c>
      <c r="K100" s="27" t="inlineStr">
        <is>
          <t>Collected</t>
        </is>
      </c>
      <c r="L100" s="27" t="inlineStr">
        <is>
          <t>Standard</t>
        </is>
      </c>
      <c r="M100" s="27" t="inlineStr">
        <is>
          <t>KwaZulu-Natal</t>
        </is>
      </c>
      <c r="N100" s="27" t="n">
        <v>176.73</v>
      </c>
      <c r="O100" s="27" t="n">
        <v>1.2</v>
      </c>
      <c r="P100" s="27" t="n">
        <v>49.73</v>
      </c>
      <c r="Q100" s="42">
        <f>IF(H100="","",(H100-F100)*24)</f>
        <v/>
      </c>
      <c r="R100" s="42">
        <f>IF(J100="","",(J100-H100)*24)</f>
        <v/>
      </c>
    </row>
    <row r="101" ht="15" customHeight="1" s="24">
      <c r="A101" s="27" t="n">
        <v>131023</v>
      </c>
      <c r="B101" s="27" t="inlineStr">
        <is>
          <t>PGO10131023</t>
        </is>
      </c>
      <c r="C101" s="27" t="n">
        <v>2</v>
      </c>
      <c r="D101" s="27" t="n">
        <v>2078</v>
      </c>
      <c r="E101" s="27" t="n">
        <v>367</v>
      </c>
      <c r="F101" s="41" t="n">
        <v>45253.91242490741</v>
      </c>
      <c r="G101" s="41" t="n">
        <v>45254.03359641204</v>
      </c>
      <c r="H101" s="41" t="n">
        <v>45255.51679248842</v>
      </c>
      <c r="I101" s="41" t="n">
        <v>45255.52336212963</v>
      </c>
      <c r="J101" s="41" t="n">
        <v>45258.00102876157</v>
      </c>
      <c r="K101" s="27" t="inlineStr">
        <is>
          <t>Collected</t>
        </is>
      </c>
      <c r="L101" s="27" t="inlineStr">
        <is>
          <t>Express</t>
        </is>
      </c>
      <c r="M101" s="27" t="inlineStr">
        <is>
          <t>Mpumalanga</t>
        </is>
      </c>
      <c r="N101" s="27" t="n">
        <v>100.81</v>
      </c>
      <c r="O101" s="27" t="n">
        <v>0.18</v>
      </c>
      <c r="P101" s="27" t="n">
        <v>48.31</v>
      </c>
      <c r="Q101" s="42">
        <f>IF(H101="","",(H101-F101)*24)</f>
        <v/>
      </c>
      <c r="R101" s="42">
        <f>IF(J101="","",(J101-H101)*24)</f>
        <v/>
      </c>
    </row>
    <row r="102" ht="15" customHeight="1" s="24">
      <c r="A102" s="27" t="n">
        <v>100462</v>
      </c>
      <c r="B102" s="27" t="inlineStr">
        <is>
          <t>PGO10100462</t>
        </is>
      </c>
      <c r="C102" s="27" t="n">
        <v>150</v>
      </c>
      <c r="D102" s="27" t="n">
        <v>1935</v>
      </c>
      <c r="E102" s="27" t="n">
        <v>181</v>
      </c>
      <c r="F102" s="41" t="n">
        <v>45256.01069453704</v>
      </c>
      <c r="G102" s="41" t="n">
        <v>45256.10569462963</v>
      </c>
      <c r="H102" s="41" t="n">
        <v>45257.24799355324</v>
      </c>
      <c r="I102" s="41" t="n">
        <v>45257.2819405324</v>
      </c>
      <c r="J102" s="41" t="n">
        <v>45260.30741952546</v>
      </c>
      <c r="K102" s="27" t="inlineStr">
        <is>
          <t>Collected</t>
        </is>
      </c>
      <c r="L102" s="27" t="inlineStr">
        <is>
          <t>Standard</t>
        </is>
      </c>
      <c r="M102" s="27" t="inlineStr">
        <is>
          <t>Free State</t>
        </is>
      </c>
      <c r="N102" s="27" t="n">
        <v>386.74</v>
      </c>
      <c r="O102" s="27" t="n">
        <v>1.38</v>
      </c>
      <c r="P102" s="27" t="n">
        <v>51.88</v>
      </c>
      <c r="Q102" s="42">
        <f>IF(H102="","",(H102-F102)*24)</f>
        <v/>
      </c>
      <c r="R102" s="42">
        <f>IF(J102="","",(J102-H102)*24)</f>
        <v/>
      </c>
    </row>
    <row r="103" ht="15" customHeight="1" s="24">
      <c r="A103" s="27" t="n">
        <v>108380</v>
      </c>
      <c r="B103" s="27" t="inlineStr">
        <is>
          <t>PGO10108380</t>
        </is>
      </c>
      <c r="C103" s="27" t="n">
        <v>1</v>
      </c>
      <c r="D103" s="27" t="n">
        <v>350</v>
      </c>
      <c r="E103" s="27" t="n">
        <v>166</v>
      </c>
      <c r="F103" s="41" t="n">
        <v>45256.60136021991</v>
      </c>
      <c r="G103" s="41" t="n">
        <v>45256.77265423611</v>
      </c>
      <c r="H103" s="41" t="n">
        <v>45257.31003216435</v>
      </c>
      <c r="I103" s="41" t="n">
        <v>45257.33155824074</v>
      </c>
      <c r="J103" s="41" t="n">
        <v>45257.38644927083</v>
      </c>
      <c r="K103" s="27" t="inlineStr">
        <is>
          <t>Collected</t>
        </is>
      </c>
      <c r="L103" s="27" t="inlineStr">
        <is>
          <t>Express</t>
        </is>
      </c>
      <c r="M103" s="27" t="inlineStr">
        <is>
          <t>Free State</t>
        </is>
      </c>
      <c r="N103" s="27" t="n">
        <v>269.35</v>
      </c>
      <c r="O103" s="27" t="n">
        <v>0.47</v>
      </c>
      <c r="P103" s="27" t="n">
        <v>44.42</v>
      </c>
      <c r="Q103" s="42">
        <f>IF(H103="","",(H103-F103)*24)</f>
        <v/>
      </c>
      <c r="R103" s="42">
        <f>IF(J103="","",(J103-H103)*24)</f>
        <v/>
      </c>
    </row>
    <row r="104" ht="15" customHeight="1" s="24">
      <c r="A104" s="27" t="n">
        <v>126224</v>
      </c>
      <c r="B104" s="27" t="inlineStr">
        <is>
          <t>PGO10126224</t>
        </is>
      </c>
      <c r="C104" s="27" t="n">
        <v>3</v>
      </c>
      <c r="D104" s="27" t="n">
        <v>3950</v>
      </c>
      <c r="E104" s="27" t="n">
        <v>68</v>
      </c>
      <c r="F104" s="41" t="n">
        <v>45257.11218380787</v>
      </c>
      <c r="G104" s="41" t="n">
        <v>45257.17941209491</v>
      </c>
      <c r="H104" s="41" t="n">
        <v>45258.69677605324</v>
      </c>
      <c r="I104" s="41" t="n">
        <v>45258.73031736111</v>
      </c>
      <c r="J104" s="41" t="n">
        <v>45259.47955935185</v>
      </c>
      <c r="K104" s="27" t="inlineStr">
        <is>
          <t>Collected</t>
        </is>
      </c>
      <c r="L104" s="27" t="inlineStr">
        <is>
          <t>Standard</t>
        </is>
      </c>
      <c r="M104" s="27" t="inlineStr">
        <is>
          <t>Western Cape</t>
        </is>
      </c>
      <c r="N104" s="27" t="n">
        <v>329.56</v>
      </c>
      <c r="O104" s="27" t="n">
        <v>2.59</v>
      </c>
      <c r="P104" s="27" t="n">
        <v>38.53</v>
      </c>
      <c r="Q104" s="42">
        <f>IF(H104="","",(H104-F104)*24)</f>
        <v/>
      </c>
      <c r="R104" s="42">
        <f>IF(J104="","",(J104-H104)*24)</f>
        <v/>
      </c>
    </row>
    <row r="105" ht="15" customHeight="1" s="24">
      <c r="A105" s="27" t="n">
        <v>121273</v>
      </c>
      <c r="B105" s="27" t="inlineStr">
        <is>
          <t>PGO10121273</t>
        </is>
      </c>
      <c r="C105" s="27" t="n">
        <v>79</v>
      </c>
      <c r="D105" s="27" t="n">
        <v>3258</v>
      </c>
      <c r="E105" s="27" t="n">
        <v>385</v>
      </c>
      <c r="F105" s="41" t="n">
        <v>45258.83734309028</v>
      </c>
      <c r="G105" s="41" t="n">
        <v>45259.35795707176</v>
      </c>
      <c r="H105" s="41" t="n">
        <v>45260.35859204861</v>
      </c>
      <c r="I105" s="41" t="n">
        <v>45260.42024832176</v>
      </c>
      <c r="J105" s="41" t="n">
        <v>45261.05070002314</v>
      </c>
      <c r="K105" s="27" t="inlineStr">
        <is>
          <t>Collected</t>
        </is>
      </c>
      <c r="L105" s="27" t="inlineStr">
        <is>
          <t>Standard</t>
        </is>
      </c>
      <c r="M105" s="27" t="inlineStr">
        <is>
          <t>Mpumalanga</t>
        </is>
      </c>
      <c r="N105" s="27" t="n">
        <v>356.88</v>
      </c>
      <c r="O105" s="27" t="n">
        <v>1.1</v>
      </c>
      <c r="P105" s="27" t="n">
        <v>42.05</v>
      </c>
      <c r="Q105" s="42">
        <f>IF(H105="","",(H105-F105)*24)</f>
        <v/>
      </c>
      <c r="R105" s="42">
        <f>IF(J105="","",(J105-H105)*24)</f>
        <v/>
      </c>
    </row>
    <row r="106" ht="15" customHeight="1" s="24">
      <c r="A106" s="27" t="n">
        <v>128142</v>
      </c>
      <c r="B106" s="27" t="inlineStr">
        <is>
          <t>PGO10128142</t>
        </is>
      </c>
      <c r="C106" s="27" t="n">
        <v>119</v>
      </c>
      <c r="D106" s="27" t="n">
        <v>1692</v>
      </c>
      <c r="E106" s="27" t="n">
        <v>13</v>
      </c>
      <c r="F106" s="41" t="n">
        <v>45259.5945716088</v>
      </c>
      <c r="G106" s="41" t="n">
        <v>45259.70070342593</v>
      </c>
      <c r="H106" s="41" t="n">
        <v>45260.06204626158</v>
      </c>
      <c r="I106" s="41" t="n">
        <v>45260.11018236111</v>
      </c>
      <c r="J106" s="41" t="n">
        <v>45260.60656810185</v>
      </c>
      <c r="K106" s="27" t="inlineStr">
        <is>
          <t>Collected</t>
        </is>
      </c>
      <c r="L106" s="27" t="inlineStr">
        <is>
          <t>Standard</t>
        </is>
      </c>
      <c r="M106" s="27" t="inlineStr">
        <is>
          <t>Mpumalanga</t>
        </is>
      </c>
      <c r="N106" s="27" t="n">
        <v>693.75</v>
      </c>
      <c r="O106" s="27" t="n">
        <v>0.36</v>
      </c>
      <c r="P106" s="27" t="n">
        <v>50.32</v>
      </c>
      <c r="Q106" s="42">
        <f>IF(H106="","",(H106-F106)*24)</f>
        <v/>
      </c>
      <c r="R106" s="42">
        <f>IF(J106="","",(J106-H106)*24)</f>
        <v/>
      </c>
    </row>
    <row r="107" ht="15" customHeight="1" s="24">
      <c r="A107" s="27" t="n">
        <v>115345</v>
      </c>
      <c r="B107" s="27" t="inlineStr">
        <is>
          <t>PGO10115345</t>
        </is>
      </c>
      <c r="C107" s="27" t="n">
        <v>6</v>
      </c>
      <c r="D107" s="27" t="n">
        <v>2260</v>
      </c>
      <c r="E107" s="27" t="n">
        <v>295</v>
      </c>
      <c r="F107" s="41" t="n">
        <v>45259.9993730787</v>
      </c>
      <c r="G107" s="41" t="n">
        <v>45260.22579567129</v>
      </c>
      <c r="H107" s="41" t="n">
        <v>45260.39714766204</v>
      </c>
      <c r="I107" s="41" t="n">
        <v>45260.44701232639</v>
      </c>
      <c r="J107" s="41" t="n">
        <v>45261.47413228009</v>
      </c>
      <c r="K107" s="27" t="inlineStr">
        <is>
          <t>Collected</t>
        </is>
      </c>
      <c r="L107" s="27" t="inlineStr">
        <is>
          <t>Standard</t>
        </is>
      </c>
      <c r="M107" s="27" t="inlineStr">
        <is>
          <t>Eastern Cape</t>
        </is>
      </c>
      <c r="N107" s="27" t="n">
        <v>100.68</v>
      </c>
      <c r="O107" s="27" t="n">
        <v>1.61</v>
      </c>
      <c r="P107" s="27" t="n">
        <v>39.53</v>
      </c>
      <c r="Q107" s="42">
        <f>IF(H107="","",(H107-F107)*24)</f>
        <v/>
      </c>
      <c r="R107" s="42">
        <f>IF(J107="","",(J107-H107)*24)</f>
        <v/>
      </c>
    </row>
    <row r="108" ht="15" customHeight="1" s="24">
      <c r="A108" s="27" t="n">
        <v>115837</v>
      </c>
      <c r="B108" s="27" t="inlineStr">
        <is>
          <t>PGO10115837</t>
        </is>
      </c>
      <c r="C108" s="27" t="n">
        <v>51</v>
      </c>
      <c r="D108" s="27" t="n">
        <v>2989</v>
      </c>
      <c r="E108" s="27" t="n">
        <v>273</v>
      </c>
      <c r="F108" s="41" t="n">
        <v>45260.19338693287</v>
      </c>
      <c r="G108" s="41" t="n">
        <v>45260.31276766204</v>
      </c>
      <c r="H108" s="41" t="n">
        <v>45261.50559288194</v>
      </c>
      <c r="I108" s="41" t="n">
        <v>45261.50931520834</v>
      </c>
      <c r="J108" s="41" t="n">
        <v>45262.63370299769</v>
      </c>
      <c r="K108" s="27" t="inlineStr">
        <is>
          <t>Collected</t>
        </is>
      </c>
      <c r="L108" s="27" t="inlineStr">
        <is>
          <t>Express</t>
        </is>
      </c>
      <c r="M108" s="27" t="inlineStr">
        <is>
          <t>KwaZulu-Natal</t>
        </is>
      </c>
      <c r="N108" s="27" t="n">
        <v>550.9</v>
      </c>
      <c r="O108" s="27" t="n">
        <v>0.27</v>
      </c>
      <c r="P108" s="27" t="n">
        <v>58.79</v>
      </c>
      <c r="Q108" s="42">
        <f>IF(H108="","",(H108-F108)*24)</f>
        <v/>
      </c>
      <c r="R108" s="42">
        <f>IF(J108="","",(J108-H108)*24)</f>
        <v/>
      </c>
    </row>
    <row r="109" ht="15" customHeight="1" s="24">
      <c r="A109" s="27" t="n">
        <v>108722</v>
      </c>
      <c r="B109" s="27" t="inlineStr">
        <is>
          <t>PGO10108722</t>
        </is>
      </c>
      <c r="C109" s="27" t="n">
        <v>138</v>
      </c>
      <c r="D109" s="27" t="n">
        <v>348</v>
      </c>
      <c r="E109" s="27" t="n">
        <v>358</v>
      </c>
      <c r="F109" s="41" t="n">
        <v>45260.94242762731</v>
      </c>
      <c r="G109" s="41" t="n">
        <v>45261.05879561343</v>
      </c>
      <c r="H109" s="41" t="n">
        <v>45261.55410018518</v>
      </c>
      <c r="I109" s="41" t="n">
        <v>45261.57550408565</v>
      </c>
      <c r="J109" s="41" t="n">
        <v>45262.7888803588</v>
      </c>
      <c r="K109" s="27" t="inlineStr">
        <is>
          <t>Collected</t>
        </is>
      </c>
      <c r="L109" s="27" t="inlineStr">
        <is>
          <t>Return-to-Retailer</t>
        </is>
      </c>
      <c r="M109" s="27" t="inlineStr">
        <is>
          <t>Eastern Cape</t>
        </is>
      </c>
      <c r="N109" s="27" t="n">
        <v>1315.78</v>
      </c>
      <c r="O109" s="27" t="n">
        <v>1.21</v>
      </c>
      <c r="P109" s="27" t="n">
        <v>55.25</v>
      </c>
      <c r="Q109" s="42">
        <f>IF(H109="","",(H109-F109)*24)</f>
        <v/>
      </c>
      <c r="R109" s="42">
        <f>IF(J109="","",(J109-H109)*24)</f>
        <v/>
      </c>
    </row>
    <row r="110" ht="15" customHeight="1" s="24">
      <c r="A110" s="27" t="n">
        <v>147957</v>
      </c>
      <c r="B110" s="27" t="inlineStr">
        <is>
          <t>PGO10147957</t>
        </is>
      </c>
      <c r="C110" s="27" t="n">
        <v>23</v>
      </c>
      <c r="D110" s="27" t="n">
        <v>3490</v>
      </c>
      <c r="E110" s="27" t="n">
        <v>332</v>
      </c>
      <c r="F110" s="41" t="n">
        <v>45262.60638375</v>
      </c>
      <c r="G110" s="41" t="n">
        <v>45262.80513023148</v>
      </c>
      <c r="H110" s="41" t="n">
        <v>45263.59922950232</v>
      </c>
      <c r="I110" s="41" t="n">
        <v>45263.6187690162</v>
      </c>
      <c r="J110" s="41" t="n">
        <v>45265.10164425926</v>
      </c>
      <c r="K110" s="27" t="inlineStr">
        <is>
          <t>Collected</t>
        </is>
      </c>
      <c r="L110" s="27" t="inlineStr">
        <is>
          <t>Standard</t>
        </is>
      </c>
      <c r="M110" s="27" t="inlineStr">
        <is>
          <t>Western Cape</t>
        </is>
      </c>
      <c r="N110" s="27" t="n">
        <v>410.06</v>
      </c>
      <c r="O110" s="27" t="n">
        <v>1.99</v>
      </c>
      <c r="P110" s="27" t="n">
        <v>51.85</v>
      </c>
      <c r="Q110" s="42">
        <f>IF(H110="","",(H110-F110)*24)</f>
        <v/>
      </c>
      <c r="R110" s="42">
        <f>IF(J110="","",(J110-H110)*24)</f>
        <v/>
      </c>
    </row>
    <row r="111" ht="15" customHeight="1" s="24">
      <c r="A111" s="27" t="n">
        <v>168817</v>
      </c>
      <c r="B111" s="27" t="inlineStr">
        <is>
          <t>PGO10168817</t>
        </is>
      </c>
      <c r="C111" s="27" t="n">
        <v>41</v>
      </c>
      <c r="D111" s="27" t="n">
        <v>3695</v>
      </c>
      <c r="E111" s="27" t="n">
        <v>167</v>
      </c>
      <c r="F111" s="41" t="n">
        <v>45263.81561258102</v>
      </c>
      <c r="G111" s="41" t="n">
        <v>45263.89538568287</v>
      </c>
      <c r="H111" s="41" t="n">
        <v>45265.17116100695</v>
      </c>
      <c r="I111" s="41" t="n">
        <v>45265.21165269676</v>
      </c>
      <c r="J111" s="41" t="n">
        <v>45266.12642475694</v>
      </c>
      <c r="K111" s="27" t="inlineStr">
        <is>
          <t>Collected</t>
        </is>
      </c>
      <c r="L111" s="27" t="inlineStr">
        <is>
          <t>Return-to-Retailer</t>
        </is>
      </c>
      <c r="M111" s="27" t="inlineStr">
        <is>
          <t>Western Cape</t>
        </is>
      </c>
      <c r="N111" s="27" t="n">
        <v>75.53</v>
      </c>
      <c r="O111" s="27" t="n">
        <v>2.05</v>
      </c>
      <c r="P111" s="27" t="n">
        <v>62.88</v>
      </c>
      <c r="Q111" s="42">
        <f>IF(H111="","",(H111-F111)*24)</f>
        <v/>
      </c>
      <c r="R111" s="42">
        <f>IF(J111="","",(J111-H111)*24)</f>
        <v/>
      </c>
    </row>
    <row r="112" ht="15" customHeight="1" s="24">
      <c r="A112" s="27" t="n">
        <v>158654</v>
      </c>
      <c r="B112" s="27" t="inlineStr">
        <is>
          <t>PGO10158654</t>
        </is>
      </c>
      <c r="C112" s="27" t="n">
        <v>4</v>
      </c>
      <c r="D112" s="27" t="n">
        <v>2631</v>
      </c>
      <c r="E112" s="27" t="n">
        <v>62</v>
      </c>
      <c r="F112" s="41" t="n">
        <v>45264.74404450232</v>
      </c>
      <c r="G112" s="41" t="n">
        <v>45264.95447005787</v>
      </c>
      <c r="H112" s="41" t="n">
        <v>45265.81699118055</v>
      </c>
      <c r="I112" s="41" t="n">
        <v>45265.84748858796</v>
      </c>
      <c r="J112" s="41" t="n">
        <v>45266.41656017361</v>
      </c>
      <c r="K112" s="27" t="inlineStr">
        <is>
          <t>Collected</t>
        </is>
      </c>
      <c r="L112" s="27" t="inlineStr">
        <is>
          <t>Standard</t>
        </is>
      </c>
      <c r="M112" s="27" t="inlineStr">
        <is>
          <t>Western Cape</t>
        </is>
      </c>
      <c r="N112" s="27" t="n">
        <v>690.9</v>
      </c>
      <c r="O112" s="27" t="n">
        <v>0.44</v>
      </c>
      <c r="P112" s="27" t="n">
        <v>44.11</v>
      </c>
      <c r="Q112" s="42">
        <f>IF(H112="","",(H112-F112)*24)</f>
        <v/>
      </c>
      <c r="R112" s="42">
        <f>IF(J112="","",(J112-H112)*24)</f>
        <v/>
      </c>
    </row>
    <row r="113" ht="15" customHeight="1" s="24">
      <c r="A113" s="27" t="n">
        <v>159793</v>
      </c>
      <c r="B113" s="27" t="inlineStr">
        <is>
          <t>PGO10159793</t>
        </is>
      </c>
      <c r="C113" s="27" t="n">
        <v>52</v>
      </c>
      <c r="D113" s="27" t="n">
        <v>2176</v>
      </c>
      <c r="E113" s="27" t="n">
        <v>47</v>
      </c>
      <c r="F113" s="41" t="n">
        <v>45265.69980142361</v>
      </c>
      <c r="G113" s="41" t="n">
        <v>45266.00693377315</v>
      </c>
      <c r="H113" s="41" t="n">
        <v>45266.55578131945</v>
      </c>
      <c r="I113" s="41" t="n">
        <v>45266.57958855324</v>
      </c>
      <c r="J113" s="41" t="n">
        <v>45267.98908818287</v>
      </c>
      <c r="K113" s="27" t="inlineStr">
        <is>
          <t>Collected</t>
        </is>
      </c>
      <c r="L113" s="27" t="inlineStr">
        <is>
          <t>Standard</t>
        </is>
      </c>
      <c r="M113" s="27" t="inlineStr">
        <is>
          <t>Gauteng</t>
        </is>
      </c>
      <c r="N113" s="27" t="n">
        <v>609.52</v>
      </c>
      <c r="O113" s="27" t="n">
        <v>2.27</v>
      </c>
      <c r="P113" s="27" t="n">
        <v>47.37</v>
      </c>
      <c r="Q113" s="42">
        <f>IF(H113="","",(H113-F113)*24)</f>
        <v/>
      </c>
      <c r="R113" s="42">
        <f>IF(J113="","",(J113-H113)*24)</f>
        <v/>
      </c>
    </row>
    <row r="114" ht="15" customHeight="1" s="24">
      <c r="A114" s="27" t="n">
        <v>160598</v>
      </c>
      <c r="B114" s="27" t="inlineStr">
        <is>
          <t>PGO10160598</t>
        </is>
      </c>
      <c r="C114" s="27" t="n">
        <v>2</v>
      </c>
      <c r="D114" s="27" t="n">
        <v>2201</v>
      </c>
      <c r="E114" s="27" t="n">
        <v>94</v>
      </c>
      <c r="F114" s="41" t="n">
        <v>45267.29575416667</v>
      </c>
      <c r="G114" s="41" t="n">
        <v>45267.43516997685</v>
      </c>
      <c r="H114" s="41" t="n">
        <v>45268.74357219908</v>
      </c>
      <c r="I114" s="41" t="n">
        <v>45268.79182269676</v>
      </c>
      <c r="J114" s="41" t="n">
        <v>45271.66422899305</v>
      </c>
      <c r="K114" s="27" t="inlineStr">
        <is>
          <t>Collected</t>
        </is>
      </c>
      <c r="L114" s="27" t="inlineStr">
        <is>
          <t>Standard</t>
        </is>
      </c>
      <c r="M114" s="27" t="inlineStr">
        <is>
          <t>KwaZulu-Natal</t>
        </is>
      </c>
      <c r="N114" s="27" t="n">
        <v>425.45</v>
      </c>
      <c r="O114" s="27" t="n">
        <v>1.02</v>
      </c>
      <c r="P114" s="27" t="n">
        <v>48.68</v>
      </c>
      <c r="Q114" s="42">
        <f>IF(H114="","",(H114-F114)*24)</f>
        <v/>
      </c>
      <c r="R114" s="42">
        <f>IF(J114="","",(J114-H114)*24)</f>
        <v/>
      </c>
    </row>
    <row r="115" ht="15" customHeight="1" s="24">
      <c r="A115" s="27" t="n">
        <v>142821</v>
      </c>
      <c r="B115" s="27" t="inlineStr">
        <is>
          <t>PGO10142821</t>
        </is>
      </c>
      <c r="C115" s="27" t="n">
        <v>1</v>
      </c>
      <c r="D115" s="27" t="n">
        <v>391</v>
      </c>
      <c r="E115" s="27" t="n">
        <v>327</v>
      </c>
      <c r="F115" s="41" t="n">
        <v>45267.71993703704</v>
      </c>
      <c r="G115" s="41" t="n">
        <v>45267.88011070602</v>
      </c>
      <c r="H115" s="41" t="n">
        <v>45268.87906709491</v>
      </c>
      <c r="I115" s="41" t="n">
        <v>45268.92077413195</v>
      </c>
      <c r="J115" s="41" t="n">
        <v>45269.81985006944</v>
      </c>
      <c r="K115" s="27" t="inlineStr">
        <is>
          <t>Collected</t>
        </is>
      </c>
      <c r="L115" s="27" t="inlineStr">
        <is>
          <t>Standard</t>
        </is>
      </c>
      <c r="M115" s="27" t="inlineStr">
        <is>
          <t>KwaZulu-Natal</t>
        </is>
      </c>
      <c r="N115" s="27" t="n">
        <v>723.1799999999999</v>
      </c>
      <c r="O115" s="27" t="n">
        <v>0.42</v>
      </c>
      <c r="P115" s="27" t="n">
        <v>44.72</v>
      </c>
      <c r="Q115" s="42">
        <f>IF(H115="","",(H115-F115)*24)</f>
        <v/>
      </c>
      <c r="R115" s="42">
        <f>IF(J115="","",(J115-H115)*24)</f>
        <v/>
      </c>
    </row>
    <row r="116" ht="15" customHeight="1" s="24">
      <c r="A116" s="27" t="n">
        <v>141421</v>
      </c>
      <c r="B116" s="27" t="inlineStr">
        <is>
          <t>PGO10141421</t>
        </is>
      </c>
      <c r="C116" s="27" t="n">
        <v>2</v>
      </c>
      <c r="D116" s="27" t="n">
        <v>1708</v>
      </c>
      <c r="E116" s="27" t="n">
        <v>493</v>
      </c>
      <c r="F116" s="41" t="n">
        <v>45268.88934795139</v>
      </c>
      <c r="G116" s="41" t="n">
        <v>45268.94994621527</v>
      </c>
      <c r="H116" s="41" t="n">
        <v>45270.17010215278</v>
      </c>
      <c r="I116" s="41" t="n">
        <v>45270.18998690973</v>
      </c>
      <c r="J116" s="41" t="n">
        <v>45272.56471024305</v>
      </c>
      <c r="K116" s="27" t="inlineStr">
        <is>
          <t>Collected</t>
        </is>
      </c>
      <c r="L116" s="27" t="inlineStr">
        <is>
          <t>Express</t>
        </is>
      </c>
      <c r="M116" s="27" t="inlineStr">
        <is>
          <t>KwaZulu-Natal</t>
        </is>
      </c>
      <c r="N116" s="27" t="n">
        <v>312.65</v>
      </c>
      <c r="O116" s="27" t="n">
        <v>0.95</v>
      </c>
      <c r="P116" s="27" t="n">
        <v>51.5</v>
      </c>
      <c r="Q116" s="42">
        <f>IF(H116="","",(H116-F116)*24)</f>
        <v/>
      </c>
      <c r="R116" s="42">
        <f>IF(J116="","",(J116-H116)*24)</f>
        <v/>
      </c>
    </row>
    <row r="117" ht="15" customHeight="1" s="24">
      <c r="A117" s="27" t="n">
        <v>152705</v>
      </c>
      <c r="B117" s="27" t="inlineStr">
        <is>
          <t>PGO10152705</t>
        </is>
      </c>
      <c r="C117" s="27" t="n">
        <v>1</v>
      </c>
      <c r="D117" s="27" t="n">
        <v>2693</v>
      </c>
      <c r="E117" s="27" t="n">
        <v>140</v>
      </c>
      <c r="F117" s="41" t="n">
        <v>45272.39106706018</v>
      </c>
      <c r="G117" s="41" t="n">
        <v>45272.55936543982</v>
      </c>
      <c r="H117" s="41" t="n">
        <v>45274.25046597223</v>
      </c>
      <c r="I117" s="41" t="n">
        <v>45274.26777407408</v>
      </c>
      <c r="J117" s="41" t="n">
        <v>45274.48636054398</v>
      </c>
      <c r="K117" s="27" t="inlineStr">
        <is>
          <t>Collected</t>
        </is>
      </c>
      <c r="L117" s="27" t="inlineStr">
        <is>
          <t>Standard</t>
        </is>
      </c>
      <c r="M117" s="27" t="inlineStr">
        <is>
          <t>Western Cape</t>
        </is>
      </c>
      <c r="N117" s="27" t="n">
        <v>433.21</v>
      </c>
      <c r="O117" s="27" t="n">
        <v>1.4</v>
      </c>
      <c r="P117" s="27" t="n">
        <v>45.25</v>
      </c>
      <c r="Q117" s="42">
        <f>IF(H117="","",(H117-F117)*24)</f>
        <v/>
      </c>
      <c r="R117" s="42">
        <f>IF(J117="","",(J117-H117)*24)</f>
        <v/>
      </c>
    </row>
    <row r="118" ht="15" customHeight="1" s="24">
      <c r="A118" s="27" t="n">
        <v>140927</v>
      </c>
      <c r="B118" s="27" t="inlineStr">
        <is>
          <t>PGO10140927</t>
        </is>
      </c>
      <c r="C118" s="27" t="n">
        <v>1</v>
      </c>
      <c r="D118" s="27" t="n">
        <v>3907</v>
      </c>
      <c r="E118" s="27" t="n">
        <v>472</v>
      </c>
      <c r="F118" s="41" t="n">
        <v>45278.67206210648</v>
      </c>
      <c r="G118" s="41" t="n">
        <v>45278.80786854167</v>
      </c>
      <c r="H118" s="41" t="n">
        <v>45280.00546561342</v>
      </c>
      <c r="I118" s="41" t="n">
        <v>45280.04028888889</v>
      </c>
      <c r="J118" s="41" t="n">
        <v>45281.51011053241</v>
      </c>
      <c r="K118" s="27" t="inlineStr">
        <is>
          <t>Collected</t>
        </is>
      </c>
      <c r="L118" s="27" t="inlineStr">
        <is>
          <t>Standard</t>
        </is>
      </c>
      <c r="M118" s="27" t="inlineStr">
        <is>
          <t>KwaZulu-Natal</t>
        </is>
      </c>
      <c r="N118" s="27" t="n">
        <v>238.59</v>
      </c>
      <c r="O118" s="27" t="n">
        <v>2.44</v>
      </c>
      <c r="P118" s="27" t="n">
        <v>47.7</v>
      </c>
      <c r="Q118" s="42">
        <f>IF(H118="","",(H118-F118)*24)</f>
        <v/>
      </c>
      <c r="R118" s="42">
        <f>IF(J118="","",(J118-H118)*24)</f>
        <v/>
      </c>
    </row>
    <row r="119" ht="15" customHeight="1" s="24">
      <c r="A119" s="27" t="n">
        <v>164666</v>
      </c>
      <c r="B119" s="27" t="inlineStr">
        <is>
          <t>PGO10164666</t>
        </is>
      </c>
      <c r="C119" s="27" t="n">
        <v>3</v>
      </c>
      <c r="D119" s="27" t="n">
        <v>1357</v>
      </c>
      <c r="E119" s="27" t="n">
        <v>296</v>
      </c>
      <c r="F119" s="41" t="n">
        <v>45279.47297972222</v>
      </c>
      <c r="G119" s="41" t="n">
        <v>45279.7889431713</v>
      </c>
      <c r="H119" s="41" t="n">
        <v>45280.7145425</v>
      </c>
      <c r="I119" s="41" t="n">
        <v>45280.74947603009</v>
      </c>
      <c r="J119" s="41" t="n">
        <v>45281.2483616088</v>
      </c>
      <c r="K119" s="27" t="inlineStr">
        <is>
          <t>Collected</t>
        </is>
      </c>
      <c r="L119" s="27" t="inlineStr">
        <is>
          <t>Standard</t>
        </is>
      </c>
      <c r="M119" s="27" t="inlineStr">
        <is>
          <t>Eastern Cape</t>
        </is>
      </c>
      <c r="N119" s="27" t="n">
        <v>212.16</v>
      </c>
      <c r="O119" s="27" t="n">
        <v>1.36</v>
      </c>
      <c r="P119" s="27" t="n">
        <v>37.34</v>
      </c>
      <c r="Q119" s="42">
        <f>IF(H119="","",(H119-F119)*24)</f>
        <v/>
      </c>
      <c r="R119" s="42">
        <f>IF(J119="","",(J119-H119)*24)</f>
        <v/>
      </c>
    </row>
    <row r="120" ht="15" customHeight="1" s="24">
      <c r="A120" s="27" t="n">
        <v>167039</v>
      </c>
      <c r="B120" s="27" t="inlineStr">
        <is>
          <t>PGO10167039</t>
        </is>
      </c>
      <c r="C120" s="27" t="n">
        <v>43</v>
      </c>
      <c r="D120" s="27" t="n">
        <v>1523</v>
      </c>
      <c r="E120" s="27" t="n">
        <v>385</v>
      </c>
      <c r="F120" s="41" t="n">
        <v>45281.557520625</v>
      </c>
      <c r="G120" s="41" t="n">
        <v>45281.61659069444</v>
      </c>
      <c r="H120" s="41" t="n">
        <v>45282.65101202546</v>
      </c>
      <c r="I120" s="41" t="n">
        <v>45282.68197322917</v>
      </c>
      <c r="J120" s="41" t="n">
        <v>45284.68863518519</v>
      </c>
      <c r="K120" s="27" t="inlineStr">
        <is>
          <t>Collected</t>
        </is>
      </c>
      <c r="L120" s="27" t="inlineStr">
        <is>
          <t>Standard</t>
        </is>
      </c>
      <c r="M120" s="27" t="inlineStr">
        <is>
          <t>Mpumalanga</t>
        </is>
      </c>
      <c r="N120" s="27" t="n">
        <v>642.5599999999999</v>
      </c>
      <c r="O120" s="27" t="n">
        <v>1.09</v>
      </c>
      <c r="P120" s="27" t="n">
        <v>50.8</v>
      </c>
      <c r="Q120" s="42">
        <f>IF(H120="","",(H120-F120)*24)</f>
        <v/>
      </c>
      <c r="R120" s="42">
        <f>IF(J120="","",(J120-H120)*24)</f>
        <v/>
      </c>
    </row>
    <row r="121" ht="15" customHeight="1" s="24">
      <c r="A121" s="27" t="n">
        <v>154591</v>
      </c>
      <c r="B121" s="27" t="inlineStr">
        <is>
          <t>PGO10154591</t>
        </is>
      </c>
      <c r="C121" s="27" t="n">
        <v>28</v>
      </c>
      <c r="D121" s="27" t="n">
        <v>3443</v>
      </c>
      <c r="E121" s="27" t="n">
        <v>142</v>
      </c>
      <c r="F121" s="41" t="n">
        <v>45283.83482185185</v>
      </c>
      <c r="G121" s="41" t="n">
        <v>45284.07121209491</v>
      </c>
      <c r="H121" s="41" t="n">
        <v>45285.12217322917</v>
      </c>
      <c r="I121" s="41" t="n">
        <v>45285.14143741898</v>
      </c>
      <c r="J121" s="41" t="n">
        <v>45288.04337603009</v>
      </c>
      <c r="K121" s="27" t="inlineStr">
        <is>
          <t>Collected</t>
        </is>
      </c>
      <c r="L121" s="27" t="inlineStr">
        <is>
          <t>Standard</t>
        </is>
      </c>
      <c r="M121" s="27" t="inlineStr">
        <is>
          <t>Limpopo</t>
        </is>
      </c>
      <c r="N121" s="27" t="n">
        <v>317.14</v>
      </c>
      <c r="O121" s="27" t="n">
        <v>0.43</v>
      </c>
      <c r="P121" s="27" t="n">
        <v>64.3</v>
      </c>
      <c r="Q121" s="42">
        <f>IF(H121="","",(H121-F121)*24)</f>
        <v/>
      </c>
      <c r="R121" s="42">
        <f>IF(J121="","",(J121-H121)*24)</f>
        <v/>
      </c>
    </row>
    <row r="122" ht="15" customHeight="1" s="24">
      <c r="A122" s="27" t="n">
        <v>154093</v>
      </c>
      <c r="B122" s="27" t="inlineStr">
        <is>
          <t>PGO10154093</t>
        </is>
      </c>
      <c r="C122" s="27" t="n">
        <v>5</v>
      </c>
      <c r="D122" s="27" t="n">
        <v>853</v>
      </c>
      <c r="E122" s="27" t="n">
        <v>459</v>
      </c>
      <c r="F122" s="41" t="n">
        <v>45289.44058804398</v>
      </c>
      <c r="G122" s="41" t="n">
        <v>45289.58229563657</v>
      </c>
      <c r="H122" s="41" t="n">
        <v>45290.29962505787</v>
      </c>
      <c r="I122" s="41" t="n">
        <v>45290.31329240741</v>
      </c>
      <c r="J122" s="41" t="n">
        <v>45291.46283768518</v>
      </c>
      <c r="K122" s="27" t="inlineStr">
        <is>
          <t>Collected</t>
        </is>
      </c>
      <c r="L122" s="27" t="inlineStr">
        <is>
          <t>Standard</t>
        </is>
      </c>
      <c r="M122" s="27" t="inlineStr">
        <is>
          <t>Gauteng</t>
        </is>
      </c>
      <c r="N122" s="27" t="n">
        <v>351.02</v>
      </c>
      <c r="O122" s="27" t="n">
        <v>3.35</v>
      </c>
      <c r="P122" s="27" t="n">
        <v>54.04</v>
      </c>
      <c r="Q122" s="42">
        <f>IF(H122="","",(H122-F122)*24)</f>
        <v/>
      </c>
      <c r="R122" s="42">
        <f>IF(J122="","",(J122-H122)*24)</f>
        <v/>
      </c>
    </row>
    <row r="123" ht="15" customHeight="1" s="24">
      <c r="A123" s="27" t="n">
        <v>148930</v>
      </c>
      <c r="B123" s="27" t="inlineStr">
        <is>
          <t>PGO10148930</t>
        </is>
      </c>
      <c r="C123" s="27" t="n">
        <v>17</v>
      </c>
      <c r="D123" s="27" t="n">
        <v>2691</v>
      </c>
      <c r="E123" s="27" t="n">
        <v>88</v>
      </c>
      <c r="F123" s="41" t="n">
        <v>45290.16308834491</v>
      </c>
      <c r="G123" s="41" t="n">
        <v>45290.26291769676</v>
      </c>
      <c r="H123" s="41" t="n">
        <v>45291.20419780093</v>
      </c>
      <c r="I123" s="41" t="n">
        <v>45291.22116042824</v>
      </c>
      <c r="J123" s="41" t="n">
        <v>45292.99071488426</v>
      </c>
      <c r="K123" s="27" t="inlineStr">
        <is>
          <t>Collected</t>
        </is>
      </c>
      <c r="L123" s="27" t="inlineStr">
        <is>
          <t>Express</t>
        </is>
      </c>
      <c r="M123" s="27" t="inlineStr">
        <is>
          <t>Western Cape</t>
        </is>
      </c>
      <c r="N123" s="27" t="n">
        <v>519.03</v>
      </c>
      <c r="O123" s="27" t="n">
        <v>0.67</v>
      </c>
      <c r="P123" s="27" t="n">
        <v>54.76</v>
      </c>
      <c r="Q123" s="42">
        <f>IF(H123="","",(H123-F123)*24)</f>
        <v/>
      </c>
      <c r="R123" s="42">
        <f>IF(J123="","",(J123-H123)*24)</f>
        <v/>
      </c>
    </row>
    <row r="124" ht="15" customHeight="1" s="24">
      <c r="A124" s="27" t="n">
        <v>140066</v>
      </c>
      <c r="B124" s="27" t="inlineStr">
        <is>
          <t>PGO10140066</t>
        </is>
      </c>
      <c r="C124" s="27" t="n">
        <v>1</v>
      </c>
      <c r="D124" s="27" t="n">
        <v>201</v>
      </c>
      <c r="E124" s="27" t="n">
        <v>106</v>
      </c>
      <c r="F124" s="41" t="n">
        <v>45291.22391096065</v>
      </c>
      <c r="G124" s="41" t="n">
        <v>45291.47152949074</v>
      </c>
      <c r="H124" s="41" t="n">
        <v>45292.01486123843</v>
      </c>
      <c r="I124" s="41" t="n">
        <v>45292.01859981482</v>
      </c>
      <c r="J124" s="41" t="n">
        <v>45293.03188525463</v>
      </c>
      <c r="K124" s="27" t="inlineStr">
        <is>
          <t>Collected</t>
        </is>
      </c>
      <c r="L124" s="27" t="inlineStr">
        <is>
          <t>Standard</t>
        </is>
      </c>
      <c r="M124" s="27" t="inlineStr">
        <is>
          <t>Gauteng</t>
        </is>
      </c>
      <c r="N124" s="27" t="n">
        <v>255.36</v>
      </c>
      <c r="O124" s="27" t="n">
        <v>2.82</v>
      </c>
      <c r="P124" s="27" t="n">
        <v>44.73</v>
      </c>
      <c r="Q124" s="42">
        <f>IF(H124="","",(H124-F124)*24)</f>
        <v/>
      </c>
      <c r="R124" s="42">
        <f>IF(J124="","",(J124-H124)*24)</f>
        <v/>
      </c>
    </row>
    <row r="125" ht="15" customHeight="1" s="24">
      <c r="A125" s="27" t="n">
        <v>154079</v>
      </c>
      <c r="B125" s="27" t="inlineStr">
        <is>
          <t>PGO10154079</t>
        </is>
      </c>
      <c r="C125" s="27" t="n">
        <v>110</v>
      </c>
      <c r="D125" s="27" t="n">
        <v>2520</v>
      </c>
      <c r="E125" s="27" t="n">
        <v>168</v>
      </c>
      <c r="F125" s="41" t="n">
        <v>45291.31078803241</v>
      </c>
      <c r="G125" s="41" t="n">
        <v>45291.40052175926</v>
      </c>
      <c r="H125" s="41" t="n">
        <v>45292.23934296297</v>
      </c>
      <c r="I125" s="41" t="n">
        <v>45292.30149670139</v>
      </c>
      <c r="J125" s="41" t="n">
        <v>45292.36527106482</v>
      </c>
      <c r="K125" s="27" t="inlineStr">
        <is>
          <t>Collected</t>
        </is>
      </c>
      <c r="L125" s="27" t="inlineStr">
        <is>
          <t>Standard</t>
        </is>
      </c>
      <c r="M125" s="27" t="inlineStr">
        <is>
          <t>Gauteng</t>
        </is>
      </c>
      <c r="N125" s="27" t="n">
        <v>187.23</v>
      </c>
      <c r="O125" s="27" t="n">
        <v>0.16</v>
      </c>
      <c r="P125" s="27" t="n">
        <v>73.48999999999999</v>
      </c>
      <c r="Q125" s="42">
        <f>IF(H125="","",(H125-F125)*24)</f>
        <v/>
      </c>
      <c r="R125" s="42">
        <f>IF(J125="","",(J125-H125)*24)</f>
        <v/>
      </c>
    </row>
    <row r="126" ht="15" customHeight="1" s="24">
      <c r="A126" s="27" t="n">
        <v>142839</v>
      </c>
      <c r="B126" s="27" t="inlineStr">
        <is>
          <t>PGO10142839</t>
        </is>
      </c>
      <c r="C126" s="27" t="n">
        <v>6</v>
      </c>
      <c r="D126" s="27" t="n">
        <v>3850</v>
      </c>
      <c r="E126" s="27" t="n">
        <v>258</v>
      </c>
      <c r="F126" s="41" t="n">
        <v>45292.06155528935</v>
      </c>
      <c r="G126" s="41" t="n">
        <v>45292.15671850694</v>
      </c>
      <c r="H126" s="41" t="n">
        <v>45292.53253666667</v>
      </c>
      <c r="I126" s="41" t="n">
        <v>45292.54222344908</v>
      </c>
      <c r="J126" s="41" t="n">
        <v>45294.73262643519</v>
      </c>
      <c r="K126" s="27" t="inlineStr">
        <is>
          <t>Collected</t>
        </is>
      </c>
      <c r="L126" s="27" t="inlineStr">
        <is>
          <t>Standard</t>
        </is>
      </c>
      <c r="M126" s="27" t="inlineStr">
        <is>
          <t>Gauteng</t>
        </is>
      </c>
      <c r="N126" s="27" t="n">
        <v>317.82</v>
      </c>
      <c r="O126" s="27" t="n">
        <v>1.7</v>
      </c>
      <c r="P126" s="27" t="n">
        <v>38.95</v>
      </c>
      <c r="Q126" s="42">
        <f>IF(H126="","",(H126-F126)*24)</f>
        <v/>
      </c>
      <c r="R126" s="42">
        <f>IF(J126="","",(J126-H126)*24)</f>
        <v/>
      </c>
    </row>
    <row r="127" ht="15" customHeight="1" s="24">
      <c r="A127" s="27" t="n">
        <v>149118</v>
      </c>
      <c r="B127" s="27" t="inlineStr">
        <is>
          <t>PGO10149118</t>
        </is>
      </c>
      <c r="C127" s="27" t="n">
        <v>20</v>
      </c>
      <c r="D127" s="27" t="n">
        <v>650</v>
      </c>
      <c r="E127" s="27" t="n">
        <v>463</v>
      </c>
      <c r="F127" s="41" t="n">
        <v>45292.71370394676</v>
      </c>
      <c r="G127" s="41" t="n">
        <v>45292.97176332176</v>
      </c>
      <c r="H127" s="41" t="n">
        <v>45293.95171601852</v>
      </c>
      <c r="I127" s="41" t="n">
        <v>45293.9855906713</v>
      </c>
      <c r="J127" s="41" t="n">
        <v>45295.78079679398</v>
      </c>
      <c r="K127" s="27" t="inlineStr">
        <is>
          <t>Collected</t>
        </is>
      </c>
      <c r="L127" s="27" t="inlineStr">
        <is>
          <t>Express</t>
        </is>
      </c>
      <c r="M127" s="27" t="inlineStr">
        <is>
          <t>Gauteng</t>
        </is>
      </c>
      <c r="N127" s="27" t="n">
        <v>627.09</v>
      </c>
      <c r="O127" s="27" t="n">
        <v>0.8100000000000001</v>
      </c>
      <c r="P127" s="27" t="n">
        <v>57.73</v>
      </c>
      <c r="Q127" s="42">
        <f>IF(H127="","",(H127-F127)*24)</f>
        <v/>
      </c>
      <c r="R127" s="42">
        <f>IF(J127="","",(J127-H127)*24)</f>
        <v/>
      </c>
    </row>
    <row r="128" ht="15" customHeight="1" s="24">
      <c r="A128" s="27" t="n">
        <v>180535</v>
      </c>
      <c r="B128" s="27" t="inlineStr">
        <is>
          <t>PGO10180535</t>
        </is>
      </c>
      <c r="C128" s="27" t="n">
        <v>1</v>
      </c>
      <c r="D128" s="27" t="n">
        <v>67</v>
      </c>
      <c r="E128" s="27" t="n">
        <v>435</v>
      </c>
      <c r="F128" s="41" t="n">
        <v>45300.23746076389</v>
      </c>
      <c r="G128" s="41" t="n">
        <v>45300.3219025</v>
      </c>
      <c r="H128" s="41" t="n">
        <v>45301.11539045139</v>
      </c>
      <c r="I128" s="41" t="n">
        <v>45301.16368228009</v>
      </c>
      <c r="J128" s="41" t="n">
        <v>45301.97707685185</v>
      </c>
      <c r="K128" s="27" t="inlineStr">
        <is>
          <t>Collected</t>
        </is>
      </c>
      <c r="L128" s="27" t="inlineStr">
        <is>
          <t>Standard</t>
        </is>
      </c>
      <c r="M128" s="27" t="inlineStr">
        <is>
          <t>KwaZulu-Natal</t>
        </is>
      </c>
      <c r="N128" s="27" t="n">
        <v>486.79</v>
      </c>
      <c r="O128" s="27" t="n">
        <v>0.28</v>
      </c>
      <c r="P128" s="27" t="n">
        <v>45.52</v>
      </c>
      <c r="Q128" s="42">
        <f>IF(H128="","",(H128-F128)*24)</f>
        <v/>
      </c>
      <c r="R128" s="42">
        <f>IF(J128="","",(J128-H128)*24)</f>
        <v/>
      </c>
    </row>
    <row r="129" ht="15" customHeight="1" s="24">
      <c r="A129" s="27" t="n">
        <v>173593</v>
      </c>
      <c r="B129" s="27" t="inlineStr">
        <is>
          <t>PGO10173593</t>
        </is>
      </c>
      <c r="C129" s="27" t="n">
        <v>21</v>
      </c>
      <c r="D129" s="27" t="n">
        <v>3847</v>
      </c>
      <c r="E129" s="27" t="n">
        <v>277</v>
      </c>
      <c r="F129" s="41" t="n">
        <v>45302.59776559028</v>
      </c>
      <c r="G129" s="41" t="n">
        <v>45302.76853690972</v>
      </c>
      <c r="H129" s="41" t="n">
        <v>45303.92032697917</v>
      </c>
      <c r="I129" s="41" t="n">
        <v>45303.96139052083</v>
      </c>
      <c r="J129" s="41" t="n">
        <v>45304.97920181713</v>
      </c>
      <c r="K129" s="27" t="inlineStr">
        <is>
          <t>Collected</t>
        </is>
      </c>
      <c r="L129" s="27" t="inlineStr">
        <is>
          <t>Standard</t>
        </is>
      </c>
      <c r="M129" s="27" t="inlineStr">
        <is>
          <t>Eastern Cape</t>
        </is>
      </c>
      <c r="N129" s="27" t="n">
        <v>646.36</v>
      </c>
      <c r="O129" s="27" t="n">
        <v>4.77</v>
      </c>
      <c r="P129" s="27" t="n">
        <v>61.07</v>
      </c>
      <c r="Q129" s="42">
        <f>IF(H129="","",(H129-F129)*24)</f>
        <v/>
      </c>
      <c r="R129" s="42">
        <f>IF(J129="","",(J129-H129)*24)</f>
        <v/>
      </c>
    </row>
    <row r="130" ht="15" customHeight="1" s="24">
      <c r="A130" s="27" t="n">
        <v>175634</v>
      </c>
      <c r="B130" s="27" t="inlineStr">
        <is>
          <t>PGO10175634</t>
        </is>
      </c>
      <c r="C130" s="27" t="n">
        <v>25</v>
      </c>
      <c r="D130" s="27" t="n">
        <v>1728</v>
      </c>
      <c r="E130" s="27" t="n">
        <v>293</v>
      </c>
      <c r="F130" s="41" t="n">
        <v>45304.34151553241</v>
      </c>
      <c r="G130" s="41" t="n">
        <v>45304.42961930556</v>
      </c>
      <c r="H130" s="41" t="n">
        <v>45305.62124814815</v>
      </c>
      <c r="I130" s="41" t="n">
        <v>45305.63190194444</v>
      </c>
      <c r="J130" s="41" t="n">
        <v>45306.68217905093</v>
      </c>
      <c r="K130" s="27" t="inlineStr">
        <is>
          <t>Collected</t>
        </is>
      </c>
      <c r="L130" s="27" t="inlineStr">
        <is>
          <t>Standard</t>
        </is>
      </c>
      <c r="M130" s="27" t="inlineStr">
        <is>
          <t>Limpopo</t>
        </is>
      </c>
      <c r="N130" s="27" t="n">
        <v>139.89</v>
      </c>
      <c r="O130" s="27" t="n">
        <v>0.84</v>
      </c>
      <c r="P130" s="27" t="n">
        <v>59.64</v>
      </c>
      <c r="Q130" s="42">
        <f>IF(H130="","",(H130-F130)*24)</f>
        <v/>
      </c>
      <c r="R130" s="42">
        <f>IF(J130="","",(J130-H130)*24)</f>
        <v/>
      </c>
    </row>
    <row r="131" ht="15" customHeight="1" s="24">
      <c r="A131" s="27" t="n">
        <v>183463</v>
      </c>
      <c r="B131" s="27" t="inlineStr">
        <is>
          <t>PGO10183463</t>
        </is>
      </c>
      <c r="C131" s="27" t="n">
        <v>4</v>
      </c>
      <c r="D131" s="27" t="n">
        <v>1082</v>
      </c>
      <c r="E131" s="27" t="n">
        <v>388</v>
      </c>
      <c r="F131" s="41" t="n">
        <v>45313.71232226852</v>
      </c>
      <c r="G131" s="41" t="n">
        <v>45313.96695736111</v>
      </c>
      <c r="H131" s="41" t="n">
        <v>45315.79918074074</v>
      </c>
      <c r="I131" s="41" t="n">
        <v>45315.81602655093</v>
      </c>
      <c r="J131" s="41" t="n">
        <v>45317.52872456019</v>
      </c>
      <c r="K131" s="27" t="inlineStr">
        <is>
          <t>Collected</t>
        </is>
      </c>
      <c r="L131" s="27" t="inlineStr">
        <is>
          <t>Standard</t>
        </is>
      </c>
      <c r="M131" s="27" t="inlineStr">
        <is>
          <t>Eastern Cape</t>
        </is>
      </c>
      <c r="N131" s="27" t="n">
        <v>867.79</v>
      </c>
      <c r="O131" s="27" t="n">
        <v>2.59</v>
      </c>
      <c r="P131" s="27" t="n">
        <v>42.35</v>
      </c>
      <c r="Q131" s="42">
        <f>IF(H131="","",(H131-F131)*24)</f>
        <v/>
      </c>
      <c r="R131" s="42">
        <f>IF(J131="","",(J131-H131)*24)</f>
        <v/>
      </c>
    </row>
    <row r="132" ht="15" customHeight="1" s="24">
      <c r="A132" s="27" t="n">
        <v>179848</v>
      </c>
      <c r="B132" s="27" t="inlineStr">
        <is>
          <t>PGO10179848</t>
        </is>
      </c>
      <c r="C132" s="27" t="n">
        <v>23</v>
      </c>
      <c r="D132" s="27" t="n">
        <v>118</v>
      </c>
      <c r="E132" s="27" t="n">
        <v>394</v>
      </c>
      <c r="F132" s="41" t="n">
        <v>45314.74918509259</v>
      </c>
      <c r="G132" s="41" t="n">
        <v>45314.85846157408</v>
      </c>
      <c r="H132" s="41" t="n">
        <v>45315.96069695602</v>
      </c>
      <c r="I132" s="41" t="n">
        <v>45315.97268071759</v>
      </c>
      <c r="J132" s="41" t="n">
        <v>45317.85526747685</v>
      </c>
      <c r="K132" s="27" t="inlineStr">
        <is>
          <t>Collected</t>
        </is>
      </c>
      <c r="L132" s="27" t="inlineStr">
        <is>
          <t>Express</t>
        </is>
      </c>
      <c r="M132" s="27" t="inlineStr">
        <is>
          <t>North West</t>
        </is>
      </c>
      <c r="N132" s="27" t="n">
        <v>96.44</v>
      </c>
      <c r="O132" s="27" t="n">
        <v>0.34</v>
      </c>
      <c r="P132" s="27" t="n">
        <v>47.28</v>
      </c>
      <c r="Q132" s="42">
        <f>IF(H132="","",(H132-F132)*24)</f>
        <v/>
      </c>
      <c r="R132" s="42">
        <f>IF(J132="","",(J132-H132)*24)</f>
        <v/>
      </c>
    </row>
    <row r="133" ht="15" customHeight="1" s="24">
      <c r="A133" s="27" t="n">
        <v>173888</v>
      </c>
      <c r="B133" s="27" t="inlineStr">
        <is>
          <t>PGO10173888</t>
        </is>
      </c>
      <c r="C133" s="27" t="n">
        <v>2</v>
      </c>
      <c r="D133" s="27" t="n">
        <v>3027</v>
      </c>
      <c r="E133" s="27" t="n">
        <v>230</v>
      </c>
      <c r="F133" s="41" t="n">
        <v>45318.16670878472</v>
      </c>
      <c r="G133" s="41" t="n">
        <v>45318.28285907408</v>
      </c>
      <c r="H133" s="41" t="n">
        <v>45318.56520685185</v>
      </c>
      <c r="I133" s="41" t="n">
        <v>45318.6090194213</v>
      </c>
      <c r="J133" s="41" t="n">
        <v>45319.84633658565</v>
      </c>
      <c r="K133" s="27" t="inlineStr">
        <is>
          <t>Collected</t>
        </is>
      </c>
      <c r="L133" s="27" t="inlineStr">
        <is>
          <t>Standard</t>
        </is>
      </c>
      <c r="M133" s="27" t="inlineStr">
        <is>
          <t>Gauteng</t>
        </is>
      </c>
      <c r="N133" s="27" t="n">
        <v>31.55</v>
      </c>
      <c r="O133" s="27" t="n">
        <v>4.47</v>
      </c>
      <c r="P133" s="27" t="n">
        <v>52.01</v>
      </c>
      <c r="Q133" s="42">
        <f>IF(H133="","",(H133-F133)*24)</f>
        <v/>
      </c>
      <c r="R133" s="42">
        <f>IF(J133="","",(J133-H133)*24)</f>
        <v/>
      </c>
    </row>
    <row r="134" ht="15" customHeight="1" s="24">
      <c r="A134" s="27" t="n">
        <v>179146</v>
      </c>
      <c r="B134" s="27" t="inlineStr">
        <is>
          <t>PGO10179146</t>
        </is>
      </c>
      <c r="C134" s="27" t="n">
        <v>2</v>
      </c>
      <c r="D134" s="27" t="n">
        <v>1742</v>
      </c>
      <c r="E134" s="27" t="n">
        <v>102</v>
      </c>
      <c r="F134" s="41" t="n">
        <v>45319.58898829861</v>
      </c>
      <c r="G134" s="41" t="n">
        <v>45319.6667093287</v>
      </c>
      <c r="H134" s="41" t="n">
        <v>45320.70399104166</v>
      </c>
      <c r="I134" s="41" t="n">
        <v>45320.75092076389</v>
      </c>
      <c r="J134" s="41" t="n">
        <v>45320.96230769676</v>
      </c>
      <c r="K134" s="27" t="inlineStr">
        <is>
          <t>Collected</t>
        </is>
      </c>
      <c r="L134" s="27" t="inlineStr">
        <is>
          <t>Standard</t>
        </is>
      </c>
      <c r="M134" s="27" t="inlineStr">
        <is>
          <t>Gauteng</t>
        </is>
      </c>
      <c r="N134" s="27" t="n">
        <v>292.95</v>
      </c>
      <c r="O134" s="27" t="n">
        <v>0.41</v>
      </c>
      <c r="P134" s="27" t="n">
        <v>51.83</v>
      </c>
      <c r="Q134" s="42">
        <f>IF(H134="","",(H134-F134)*24)</f>
        <v/>
      </c>
      <c r="R134" s="42">
        <f>IF(J134="","",(J134-H134)*24)</f>
        <v/>
      </c>
    </row>
    <row r="135" ht="15" customHeight="1" s="24">
      <c r="A135" s="27" t="n">
        <v>174698</v>
      </c>
      <c r="B135" s="27" t="inlineStr">
        <is>
          <t>PGO10174698</t>
        </is>
      </c>
      <c r="C135" s="27" t="n">
        <v>2</v>
      </c>
      <c r="D135" s="27" t="n">
        <v>3049</v>
      </c>
      <c r="E135" s="27" t="n">
        <v>464</v>
      </c>
      <c r="F135" s="41" t="n">
        <v>45320.1738383449</v>
      </c>
      <c r="G135" s="41" t="n">
        <v>45320.21452</v>
      </c>
      <c r="H135" s="41" t="n">
        <v>45321.75022740741</v>
      </c>
      <c r="I135" s="41" t="n">
        <v>45321.80580008102</v>
      </c>
      <c r="J135" s="41" t="n">
        <v>45323.32169201389</v>
      </c>
      <c r="K135" s="27" t="inlineStr">
        <is>
          <t>Collected</t>
        </is>
      </c>
      <c r="L135" s="27" t="inlineStr">
        <is>
          <t>Express</t>
        </is>
      </c>
      <c r="M135" s="27" t="inlineStr">
        <is>
          <t>Northern Cape</t>
        </is>
      </c>
      <c r="N135" s="27" t="n">
        <v>234.6</v>
      </c>
      <c r="O135" s="27" t="n">
        <v>1.37</v>
      </c>
      <c r="P135" s="27" t="n">
        <v>48.39</v>
      </c>
      <c r="Q135" s="42">
        <f>IF(H135="","",(H135-F135)*24)</f>
        <v/>
      </c>
      <c r="R135" s="42">
        <f>IF(J135="","",(J135-H135)*24)</f>
        <v/>
      </c>
    </row>
    <row r="136" ht="15" customHeight="1" s="24">
      <c r="A136" s="27" t="n">
        <v>187404</v>
      </c>
      <c r="B136" s="27" t="inlineStr">
        <is>
          <t>PGO10187404</t>
        </is>
      </c>
      <c r="C136" s="27" t="n">
        <v>4</v>
      </c>
      <c r="D136" s="27" t="n">
        <v>3589</v>
      </c>
      <c r="E136" s="27" t="n">
        <v>365</v>
      </c>
      <c r="F136" s="41" t="n">
        <v>45323.25966408565</v>
      </c>
      <c r="G136" s="41" t="n">
        <v>45324.27471195602</v>
      </c>
      <c r="H136" s="41" t="n">
        <v>45325.12554634259</v>
      </c>
      <c r="I136" s="41" t="n">
        <v>45325.14786016204</v>
      </c>
      <c r="J136" s="41" t="n">
        <v>45325.6342074537</v>
      </c>
      <c r="K136" s="27" t="inlineStr">
        <is>
          <t>Collected</t>
        </is>
      </c>
      <c r="L136" s="27" t="inlineStr">
        <is>
          <t>Express</t>
        </is>
      </c>
      <c r="M136" s="27" t="inlineStr">
        <is>
          <t>Gauteng</t>
        </is>
      </c>
      <c r="N136" s="27" t="n">
        <v>329.76</v>
      </c>
      <c r="O136" s="27" t="n">
        <v>2.02</v>
      </c>
      <c r="P136" s="27" t="n">
        <v>42.36</v>
      </c>
      <c r="Q136" s="42">
        <f>IF(H136="","",(H136-F136)*24)</f>
        <v/>
      </c>
      <c r="R136" s="42">
        <f>IF(J136="","",(J136-H136)*24)</f>
        <v/>
      </c>
    </row>
    <row r="137" ht="15" customHeight="1" s="24">
      <c r="A137" s="27" t="n">
        <v>191794</v>
      </c>
      <c r="B137" s="27" t="inlineStr">
        <is>
          <t>PGO10191794</t>
        </is>
      </c>
      <c r="C137" s="27" t="n">
        <v>5</v>
      </c>
      <c r="D137" s="27" t="n">
        <v>3205</v>
      </c>
      <c r="E137" s="27" t="n">
        <v>38</v>
      </c>
      <c r="F137" s="41" t="n">
        <v>45324.00680003472</v>
      </c>
      <c r="G137" s="41" t="n">
        <v>45324.15036607639</v>
      </c>
      <c r="H137" s="41" t="n">
        <v>45325.42950942129</v>
      </c>
      <c r="I137" s="41" t="n">
        <v>45325.47524061343</v>
      </c>
      <c r="J137" s="41" t="n">
        <v>45328.19167001158</v>
      </c>
      <c r="K137" s="27" t="inlineStr">
        <is>
          <t>Collected</t>
        </is>
      </c>
      <c r="L137" s="27" t="inlineStr">
        <is>
          <t>Standard</t>
        </is>
      </c>
      <c r="M137" s="27" t="inlineStr">
        <is>
          <t>Eastern Cape</t>
        </is>
      </c>
      <c r="N137" s="27" t="n">
        <v>546.48</v>
      </c>
      <c r="O137" s="27" t="n">
        <v>0.26</v>
      </c>
      <c r="P137" s="27" t="n">
        <v>56.86</v>
      </c>
      <c r="Q137" s="42">
        <f>IF(H137="","",(H137-F137)*24)</f>
        <v/>
      </c>
      <c r="R137" s="42">
        <f>IF(J137="","",(J137-H137)*24)</f>
        <v/>
      </c>
    </row>
    <row r="138" ht="15" customHeight="1" s="24">
      <c r="A138" s="27" t="n">
        <v>201326</v>
      </c>
      <c r="B138" s="27" t="inlineStr">
        <is>
          <t>PGO10201326</t>
        </is>
      </c>
      <c r="C138" s="27" t="n">
        <v>6</v>
      </c>
      <c r="D138" s="27" t="n">
        <v>900</v>
      </c>
      <c r="E138" s="27" t="n">
        <v>345</v>
      </c>
      <c r="F138" s="41" t="n">
        <v>45326.20620797454</v>
      </c>
      <c r="G138" s="41" t="n">
        <v>45326.34773069445</v>
      </c>
      <c r="H138" s="41" t="n">
        <v>45326.75941795139</v>
      </c>
      <c r="I138" s="41" t="n">
        <v>45326.81250842592</v>
      </c>
      <c r="J138" s="41" t="n">
        <v>45327.71830607639</v>
      </c>
      <c r="K138" s="27" t="inlineStr">
        <is>
          <t>Collected</t>
        </is>
      </c>
      <c r="L138" s="27" t="inlineStr">
        <is>
          <t>Express</t>
        </is>
      </c>
      <c r="M138" s="27" t="inlineStr">
        <is>
          <t>North West</t>
        </is>
      </c>
      <c r="N138" s="27" t="n">
        <v>235.98</v>
      </c>
      <c r="O138" s="27" t="n">
        <v>0.27</v>
      </c>
      <c r="P138" s="27" t="n">
        <v>38.93</v>
      </c>
      <c r="Q138" s="42">
        <f>IF(H138="","",(H138-F138)*24)</f>
        <v/>
      </c>
      <c r="R138" s="42">
        <f>IF(J138="","",(J138-H138)*24)</f>
        <v/>
      </c>
    </row>
    <row r="139" ht="15" customHeight="1" s="24">
      <c r="A139" s="27" t="n">
        <v>192183</v>
      </c>
      <c r="B139" s="27" t="inlineStr">
        <is>
          <t>PGO10192183</t>
        </is>
      </c>
      <c r="C139" s="27" t="n">
        <v>17</v>
      </c>
      <c r="D139" s="27" t="n">
        <v>866</v>
      </c>
      <c r="E139" s="27" t="n">
        <v>268</v>
      </c>
      <c r="F139" s="41" t="n">
        <v>45327.44310966435</v>
      </c>
      <c r="G139" s="41" t="n">
        <v>45327.88941877315</v>
      </c>
      <c r="H139" s="41" t="n">
        <v>45329.19422792824</v>
      </c>
      <c r="I139" s="41" t="n">
        <v>45329.24100349537</v>
      </c>
      <c r="J139" s="41" t="n">
        <v>45330.14378032408</v>
      </c>
      <c r="K139" s="27" t="inlineStr">
        <is>
          <t>Collected</t>
        </is>
      </c>
      <c r="L139" s="27" t="inlineStr">
        <is>
          <t>Standard</t>
        </is>
      </c>
      <c r="M139" s="27" t="inlineStr">
        <is>
          <t>KwaZulu-Natal</t>
        </is>
      </c>
      <c r="N139" s="27" t="n">
        <v>152.94</v>
      </c>
      <c r="O139" s="27" t="n">
        <v>2.17</v>
      </c>
      <c r="P139" s="27" t="n">
        <v>55.23</v>
      </c>
      <c r="Q139" s="42">
        <f>IF(H139="","",(H139-F139)*24)</f>
        <v/>
      </c>
      <c r="R139" s="42">
        <f>IF(J139="","",(J139-H139)*24)</f>
        <v/>
      </c>
    </row>
    <row r="140" ht="15" customHeight="1" s="24">
      <c r="A140" s="27" t="n">
        <v>200693</v>
      </c>
      <c r="B140" s="27" t="inlineStr">
        <is>
          <t>PGO10200693</t>
        </is>
      </c>
      <c r="C140" s="27" t="n">
        <v>2</v>
      </c>
      <c r="D140" s="27" t="n">
        <v>3224</v>
      </c>
      <c r="E140" s="27" t="n">
        <v>385</v>
      </c>
      <c r="F140" s="41" t="n">
        <v>45330.43579859954</v>
      </c>
      <c r="G140" s="41" t="n">
        <v>45330.52221364583</v>
      </c>
      <c r="H140" s="41" t="n">
        <v>45331.92069334491</v>
      </c>
      <c r="I140" s="41" t="n">
        <v>45331.97897150463</v>
      </c>
      <c r="J140" s="41" t="n">
        <v>45332.30410633102</v>
      </c>
      <c r="K140" s="27" t="inlineStr">
        <is>
          <t>Collected</t>
        </is>
      </c>
      <c r="L140" s="27" t="inlineStr">
        <is>
          <t>Standard</t>
        </is>
      </c>
      <c r="M140" s="27" t="inlineStr">
        <is>
          <t>Mpumalanga</t>
        </is>
      </c>
      <c r="N140" s="27" t="n">
        <v>357.84</v>
      </c>
      <c r="O140" s="27" t="n">
        <v>0.84</v>
      </c>
      <c r="P140" s="27" t="n">
        <v>49.52</v>
      </c>
      <c r="Q140" s="42">
        <f>IF(H140="","",(H140-F140)*24)</f>
        <v/>
      </c>
      <c r="R140" s="42">
        <f>IF(J140="","",(J140-H140)*24)</f>
        <v/>
      </c>
    </row>
    <row r="141" ht="15" customHeight="1" s="24">
      <c r="A141" s="27" t="n">
        <v>203543</v>
      </c>
      <c r="B141" s="27" t="inlineStr">
        <is>
          <t>PGO10203543</t>
        </is>
      </c>
      <c r="C141" s="27" t="n">
        <v>31</v>
      </c>
      <c r="D141" s="27" t="n">
        <v>3115</v>
      </c>
      <c r="E141" s="27" t="n">
        <v>414</v>
      </c>
      <c r="F141" s="41" t="n">
        <v>45340.88545642361</v>
      </c>
      <c r="G141" s="41" t="n">
        <v>45341.05490534722</v>
      </c>
      <c r="H141" s="41" t="n">
        <v>45341.66288569444</v>
      </c>
      <c r="I141" s="41" t="n">
        <v>45341.6849571875</v>
      </c>
      <c r="J141" s="41" t="n">
        <v>45342.13283748843</v>
      </c>
      <c r="K141" s="27" t="inlineStr">
        <is>
          <t>Collected</t>
        </is>
      </c>
      <c r="L141" s="27" t="inlineStr">
        <is>
          <t>Standard</t>
        </is>
      </c>
      <c r="M141" s="27" t="inlineStr">
        <is>
          <t>Limpopo</t>
        </is>
      </c>
      <c r="N141" s="27" t="n">
        <v>279.19</v>
      </c>
      <c r="O141" s="27" t="n">
        <v>1.55</v>
      </c>
      <c r="P141" s="27" t="n">
        <v>56.42</v>
      </c>
      <c r="Q141" s="42">
        <f>IF(H141="","",(H141-F141)*24)</f>
        <v/>
      </c>
      <c r="R141" s="42">
        <f>IF(J141="","",(J141-H141)*24)</f>
        <v/>
      </c>
    </row>
    <row r="142" ht="15" customHeight="1" s="24">
      <c r="A142" s="27" t="n">
        <v>189791</v>
      </c>
      <c r="B142" s="27" t="inlineStr">
        <is>
          <t>PGO10189791</t>
        </is>
      </c>
      <c r="C142" s="27" t="n">
        <v>148</v>
      </c>
      <c r="D142" s="27" t="n">
        <v>2837</v>
      </c>
      <c r="E142" s="27" t="n">
        <v>131</v>
      </c>
      <c r="F142" s="41" t="n">
        <v>45341.34622206019</v>
      </c>
      <c r="G142" s="41" t="n">
        <v>45341.56028314814</v>
      </c>
      <c r="H142" s="41" t="n">
        <v>45342.76694021991</v>
      </c>
      <c r="I142" s="41" t="n">
        <v>45342.82035678241</v>
      </c>
      <c r="J142" s="41" t="n">
        <v>45344.02578505787</v>
      </c>
      <c r="K142" s="27" t="inlineStr">
        <is>
          <t>Collected</t>
        </is>
      </c>
      <c r="L142" s="27" t="inlineStr">
        <is>
          <t>Standard</t>
        </is>
      </c>
      <c r="M142" s="27" t="inlineStr">
        <is>
          <t>KwaZulu-Natal</t>
        </is>
      </c>
      <c r="N142" s="27" t="n">
        <v>357.14</v>
      </c>
      <c r="O142" s="27" t="n">
        <v>0.55</v>
      </c>
      <c r="P142" s="27" t="n">
        <v>67.25</v>
      </c>
      <c r="Q142" s="42">
        <f>IF(H142="","",(H142-F142)*24)</f>
        <v/>
      </c>
      <c r="R142" s="42">
        <f>IF(J142="","",(J142-H142)*24)</f>
        <v/>
      </c>
    </row>
    <row r="143" ht="15" customHeight="1" s="24">
      <c r="A143" s="27" t="n">
        <v>208237</v>
      </c>
      <c r="B143" s="27" t="inlineStr">
        <is>
          <t>PGO10208237</t>
        </is>
      </c>
      <c r="C143" s="27" t="n">
        <v>142</v>
      </c>
      <c r="D143" s="27" t="n">
        <v>2594</v>
      </c>
      <c r="E143" s="27" t="n">
        <v>63</v>
      </c>
      <c r="F143" s="41" t="n">
        <v>45342.65982148148</v>
      </c>
      <c r="G143" s="41" t="n">
        <v>45342.76410203704</v>
      </c>
      <c r="H143" s="41" t="n">
        <v>45343.33712980324</v>
      </c>
      <c r="I143" s="41" t="n">
        <v>45343.39589577547</v>
      </c>
      <c r="J143" s="41" t="n">
        <v>45344.98016363426</v>
      </c>
      <c r="K143" s="27" t="inlineStr">
        <is>
          <t>Collected</t>
        </is>
      </c>
      <c r="L143" s="27" t="inlineStr">
        <is>
          <t>Standard</t>
        </is>
      </c>
      <c r="M143" s="27" t="inlineStr">
        <is>
          <t>KwaZulu-Natal</t>
        </is>
      </c>
      <c r="N143" s="27" t="n">
        <v>298.89</v>
      </c>
      <c r="O143" s="27" t="n">
        <v>3.64</v>
      </c>
      <c r="P143" s="27" t="n">
        <v>52.99</v>
      </c>
      <c r="Q143" s="42">
        <f>IF(H143="","",(H143-F143)*24)</f>
        <v/>
      </c>
      <c r="R143" s="42">
        <f>IF(J143="","",(J143-H143)*24)</f>
        <v/>
      </c>
    </row>
    <row r="144" ht="15" customHeight="1" s="24">
      <c r="A144" s="27" t="n">
        <v>201913</v>
      </c>
      <c r="B144" s="27" t="inlineStr">
        <is>
          <t>PGO10201913</t>
        </is>
      </c>
      <c r="C144" s="27" t="n">
        <v>2</v>
      </c>
      <c r="D144" s="27" t="n">
        <v>2555</v>
      </c>
      <c r="E144" s="27" t="n">
        <v>274</v>
      </c>
      <c r="F144" s="41" t="n">
        <v>45343.43773525463</v>
      </c>
      <c r="G144" s="41" t="n">
        <v>45343.50728493056</v>
      </c>
      <c r="H144" s="41" t="n">
        <v>45344.42819334491</v>
      </c>
      <c r="I144" s="41" t="n">
        <v>45344.44643810186</v>
      </c>
      <c r="J144" s="41" t="n">
        <v>45346.31241347222</v>
      </c>
      <c r="K144" s="27" t="inlineStr">
        <is>
          <t>Collected</t>
        </is>
      </c>
      <c r="L144" s="27" t="inlineStr">
        <is>
          <t>Standard</t>
        </is>
      </c>
      <c r="M144" s="27" t="inlineStr">
        <is>
          <t>KwaZulu-Natal</t>
        </is>
      </c>
      <c r="N144" s="27" t="n">
        <v>586.2</v>
      </c>
      <c r="O144" s="27" t="n">
        <v>1.19</v>
      </c>
      <c r="P144" s="27" t="n">
        <v>50</v>
      </c>
      <c r="Q144" s="42">
        <f>IF(H144="","",(H144-F144)*24)</f>
        <v/>
      </c>
      <c r="R144" s="42">
        <f>IF(J144="","",(J144-H144)*24)</f>
        <v/>
      </c>
    </row>
    <row r="145" ht="15" customHeight="1" s="24">
      <c r="A145" s="27" t="n">
        <v>205814</v>
      </c>
      <c r="B145" s="27" t="inlineStr">
        <is>
          <t>PGO10205814</t>
        </is>
      </c>
      <c r="C145" s="27" t="n">
        <v>62</v>
      </c>
      <c r="D145" s="27" t="n">
        <v>1053</v>
      </c>
      <c r="E145" s="27" t="n">
        <v>254</v>
      </c>
      <c r="F145" s="41" t="n">
        <v>45346.25039189815</v>
      </c>
      <c r="G145" s="41" t="n">
        <v>45346.35829032407</v>
      </c>
      <c r="H145" s="41" t="n">
        <v>45347.28842376157</v>
      </c>
      <c r="I145" s="41" t="n">
        <v>45347.33963612268</v>
      </c>
      <c r="J145" s="41" t="n">
        <v>45353.44237923611</v>
      </c>
      <c r="K145" s="27" t="inlineStr">
        <is>
          <t>Collected</t>
        </is>
      </c>
      <c r="L145" s="27" t="inlineStr">
        <is>
          <t>Standard</t>
        </is>
      </c>
      <c r="M145" s="27" t="inlineStr">
        <is>
          <t>KwaZulu-Natal</t>
        </is>
      </c>
      <c r="N145" s="27" t="n">
        <v>256.43</v>
      </c>
      <c r="O145" s="27" t="n">
        <v>2.39</v>
      </c>
      <c r="P145" s="27" t="n">
        <v>66.41</v>
      </c>
      <c r="Q145" s="42">
        <f>IF(H145="","",(H145-F145)*24)</f>
        <v/>
      </c>
      <c r="R145" s="42">
        <f>IF(J145="","",(J145-H145)*24)</f>
        <v/>
      </c>
    </row>
    <row r="146" ht="15" customHeight="1" s="24">
      <c r="A146" s="27" t="n">
        <v>200046</v>
      </c>
      <c r="B146" s="27" t="inlineStr">
        <is>
          <t>PGO10200046</t>
        </is>
      </c>
      <c r="C146" s="27" t="n">
        <v>1</v>
      </c>
      <c r="D146" s="27" t="n">
        <v>224</v>
      </c>
      <c r="E146" s="27" t="n">
        <v>77</v>
      </c>
      <c r="F146" s="41" t="n">
        <v>45349.25217010417</v>
      </c>
      <c r="G146" s="41" t="n">
        <v>45349.43996299768</v>
      </c>
      <c r="H146" s="41" t="n">
        <v>45350.11254541667</v>
      </c>
      <c r="I146" s="41" t="n">
        <v>45350.15171508102</v>
      </c>
      <c r="J146" s="41" t="n">
        <v>45351.47543300926</v>
      </c>
      <c r="K146" s="27" t="inlineStr">
        <is>
          <t>Collected</t>
        </is>
      </c>
      <c r="L146" s="27" t="inlineStr">
        <is>
          <t>Express</t>
        </is>
      </c>
      <c r="M146" s="27" t="inlineStr">
        <is>
          <t>Gauteng</t>
        </is>
      </c>
      <c r="N146" s="27" t="n">
        <v>307.85</v>
      </c>
      <c r="O146" s="27" t="n">
        <v>1.08</v>
      </c>
      <c r="P146" s="27" t="n">
        <v>44.05</v>
      </c>
      <c r="Q146" s="42">
        <f>IF(H146="","",(H146-F146)*24)</f>
        <v/>
      </c>
      <c r="R146" s="42">
        <f>IF(J146="","",(J146-H146)*24)</f>
        <v/>
      </c>
    </row>
    <row r="147" ht="15" customHeight="1" s="24">
      <c r="A147" s="27" t="n">
        <v>203927</v>
      </c>
      <c r="B147" s="27" t="inlineStr">
        <is>
          <t>PGO10203927</t>
        </is>
      </c>
      <c r="C147" s="27" t="n">
        <v>58</v>
      </c>
      <c r="D147" s="27" t="n">
        <v>3376</v>
      </c>
      <c r="E147" s="27" t="n">
        <v>124</v>
      </c>
      <c r="F147" s="41" t="n">
        <v>45349.46353725695</v>
      </c>
      <c r="G147" s="41" t="n">
        <v>45349.54732180556</v>
      </c>
      <c r="H147" s="41" t="n">
        <v>45350.78942844908</v>
      </c>
      <c r="I147" s="41" t="n">
        <v>45350.83704260417</v>
      </c>
      <c r="J147" s="41" t="n">
        <v>45351.71450056713</v>
      </c>
      <c r="K147" s="27" t="inlineStr">
        <is>
          <t>Collected</t>
        </is>
      </c>
      <c r="L147" s="27" t="inlineStr">
        <is>
          <t>Standard</t>
        </is>
      </c>
      <c r="M147" s="27" t="inlineStr">
        <is>
          <t>Mpumalanga</t>
        </is>
      </c>
      <c r="N147" s="27" t="n">
        <v>576.8099999999999</v>
      </c>
      <c r="O147" s="27" t="n">
        <v>6.62</v>
      </c>
      <c r="P147" s="27" t="n">
        <v>63.02</v>
      </c>
      <c r="Q147" s="42">
        <f>IF(H147="","",(H147-F147)*24)</f>
        <v/>
      </c>
      <c r="R147" s="42">
        <f>IF(J147="","",(J147-H147)*24)</f>
        <v/>
      </c>
    </row>
    <row r="148" ht="15" customHeight="1" s="24">
      <c r="A148" s="27" t="n">
        <v>198347</v>
      </c>
      <c r="B148" s="27" t="inlineStr">
        <is>
          <t>PGO10198347</t>
        </is>
      </c>
      <c r="C148" s="27" t="n">
        <v>10</v>
      </c>
      <c r="D148" s="27" t="n">
        <v>3070</v>
      </c>
      <c r="E148" s="27" t="n">
        <v>384</v>
      </c>
      <c r="F148" s="41" t="n">
        <v>45349.58389049768</v>
      </c>
      <c r="G148" s="41" t="n">
        <v>45349.88047599537</v>
      </c>
      <c r="H148" s="41" t="n">
        <v>45350.5848190625</v>
      </c>
      <c r="I148" s="41" t="n">
        <v>45350.59055444445</v>
      </c>
      <c r="J148" s="41" t="n">
        <v>45354.59836873843</v>
      </c>
      <c r="K148" s="27" t="inlineStr">
        <is>
          <t>Collected</t>
        </is>
      </c>
      <c r="L148" s="27" t="inlineStr">
        <is>
          <t>Return-to-Retailer</t>
        </is>
      </c>
      <c r="M148" s="27" t="inlineStr">
        <is>
          <t>Western Cape</t>
        </is>
      </c>
      <c r="N148" s="27" t="n">
        <v>137.07</v>
      </c>
      <c r="O148" s="27" t="n">
        <v>3.02</v>
      </c>
      <c r="P148" s="27" t="n">
        <v>61.02</v>
      </c>
      <c r="Q148" s="42">
        <f>IF(H148="","",(H148-F148)*24)</f>
        <v/>
      </c>
      <c r="R148" s="42">
        <f>IF(J148="","",(J148-H148)*24)</f>
        <v/>
      </c>
    </row>
    <row r="149" ht="15" customHeight="1" s="24">
      <c r="A149" s="27" t="n">
        <v>193776</v>
      </c>
      <c r="B149" s="27" t="inlineStr">
        <is>
          <t>PGO10193776</t>
        </is>
      </c>
      <c r="C149" s="27" t="n">
        <v>2</v>
      </c>
      <c r="D149" s="27" t="n">
        <v>2747</v>
      </c>
      <c r="E149" s="27" t="n">
        <v>338</v>
      </c>
      <c r="F149" s="41" t="n">
        <v>45350.00784119213</v>
      </c>
      <c r="G149" s="41" t="n">
        <v>45350.28729910879</v>
      </c>
      <c r="H149" s="41" t="n">
        <v>45351.8006221875</v>
      </c>
      <c r="I149" s="41" t="n">
        <v>45351.84475486111</v>
      </c>
      <c r="J149" s="41" t="n">
        <v>45352.49584054398</v>
      </c>
      <c r="K149" s="27" t="inlineStr">
        <is>
          <t>Collected</t>
        </is>
      </c>
      <c r="L149" s="27" t="inlineStr">
        <is>
          <t>Express</t>
        </is>
      </c>
      <c r="M149" s="27" t="inlineStr">
        <is>
          <t>Eastern Cape</t>
        </is>
      </c>
      <c r="N149" s="27" t="n">
        <v>66.67</v>
      </c>
      <c r="O149" s="27" t="n">
        <v>0.95</v>
      </c>
      <c r="P149" s="27" t="n">
        <v>48.13</v>
      </c>
      <c r="Q149" s="42">
        <f>IF(H149="","",(H149-F149)*24)</f>
        <v/>
      </c>
      <c r="R149" s="42">
        <f>IF(J149="","",(J149-H149)*24)</f>
        <v/>
      </c>
    </row>
    <row r="150" ht="15" customHeight="1" s="24">
      <c r="A150" s="27" t="n">
        <v>196482</v>
      </c>
      <c r="B150" s="27" t="inlineStr">
        <is>
          <t>PGO10196482</t>
        </is>
      </c>
      <c r="C150" s="27" t="n">
        <v>112</v>
      </c>
      <c r="D150" s="27" t="n">
        <v>2030</v>
      </c>
      <c r="E150" s="27" t="n">
        <v>259</v>
      </c>
      <c r="F150" s="41" t="n">
        <v>45351.52942043982</v>
      </c>
      <c r="G150" s="41" t="n">
        <v>45351.67066181713</v>
      </c>
      <c r="H150" s="41" t="n">
        <v>45352.97615628472</v>
      </c>
      <c r="I150" s="41" t="n">
        <v>45353.01799741898</v>
      </c>
      <c r="J150" s="41" t="n">
        <v>45355.20154454861</v>
      </c>
      <c r="K150" s="27" t="inlineStr">
        <is>
          <t>Collected</t>
        </is>
      </c>
      <c r="L150" s="27" t="inlineStr">
        <is>
          <t>Express</t>
        </is>
      </c>
      <c r="M150" s="27" t="inlineStr">
        <is>
          <t>Northern Cape</t>
        </is>
      </c>
      <c r="N150" s="27" t="n">
        <v>130.61</v>
      </c>
      <c r="O150" s="27" t="n">
        <v>0.5</v>
      </c>
      <c r="P150" s="27" t="n">
        <v>56.55</v>
      </c>
      <c r="Q150" s="42">
        <f>IF(H150="","",(H150-F150)*24)</f>
        <v/>
      </c>
      <c r="R150" s="42">
        <f>IF(J150="","",(J150-H150)*24)</f>
        <v/>
      </c>
    </row>
    <row r="151" ht="15" customHeight="1" s="24">
      <c r="A151" s="27" t="n">
        <v>232639</v>
      </c>
      <c r="B151" s="27" t="inlineStr">
        <is>
          <t>PGO10232639</t>
        </is>
      </c>
      <c r="C151" s="27" t="n">
        <v>87</v>
      </c>
      <c r="D151" s="27" t="n">
        <v>3994</v>
      </c>
      <c r="E151" s="27" t="n">
        <v>191</v>
      </c>
      <c r="F151" s="41" t="n">
        <v>45353.03089391204</v>
      </c>
      <c r="G151" s="41" t="n">
        <v>45353.26578538195</v>
      </c>
      <c r="H151" s="41" t="n">
        <v>45353.7546292824</v>
      </c>
      <c r="I151" s="41" t="n">
        <v>45353.79894034722</v>
      </c>
      <c r="J151" s="41" t="n">
        <v>45356.37780951389</v>
      </c>
      <c r="K151" s="27" t="inlineStr">
        <is>
          <t>Collected</t>
        </is>
      </c>
      <c r="L151" s="27" t="inlineStr">
        <is>
          <t>Standard</t>
        </is>
      </c>
      <c r="M151" s="27" t="inlineStr">
        <is>
          <t>Gauteng</t>
        </is>
      </c>
      <c r="N151" s="27" t="n">
        <v>564.09</v>
      </c>
      <c r="O151" s="27" t="n">
        <v>0.31</v>
      </c>
      <c r="P151" s="27" t="n">
        <v>69.45999999999999</v>
      </c>
      <c r="Q151" s="42">
        <f>IF(H151="","",(H151-F151)*24)</f>
        <v/>
      </c>
      <c r="R151" s="42">
        <f>IF(J151="","",(J151-H151)*24)</f>
        <v/>
      </c>
    </row>
    <row r="152" ht="15" customHeight="1" s="24">
      <c r="A152" s="27" t="n">
        <v>212398</v>
      </c>
      <c r="B152" s="27" t="inlineStr">
        <is>
          <t>PGO10212398</t>
        </is>
      </c>
      <c r="C152" s="27" t="n">
        <v>5</v>
      </c>
      <c r="D152" s="27" t="n">
        <v>521</v>
      </c>
      <c r="E152" s="27" t="n">
        <v>454</v>
      </c>
      <c r="F152" s="41" t="n">
        <v>45353.92202895833</v>
      </c>
      <c r="G152" s="41" t="n">
        <v>45354.22196346065</v>
      </c>
      <c r="H152" s="41" t="n">
        <v>45354.90579150463</v>
      </c>
      <c r="I152" s="41" t="n">
        <v>45354.91433837963</v>
      </c>
      <c r="J152" s="41" t="n">
        <v>45355.27716952546</v>
      </c>
      <c r="K152" s="27" t="inlineStr">
        <is>
          <t>Collected</t>
        </is>
      </c>
      <c r="L152" s="27" t="inlineStr">
        <is>
          <t>Express</t>
        </is>
      </c>
      <c r="M152" s="27" t="inlineStr">
        <is>
          <t>Gauteng</t>
        </is>
      </c>
      <c r="N152" s="27" t="n">
        <v>387.98</v>
      </c>
      <c r="O152" s="27" t="n">
        <v>0.6</v>
      </c>
      <c r="P152" s="27" t="n">
        <v>54.15</v>
      </c>
      <c r="Q152" s="42">
        <f>IF(H152="","",(H152-F152)*24)</f>
        <v/>
      </c>
      <c r="R152" s="42">
        <f>IF(J152="","",(J152-H152)*24)</f>
        <v/>
      </c>
    </row>
    <row r="153" ht="15" customHeight="1" s="24">
      <c r="A153" s="27" t="n">
        <v>219459</v>
      </c>
      <c r="B153" s="27" t="inlineStr">
        <is>
          <t>PGO10219459</t>
        </is>
      </c>
      <c r="C153" s="27" t="n">
        <v>1</v>
      </c>
      <c r="D153" s="27" t="n">
        <v>160</v>
      </c>
      <c r="E153" s="27" t="n">
        <v>186</v>
      </c>
      <c r="F153" s="41" t="n">
        <v>45355.03311319445</v>
      </c>
      <c r="G153" s="41" t="n">
        <v>45355.08887222222</v>
      </c>
      <c r="H153" s="41" t="n">
        <v>45355.94598082176</v>
      </c>
      <c r="I153" s="41" t="n">
        <v>45355.98758712963</v>
      </c>
      <c r="J153" s="41" t="n">
        <v>45362.77477483796</v>
      </c>
      <c r="K153" s="27" t="inlineStr">
        <is>
          <t>Collected</t>
        </is>
      </c>
      <c r="L153" s="27" t="inlineStr">
        <is>
          <t>Standard</t>
        </is>
      </c>
      <c r="M153" s="27" t="inlineStr">
        <is>
          <t>Eastern Cape</t>
        </is>
      </c>
      <c r="N153" s="27" t="n">
        <v>285.56</v>
      </c>
      <c r="O153" s="27" t="n">
        <v>0.26</v>
      </c>
      <c r="P153" s="27" t="n">
        <v>45.25</v>
      </c>
      <c r="Q153" s="42">
        <f>IF(H153="","",(H153-F153)*24)</f>
        <v/>
      </c>
      <c r="R153" s="42">
        <f>IF(J153="","",(J153-H153)*24)</f>
        <v/>
      </c>
    </row>
    <row r="154" ht="15" customHeight="1" s="24">
      <c r="A154" s="27" t="n">
        <v>234193</v>
      </c>
      <c r="B154" s="27" t="inlineStr">
        <is>
          <t>PGO10234193</t>
        </is>
      </c>
      <c r="C154" s="27" t="n">
        <v>20</v>
      </c>
      <c r="D154" s="27" t="n">
        <v>998</v>
      </c>
      <c r="E154" s="27" t="n">
        <v>270</v>
      </c>
      <c r="F154" s="41" t="n">
        <v>45359.08484263889</v>
      </c>
      <c r="G154" s="41" t="n">
        <v>45359.17078030093</v>
      </c>
      <c r="H154" s="41" t="n">
        <v>45360.56482979166</v>
      </c>
      <c r="I154" s="41" t="n">
        <v>45360.62087171296</v>
      </c>
      <c r="J154" s="41" t="n">
        <v>45361.75750438657</v>
      </c>
      <c r="K154" s="27" t="inlineStr">
        <is>
          <t>Collected</t>
        </is>
      </c>
      <c r="L154" s="27" t="inlineStr">
        <is>
          <t>Standard</t>
        </is>
      </c>
      <c r="M154" s="27" t="inlineStr">
        <is>
          <t>Eastern Cape</t>
        </is>
      </c>
      <c r="N154" s="27" t="n">
        <v>65.39</v>
      </c>
      <c r="O154" s="27" t="n">
        <v>3.12</v>
      </c>
      <c r="P154" s="27" t="n">
        <v>60.62</v>
      </c>
      <c r="Q154" s="42">
        <f>IF(H154="","",(H154-F154)*24)</f>
        <v/>
      </c>
      <c r="R154" s="42">
        <f>IF(J154="","",(J154-H154)*24)</f>
        <v/>
      </c>
    </row>
    <row r="155" ht="15" customHeight="1" s="24">
      <c r="A155" s="27" t="n">
        <v>225853</v>
      </c>
      <c r="B155" s="27" t="inlineStr">
        <is>
          <t>PGO10225853</t>
        </is>
      </c>
      <c r="C155" s="27" t="n">
        <v>2</v>
      </c>
      <c r="D155" s="27" t="n">
        <v>1092</v>
      </c>
      <c r="E155" s="27" t="n">
        <v>135</v>
      </c>
      <c r="F155" s="41" t="n">
        <v>45359.38669320602</v>
      </c>
      <c r="G155" s="41" t="n">
        <v>45359.61001144676</v>
      </c>
      <c r="H155" s="41" t="n">
        <v>45360.96775258102</v>
      </c>
      <c r="I155" s="41" t="n">
        <v>45360.9919747338</v>
      </c>
      <c r="J155" s="41" t="n">
        <v>45361.56026596064</v>
      </c>
      <c r="K155" s="27" t="inlineStr">
        <is>
          <t>Collected</t>
        </is>
      </c>
      <c r="L155" s="27" t="inlineStr">
        <is>
          <t>Standard</t>
        </is>
      </c>
      <c r="M155" s="27" t="inlineStr">
        <is>
          <t>Western Cape</t>
        </is>
      </c>
      <c r="N155" s="27" t="n">
        <v>179.34</v>
      </c>
      <c r="O155" s="27" t="n">
        <v>3.13</v>
      </c>
      <c r="P155" s="27" t="n">
        <v>52.16</v>
      </c>
      <c r="Q155" s="42">
        <f>IF(H155="","",(H155-F155)*24)</f>
        <v/>
      </c>
      <c r="R155" s="42">
        <f>IF(J155="","",(J155-H155)*24)</f>
        <v/>
      </c>
    </row>
    <row r="156" ht="15" customHeight="1" s="24">
      <c r="A156" s="27" t="n">
        <v>227844</v>
      </c>
      <c r="B156" s="27" t="inlineStr">
        <is>
          <t>PGO10227844</t>
        </is>
      </c>
      <c r="C156" s="27" t="n">
        <v>1</v>
      </c>
      <c r="D156" s="27" t="n">
        <v>3679</v>
      </c>
      <c r="E156" s="27" t="n">
        <v>351</v>
      </c>
      <c r="F156" s="41" t="n">
        <v>45359.46475475695</v>
      </c>
      <c r="G156" s="41" t="n">
        <v>45359.48314914352</v>
      </c>
      <c r="H156" s="41" t="n">
        <v>45360.15422033565</v>
      </c>
      <c r="I156" s="41" t="n">
        <v>45360.17278681713</v>
      </c>
      <c r="J156" s="41" t="n">
        <v>45361.97826615741</v>
      </c>
      <c r="K156" s="27" t="inlineStr">
        <is>
          <t>Collected</t>
        </is>
      </c>
      <c r="L156" s="27" t="inlineStr">
        <is>
          <t>Express</t>
        </is>
      </c>
      <c r="M156" s="27" t="inlineStr">
        <is>
          <t>Western Cape</t>
        </is>
      </c>
      <c r="N156" s="27" t="n">
        <v>98.19</v>
      </c>
      <c r="O156" s="27" t="n">
        <v>1.34</v>
      </c>
      <c r="P156" s="27" t="n">
        <v>47.48</v>
      </c>
      <c r="Q156" s="42">
        <f>IF(H156="","",(H156-F156)*24)</f>
        <v/>
      </c>
      <c r="R156" s="42">
        <f>IF(J156="","",(J156-H156)*24)</f>
        <v/>
      </c>
    </row>
    <row r="157" ht="15" customHeight="1" s="24">
      <c r="A157" s="27" t="n">
        <v>229206</v>
      </c>
      <c r="B157" s="27" t="inlineStr">
        <is>
          <t>PGO10229206</t>
        </is>
      </c>
      <c r="C157" s="27" t="n">
        <v>8</v>
      </c>
      <c r="D157" s="27" t="n">
        <v>1806</v>
      </c>
      <c r="E157" s="27" t="n">
        <v>66</v>
      </c>
      <c r="F157" s="41" t="n">
        <v>45359.73214336806</v>
      </c>
      <c r="G157" s="41" t="n">
        <v>45359.80299878473</v>
      </c>
      <c r="H157" s="41" t="n">
        <v>45360.7986596412</v>
      </c>
      <c r="I157" s="41" t="n">
        <v>45360.85156943287</v>
      </c>
      <c r="J157" s="41" t="n">
        <v>45362.30347805555</v>
      </c>
      <c r="K157" s="27" t="inlineStr">
        <is>
          <t>Collected</t>
        </is>
      </c>
      <c r="L157" s="27" t="inlineStr">
        <is>
          <t>Express</t>
        </is>
      </c>
      <c r="M157" s="27" t="inlineStr">
        <is>
          <t>KwaZulu-Natal</t>
        </is>
      </c>
      <c r="N157" s="27" t="n">
        <v>904.99</v>
      </c>
      <c r="O157" s="27" t="n">
        <v>1.47</v>
      </c>
      <c r="P157" s="27" t="n">
        <v>54.27</v>
      </c>
      <c r="Q157" s="42">
        <f>IF(H157="","",(H157-F157)*24)</f>
        <v/>
      </c>
      <c r="R157" s="42">
        <f>IF(J157="","",(J157-H157)*24)</f>
        <v/>
      </c>
    </row>
    <row r="158" ht="15" customHeight="1" s="24">
      <c r="A158" s="27" t="n">
        <v>233110</v>
      </c>
      <c r="B158" s="27" t="inlineStr">
        <is>
          <t>PGO10233110</t>
        </is>
      </c>
      <c r="C158" s="27" t="n">
        <v>1</v>
      </c>
      <c r="D158" s="27" t="n">
        <v>2536</v>
      </c>
      <c r="E158" s="27" t="n">
        <v>256</v>
      </c>
      <c r="F158" s="41" t="n">
        <v>45360.59115815972</v>
      </c>
      <c r="G158" s="41" t="n">
        <v>45360.94335207176</v>
      </c>
      <c r="H158" s="41" t="n">
        <v>45361.58383145833</v>
      </c>
      <c r="I158" s="41" t="n">
        <v>45361.6262806713</v>
      </c>
      <c r="J158" s="41" t="n">
        <v>45363.99970331018</v>
      </c>
      <c r="K158" s="27" t="inlineStr">
        <is>
          <t>Collected</t>
        </is>
      </c>
      <c r="L158" s="27" t="inlineStr">
        <is>
          <t>Standard</t>
        </is>
      </c>
      <c r="M158" s="27" t="inlineStr">
        <is>
          <t>Free State</t>
        </is>
      </c>
      <c r="N158" s="27" t="n">
        <v>198.07</v>
      </c>
      <c r="O158" s="27" t="n">
        <v>0.91</v>
      </c>
      <c r="P158" s="27" t="n">
        <v>44.49</v>
      </c>
      <c r="Q158" s="42">
        <f>IF(H158="","",(H158-F158)*24)</f>
        <v/>
      </c>
      <c r="R158" s="42">
        <f>IF(J158="","",(J158-H158)*24)</f>
        <v/>
      </c>
    </row>
    <row r="159" ht="15" customHeight="1" s="24">
      <c r="A159" s="27" t="n">
        <v>212257</v>
      </c>
      <c r="B159" s="27" t="inlineStr">
        <is>
          <t>PGO10212257</t>
        </is>
      </c>
      <c r="C159" s="27" t="n">
        <v>37</v>
      </c>
      <c r="D159" s="27" t="n">
        <v>1033</v>
      </c>
      <c r="E159" s="27" t="n">
        <v>81</v>
      </c>
      <c r="F159" s="41" t="n">
        <v>45361.94768961806</v>
      </c>
      <c r="G159" s="41" t="n">
        <v>45362.02737971065</v>
      </c>
      <c r="H159" s="41" t="n">
        <v>45362.40611616898</v>
      </c>
      <c r="I159" s="41" t="n">
        <v>45362.4093750463</v>
      </c>
      <c r="J159" s="41" t="n">
        <v>45365.02847023148</v>
      </c>
      <c r="K159" s="27" t="inlineStr">
        <is>
          <t>Collected</t>
        </is>
      </c>
      <c r="L159" s="27" t="inlineStr">
        <is>
          <t>Standard</t>
        </is>
      </c>
      <c r="M159" s="27" t="inlineStr">
        <is>
          <t>Gauteng</t>
        </is>
      </c>
      <c r="N159" s="27" t="n">
        <v>118.33</v>
      </c>
      <c r="O159" s="27" t="n">
        <v>0.49</v>
      </c>
      <c r="P159" s="27" t="n">
        <v>62.45</v>
      </c>
      <c r="Q159" s="42">
        <f>IF(H159="","",(H159-F159)*24)</f>
        <v/>
      </c>
      <c r="R159" s="42">
        <f>IF(J159="","",(J159-H159)*24)</f>
        <v/>
      </c>
    </row>
    <row r="160" ht="15" customHeight="1" s="24">
      <c r="A160" s="27" t="n">
        <v>231483</v>
      </c>
      <c r="B160" s="27" t="inlineStr">
        <is>
          <t>PGO10231483</t>
        </is>
      </c>
      <c r="C160" s="27" t="n">
        <v>1</v>
      </c>
      <c r="D160" s="27" t="n">
        <v>471</v>
      </c>
      <c r="E160" s="27" t="n">
        <v>255</v>
      </c>
      <c r="F160" s="41" t="n">
        <v>45368.30107888889</v>
      </c>
      <c r="G160" s="41" t="n">
        <v>45368.66042444445</v>
      </c>
      <c r="H160" s="41" t="n">
        <v>45369.79393873842</v>
      </c>
      <c r="I160" s="41" t="n">
        <v>45369.82567813657</v>
      </c>
      <c r="J160" s="41" t="n">
        <v>45370.10033035879</v>
      </c>
      <c r="K160" s="27" t="inlineStr">
        <is>
          <t>Collected</t>
        </is>
      </c>
      <c r="L160" s="27" t="inlineStr">
        <is>
          <t>Standard</t>
        </is>
      </c>
      <c r="M160" s="27" t="inlineStr">
        <is>
          <t>Free State</t>
        </is>
      </c>
      <c r="N160" s="27" t="n">
        <v>275.25</v>
      </c>
      <c r="O160" s="27" t="n">
        <v>0.47</v>
      </c>
      <c r="P160" s="27" t="n">
        <v>44.78</v>
      </c>
      <c r="Q160" s="42">
        <f>IF(H160="","",(H160-F160)*24)</f>
        <v/>
      </c>
      <c r="R160" s="42">
        <f>IF(J160="","",(J160-H160)*24)</f>
        <v/>
      </c>
    </row>
    <row r="161" ht="15" customHeight="1" s="24">
      <c r="A161" s="27" t="n">
        <v>217741</v>
      </c>
      <c r="B161" s="27" t="inlineStr">
        <is>
          <t>PGO10217741</t>
        </is>
      </c>
      <c r="C161" s="27" t="n">
        <v>105</v>
      </c>
      <c r="D161" s="27" t="n">
        <v>454</v>
      </c>
      <c r="E161" s="27" t="n">
        <v>240</v>
      </c>
      <c r="F161" s="41" t="n">
        <v>45368.37435929398</v>
      </c>
      <c r="G161" s="41" t="n">
        <v>45368.63517479166</v>
      </c>
      <c r="H161" s="41" t="n">
        <v>45369.60506767361</v>
      </c>
      <c r="I161" s="41" t="n">
        <v>45369.66368046296</v>
      </c>
      <c r="J161" s="41" t="n">
        <v>45371.62409464121</v>
      </c>
      <c r="K161" s="27" t="inlineStr">
        <is>
          <t>Collected</t>
        </is>
      </c>
      <c r="L161" s="27" t="inlineStr">
        <is>
          <t>Standard</t>
        </is>
      </c>
      <c r="M161" s="27" t="inlineStr">
        <is>
          <t>Mpumalanga</t>
        </is>
      </c>
      <c r="N161" s="27" t="n">
        <v>1220.81</v>
      </c>
      <c r="O161" s="27" t="n">
        <v>0.78</v>
      </c>
      <c r="P161" s="27" t="n">
        <v>52.93</v>
      </c>
      <c r="Q161" s="42">
        <f>IF(H161="","",(H161-F161)*24)</f>
        <v/>
      </c>
      <c r="R161" s="42">
        <f>IF(J161="","",(J161-H161)*24)</f>
        <v/>
      </c>
    </row>
    <row r="162" ht="15" customHeight="1" s="24">
      <c r="A162" s="27" t="n">
        <v>233183</v>
      </c>
      <c r="B162" s="27" t="inlineStr">
        <is>
          <t>PGO10233183</t>
        </is>
      </c>
      <c r="C162" s="27" t="n">
        <v>111</v>
      </c>
      <c r="D162" s="27" t="n">
        <v>1151</v>
      </c>
      <c r="E162" s="27" t="n">
        <v>164</v>
      </c>
      <c r="F162" s="41" t="n">
        <v>45372.01205978009</v>
      </c>
      <c r="G162" s="41" t="n">
        <v>45372.07347590278</v>
      </c>
      <c r="H162" s="41" t="n">
        <v>45373.07558126158</v>
      </c>
      <c r="I162" s="41" t="n">
        <v>45373.10541619213</v>
      </c>
      <c r="J162" s="41" t="n">
        <v>45373.94387256944</v>
      </c>
      <c r="K162" s="27" t="inlineStr">
        <is>
          <t>Collected</t>
        </is>
      </c>
      <c r="L162" s="27" t="inlineStr">
        <is>
          <t>Standard</t>
        </is>
      </c>
      <c r="M162" s="27" t="inlineStr">
        <is>
          <t>Mpumalanga</t>
        </is>
      </c>
      <c r="N162" s="27" t="n">
        <v>146.44</v>
      </c>
      <c r="O162" s="27" t="n">
        <v>1</v>
      </c>
      <c r="P162" s="27" t="n">
        <v>60.94</v>
      </c>
      <c r="Q162" s="42">
        <f>IF(H162="","",(H162-F162)*24)</f>
        <v/>
      </c>
      <c r="R162" s="42">
        <f>IF(J162="","",(J162-H162)*24)</f>
        <v/>
      </c>
    </row>
    <row r="163" ht="15" customHeight="1" s="24">
      <c r="A163" s="27" t="n">
        <v>223572</v>
      </c>
      <c r="B163" s="27" t="inlineStr">
        <is>
          <t>PGO10223572</t>
        </is>
      </c>
      <c r="C163" s="27" t="n">
        <v>6</v>
      </c>
      <c r="D163" s="27" t="n">
        <v>937</v>
      </c>
      <c r="E163" s="27" t="n">
        <v>218</v>
      </c>
      <c r="F163" s="41" t="n">
        <v>45373.40018388889</v>
      </c>
      <c r="G163" s="41" t="n">
        <v>45373.6279147801</v>
      </c>
      <c r="H163" s="41" t="n">
        <v>45374.80499818287</v>
      </c>
      <c r="I163" s="41" t="n">
        <v>45374.82848763889</v>
      </c>
      <c r="J163" s="41" t="n">
        <v>45376.16669706019</v>
      </c>
      <c r="K163" s="27" t="inlineStr">
        <is>
          <t>Collected</t>
        </is>
      </c>
      <c r="L163" s="27" t="inlineStr">
        <is>
          <t>Standard</t>
        </is>
      </c>
      <c r="M163" s="27" t="inlineStr">
        <is>
          <t>North West</t>
        </is>
      </c>
      <c r="N163" s="27" t="n">
        <v>249.41</v>
      </c>
      <c r="O163" s="27" t="n">
        <v>2.04</v>
      </c>
      <c r="P163" s="27" t="n">
        <v>41.04</v>
      </c>
      <c r="Q163" s="42">
        <f>IF(H163="","",(H163-F163)*24)</f>
        <v/>
      </c>
      <c r="R163" s="42">
        <f>IF(J163="","",(J163-H163)*24)</f>
        <v/>
      </c>
    </row>
    <row r="164" ht="15" customHeight="1" s="24">
      <c r="A164" s="27" t="n">
        <v>220573</v>
      </c>
      <c r="B164" s="27" t="inlineStr">
        <is>
          <t>PGO10220573</t>
        </is>
      </c>
      <c r="C164" s="27" t="n">
        <v>84</v>
      </c>
      <c r="D164" s="27" t="n">
        <v>3414</v>
      </c>
      <c r="E164" s="27" t="n">
        <v>214</v>
      </c>
      <c r="F164" s="41" t="n">
        <v>45376.09234515046</v>
      </c>
      <c r="G164" s="41" t="n">
        <v>45376.21885451389</v>
      </c>
      <c r="H164" s="41" t="n">
        <v>45377.30875557871</v>
      </c>
      <c r="I164" s="41" t="n">
        <v>45377.36146440973</v>
      </c>
      <c r="J164" s="41" t="n">
        <v>45378.62632730324</v>
      </c>
      <c r="K164" s="27" t="inlineStr">
        <is>
          <t>Collected</t>
        </is>
      </c>
      <c r="L164" s="27" t="inlineStr">
        <is>
          <t>Standard</t>
        </is>
      </c>
      <c r="M164" s="27" t="inlineStr">
        <is>
          <t>Western Cape</t>
        </is>
      </c>
      <c r="N164" s="27" t="n">
        <v>414.24</v>
      </c>
      <c r="O164" s="27" t="n">
        <v>0.46</v>
      </c>
      <c r="P164" s="27" t="n">
        <v>46.13</v>
      </c>
      <c r="Q164" s="42">
        <f>IF(H164="","",(H164-F164)*24)</f>
        <v/>
      </c>
      <c r="R164" s="42">
        <f>IF(J164="","",(J164-H164)*24)</f>
        <v/>
      </c>
    </row>
    <row r="165" ht="15" customHeight="1" s="24">
      <c r="A165" s="27" t="n">
        <v>223222</v>
      </c>
      <c r="B165" s="27" t="inlineStr">
        <is>
          <t>PGO10223222</t>
        </is>
      </c>
      <c r="C165" s="27" t="n">
        <v>92</v>
      </c>
      <c r="D165" s="27" t="n">
        <v>2749</v>
      </c>
      <c r="E165" s="27" t="n">
        <v>497</v>
      </c>
      <c r="F165" s="41" t="n">
        <v>45376.37209196759</v>
      </c>
      <c r="G165" s="41" t="n">
        <v>45376.65001900463</v>
      </c>
      <c r="H165" s="41" t="n">
        <v>45377.33427101852</v>
      </c>
      <c r="I165" s="41" t="n">
        <v>45377.37352229167</v>
      </c>
      <c r="J165" s="41" t="n">
        <v>45378.29982540509</v>
      </c>
      <c r="K165" s="27" t="inlineStr">
        <is>
          <t>Collected</t>
        </is>
      </c>
      <c r="L165" s="27" t="inlineStr">
        <is>
          <t>Standard</t>
        </is>
      </c>
      <c r="M165" s="27" t="inlineStr">
        <is>
          <t>Western Cape</t>
        </is>
      </c>
      <c r="N165" s="27" t="n">
        <v>115.59</v>
      </c>
      <c r="O165" s="27" t="n">
        <v>0.22</v>
      </c>
      <c r="P165" s="27" t="n">
        <v>58.89</v>
      </c>
      <c r="Q165" s="42">
        <f>IF(H165="","",(H165-F165)*24)</f>
        <v/>
      </c>
      <c r="R165" s="42">
        <f>IF(J165="","",(J165-H165)*24)</f>
        <v/>
      </c>
    </row>
    <row r="166" ht="15" customHeight="1" s="24">
      <c r="A166" s="27" t="n">
        <v>219505</v>
      </c>
      <c r="B166" s="27" t="inlineStr">
        <is>
          <t>PGO10219505</t>
        </is>
      </c>
      <c r="C166" s="27" t="n">
        <v>8</v>
      </c>
      <c r="D166" s="27" t="n">
        <v>423</v>
      </c>
      <c r="E166" s="27" t="n">
        <v>326</v>
      </c>
      <c r="F166" s="41" t="n">
        <v>45376.50737400463</v>
      </c>
      <c r="G166" s="41" t="n">
        <v>45376.58966503472</v>
      </c>
      <c r="H166" s="41" t="n">
        <v>45377.28421780092</v>
      </c>
      <c r="I166" s="41" t="n">
        <v>45377.32739854167</v>
      </c>
      <c r="J166" s="41" t="n">
        <v>45379.91910039352</v>
      </c>
      <c r="K166" s="27" t="inlineStr">
        <is>
          <t>Collected</t>
        </is>
      </c>
      <c r="L166" s="27" t="inlineStr">
        <is>
          <t>Express</t>
        </is>
      </c>
      <c r="M166" s="27" t="inlineStr">
        <is>
          <t>Limpopo</t>
        </is>
      </c>
      <c r="N166" s="27" t="n">
        <v>329.76</v>
      </c>
      <c r="O166" s="27" t="n">
        <v>1.39</v>
      </c>
      <c r="P166" s="27" t="n">
        <v>57.55</v>
      </c>
      <c r="Q166" s="42">
        <f>IF(H166="","",(H166-F166)*24)</f>
        <v/>
      </c>
      <c r="R166" s="42">
        <f>IF(J166="","",(J166-H166)*24)</f>
        <v/>
      </c>
    </row>
    <row r="167" ht="15" customHeight="1" s="24">
      <c r="A167" s="27" t="n">
        <v>220093</v>
      </c>
      <c r="B167" s="27" t="inlineStr">
        <is>
          <t>PGO10220093</t>
        </is>
      </c>
      <c r="C167" s="27" t="n">
        <v>11</v>
      </c>
      <c r="D167" s="27" t="n">
        <v>1427</v>
      </c>
      <c r="E167" s="27" t="n">
        <v>327</v>
      </c>
      <c r="F167" s="41" t="n">
        <v>45377.36493005787</v>
      </c>
      <c r="G167" s="41" t="n">
        <v>45377.84112533565</v>
      </c>
      <c r="H167" s="41" t="n">
        <v>45378.40665819444</v>
      </c>
      <c r="I167" s="41" t="n">
        <v>45378.41358026621</v>
      </c>
      <c r="J167" s="41" t="n">
        <v>45379.34586949074</v>
      </c>
      <c r="K167" s="27" t="inlineStr">
        <is>
          <t>Collected</t>
        </is>
      </c>
      <c r="L167" s="27" t="inlineStr">
        <is>
          <t>Standard</t>
        </is>
      </c>
      <c r="M167" s="27" t="inlineStr">
        <is>
          <t>KwaZulu-Natal</t>
        </is>
      </c>
      <c r="N167" s="27" t="n">
        <v>442.97</v>
      </c>
      <c r="O167" s="27" t="n">
        <v>1.31</v>
      </c>
      <c r="P167" s="27" t="n">
        <v>66.15000000000001</v>
      </c>
      <c r="Q167" s="42">
        <f>IF(H167="","",(H167-F167)*24)</f>
        <v/>
      </c>
      <c r="R167" s="42">
        <f>IF(J167="","",(J167-H167)*24)</f>
        <v/>
      </c>
    </row>
    <row r="168" ht="15" customHeight="1" s="24">
      <c r="A168" s="27" t="n">
        <v>219589</v>
      </c>
      <c r="B168" s="27" t="inlineStr">
        <is>
          <t>PGO10219589</t>
        </is>
      </c>
      <c r="C168" s="27" t="n">
        <v>1</v>
      </c>
      <c r="D168" s="27" t="n">
        <v>355</v>
      </c>
      <c r="E168" s="27" t="n">
        <v>297</v>
      </c>
      <c r="F168" s="41" t="n">
        <v>45380.47454293982</v>
      </c>
      <c r="G168" s="41" t="n">
        <v>45380.60487578704</v>
      </c>
      <c r="H168" s="41" t="n">
        <v>45381.65942158565</v>
      </c>
      <c r="I168" s="41" t="n">
        <v>45381.67700143519</v>
      </c>
      <c r="J168" s="41" t="n">
        <v>45382.41133392361</v>
      </c>
      <c r="K168" s="27" t="inlineStr">
        <is>
          <t>Collected</t>
        </is>
      </c>
      <c r="L168" s="27" t="inlineStr">
        <is>
          <t>Express</t>
        </is>
      </c>
      <c r="M168" s="27" t="inlineStr">
        <is>
          <t>Gauteng</t>
        </is>
      </c>
      <c r="N168" s="27" t="n">
        <v>807.88</v>
      </c>
      <c r="O168" s="27" t="n">
        <v>2.27</v>
      </c>
      <c r="P168" s="27" t="n">
        <v>48.49</v>
      </c>
      <c r="Q168" s="42">
        <f>IF(H168="","",(H168-F168)*24)</f>
        <v/>
      </c>
      <c r="R168" s="42">
        <f>IF(J168="","",(J168-H168)*24)</f>
        <v/>
      </c>
    </row>
    <row r="169" ht="15" customHeight="1" s="24">
      <c r="A169" s="27" t="n">
        <v>230671</v>
      </c>
      <c r="B169" s="27" t="inlineStr">
        <is>
          <t>PGO10230671</t>
        </is>
      </c>
      <c r="C169" s="27" t="n">
        <v>5</v>
      </c>
      <c r="D169" s="27" t="n">
        <v>2405</v>
      </c>
      <c r="E169" s="27" t="n">
        <v>171</v>
      </c>
      <c r="F169" s="41" t="n">
        <v>45381.04236583333</v>
      </c>
      <c r="G169" s="41" t="n">
        <v>45381.11179880787</v>
      </c>
      <c r="H169" s="41" t="n">
        <v>45381.82303630787</v>
      </c>
      <c r="I169" s="41" t="n">
        <v>45381.88260913194</v>
      </c>
      <c r="J169" s="41" t="n">
        <v>45385.23373512732</v>
      </c>
      <c r="K169" s="27" t="inlineStr">
        <is>
          <t>Collected</t>
        </is>
      </c>
      <c r="L169" s="27" t="inlineStr">
        <is>
          <t>Return-to-Retailer</t>
        </is>
      </c>
      <c r="M169" s="27" t="inlineStr">
        <is>
          <t>Limpopo</t>
        </is>
      </c>
      <c r="N169" s="27" t="n">
        <v>549.09</v>
      </c>
      <c r="O169" s="27" t="n">
        <v>0.57</v>
      </c>
      <c r="P169" s="27" t="n">
        <v>55.75</v>
      </c>
      <c r="Q169" s="42">
        <f>IF(H169="","",(H169-F169)*24)</f>
        <v/>
      </c>
      <c r="R169" s="42">
        <f>IF(J169="","",(J169-H169)*24)</f>
        <v/>
      </c>
    </row>
    <row r="170" ht="15" customHeight="1" s="24">
      <c r="A170" s="27" t="n">
        <v>227771</v>
      </c>
      <c r="B170" s="27" t="inlineStr">
        <is>
          <t>PGO10227771</t>
        </is>
      </c>
      <c r="C170" s="27" t="n">
        <v>1</v>
      </c>
      <c r="D170" s="27" t="n">
        <v>1432</v>
      </c>
      <c r="E170" s="27" t="n">
        <v>57</v>
      </c>
      <c r="F170" s="41" t="n">
        <v>45383.91035743056</v>
      </c>
      <c r="G170" s="41" t="n">
        <v>45384.24324574074</v>
      </c>
      <c r="H170" s="41" t="n">
        <v>45384.97148001158</v>
      </c>
      <c r="I170" s="41" t="n">
        <v>45385.01458862268</v>
      </c>
      <c r="J170" s="41" t="n">
        <v>45387.92622516204</v>
      </c>
      <c r="K170" s="27" t="inlineStr">
        <is>
          <t>Collected</t>
        </is>
      </c>
      <c r="L170" s="27" t="inlineStr">
        <is>
          <t>Standard</t>
        </is>
      </c>
      <c r="M170" s="27" t="inlineStr">
        <is>
          <t>KwaZulu-Natal</t>
        </is>
      </c>
      <c r="N170" s="27" t="n">
        <v>528.97</v>
      </c>
      <c r="O170" s="27" t="n">
        <v>2.22</v>
      </c>
      <c r="P170" s="27" t="n">
        <v>46.31</v>
      </c>
      <c r="Q170" s="42">
        <f>IF(H170="","",(H170-F170)*24)</f>
        <v/>
      </c>
      <c r="R170" s="42">
        <f>IF(J170="","",(J170-H170)*24)</f>
        <v/>
      </c>
    </row>
    <row r="171" ht="15" customHeight="1" s="24">
      <c r="A171" s="27" t="n">
        <v>238489</v>
      </c>
      <c r="B171" s="27" t="inlineStr">
        <is>
          <t>PGO10238489</t>
        </is>
      </c>
      <c r="C171" s="27" t="n">
        <v>2</v>
      </c>
      <c r="D171" s="27" t="n">
        <v>1649</v>
      </c>
      <c r="E171" s="27" t="n">
        <v>245</v>
      </c>
      <c r="F171" s="41" t="n">
        <v>45384.37826180556</v>
      </c>
      <c r="G171" s="41" t="n">
        <v>45385.03964443287</v>
      </c>
      <c r="H171" s="41" t="n">
        <v>45385.82576237268</v>
      </c>
      <c r="I171" s="41" t="n">
        <v>45385.84982653935</v>
      </c>
      <c r="J171" s="41" t="n">
        <v>45386.12863328704</v>
      </c>
      <c r="K171" s="27" t="inlineStr">
        <is>
          <t>Collected</t>
        </is>
      </c>
      <c r="L171" s="27" t="inlineStr">
        <is>
          <t>Standard</t>
        </is>
      </c>
      <c r="M171" s="27" t="inlineStr">
        <is>
          <t>KwaZulu-Natal</t>
        </is>
      </c>
      <c r="N171" s="27" t="n">
        <v>170.05</v>
      </c>
      <c r="O171" s="27" t="n">
        <v>0.6</v>
      </c>
      <c r="P171" s="27" t="n">
        <v>49.89</v>
      </c>
      <c r="Q171" s="42">
        <f>IF(H171="","",(H171-F171)*24)</f>
        <v/>
      </c>
      <c r="R171" s="42">
        <f>IF(J171="","",(J171-H171)*24)</f>
        <v/>
      </c>
    </row>
    <row r="172" ht="15" customHeight="1" s="24">
      <c r="A172" s="27" t="n">
        <v>242029</v>
      </c>
      <c r="B172" s="27" t="inlineStr">
        <is>
          <t>PGO10242029</t>
        </is>
      </c>
      <c r="C172" s="27" t="n">
        <v>1</v>
      </c>
      <c r="D172" s="27" t="n">
        <v>732</v>
      </c>
      <c r="E172" s="27" t="n">
        <v>91</v>
      </c>
      <c r="F172" s="41" t="n">
        <v>45384.50428135417</v>
      </c>
      <c r="G172" s="41" t="n">
        <v>45384.58450261574</v>
      </c>
      <c r="H172" s="41" t="n">
        <v>45384.84957170139</v>
      </c>
      <c r="I172" s="41" t="n">
        <v>45384.85408805555</v>
      </c>
      <c r="J172" s="41" t="n">
        <v>45385.12048619213</v>
      </c>
      <c r="K172" s="27" t="inlineStr">
        <is>
          <t>Collected</t>
        </is>
      </c>
      <c r="L172" s="27" t="inlineStr">
        <is>
          <t>Standard</t>
        </is>
      </c>
      <c r="M172" s="27" t="inlineStr">
        <is>
          <t>Gauteng</t>
        </is>
      </c>
      <c r="N172" s="27" t="n">
        <v>109.7</v>
      </c>
      <c r="O172" s="27" t="n">
        <v>0.75</v>
      </c>
      <c r="P172" s="27" t="n">
        <v>47.66</v>
      </c>
      <c r="Q172" s="42">
        <f>IF(H172="","",(H172-F172)*24)</f>
        <v/>
      </c>
      <c r="R172" s="42">
        <f>IF(J172="","",(J172-H172)*24)</f>
        <v/>
      </c>
    </row>
    <row r="173" ht="15" customHeight="1" s="24">
      <c r="A173" s="27" t="n">
        <v>249025</v>
      </c>
      <c r="B173" s="27" t="inlineStr">
        <is>
          <t>PGO10249025</t>
        </is>
      </c>
      <c r="C173" s="27" t="n">
        <v>2</v>
      </c>
      <c r="D173" s="27" t="n">
        <v>318</v>
      </c>
      <c r="E173" s="27" t="n">
        <v>156</v>
      </c>
      <c r="F173" s="41" t="n">
        <v>45385.2348475</v>
      </c>
      <c r="G173" s="41" t="n">
        <v>45385.45682454861</v>
      </c>
      <c r="H173" s="41" t="n">
        <v>45387.13032694445</v>
      </c>
      <c r="I173" s="41" t="n">
        <v>45387.17772416666</v>
      </c>
      <c r="J173" s="41" t="n">
        <v>45388.07103024305</v>
      </c>
      <c r="K173" s="27" t="inlineStr">
        <is>
          <t>Collected</t>
        </is>
      </c>
      <c r="L173" s="27" t="inlineStr">
        <is>
          <t>Standard</t>
        </is>
      </c>
      <c r="M173" s="27" t="inlineStr">
        <is>
          <t>Mpumalanga</t>
        </is>
      </c>
      <c r="N173" s="27" t="n">
        <v>238.17</v>
      </c>
      <c r="O173" s="27" t="n">
        <v>2.64</v>
      </c>
      <c r="P173" s="27" t="n">
        <v>52.14</v>
      </c>
      <c r="Q173" s="42">
        <f>IF(H173="","",(H173-F173)*24)</f>
        <v/>
      </c>
      <c r="R173" s="42">
        <f>IF(J173="","",(J173-H173)*24)</f>
        <v/>
      </c>
    </row>
    <row r="174" ht="15" customHeight="1" s="24">
      <c r="A174" s="27" t="n">
        <v>254276</v>
      </c>
      <c r="B174" s="27" t="inlineStr">
        <is>
          <t>PGO10254276</t>
        </is>
      </c>
      <c r="C174" s="27" t="n">
        <v>21</v>
      </c>
      <c r="D174" s="27" t="n">
        <v>1848</v>
      </c>
      <c r="E174" s="27" t="n">
        <v>43</v>
      </c>
      <c r="F174" s="41" t="n">
        <v>45385.59613909722</v>
      </c>
      <c r="G174" s="41" t="n">
        <v>45385.69568016204</v>
      </c>
      <c r="H174" s="41" t="n">
        <v>45386.53502885417</v>
      </c>
      <c r="I174" s="41" t="n">
        <v>45386.5595559838</v>
      </c>
      <c r="J174" s="41" t="n">
        <v>45387.33609020834</v>
      </c>
      <c r="K174" s="27" t="inlineStr">
        <is>
          <t>Collected</t>
        </is>
      </c>
      <c r="L174" s="27" t="inlineStr">
        <is>
          <t>Standard</t>
        </is>
      </c>
      <c r="M174" s="27" t="inlineStr">
        <is>
          <t>KwaZulu-Natal</t>
        </is>
      </c>
      <c r="N174" s="27" t="n">
        <v>555.99</v>
      </c>
      <c r="O174" s="27" t="n">
        <v>0.53</v>
      </c>
      <c r="P174" s="27" t="n">
        <v>62.53</v>
      </c>
      <c r="Q174" s="42">
        <f>IF(H174="","",(H174-F174)*24)</f>
        <v/>
      </c>
      <c r="R174" s="42">
        <f>IF(J174="","",(J174-H174)*24)</f>
        <v/>
      </c>
    </row>
    <row r="175" ht="15" customHeight="1" s="24">
      <c r="A175" s="27" t="n">
        <v>245402</v>
      </c>
      <c r="B175" s="27" t="inlineStr">
        <is>
          <t>PGO10245402</t>
        </is>
      </c>
      <c r="C175" s="27" t="n">
        <v>3</v>
      </c>
      <c r="D175" s="27" t="n">
        <v>2939</v>
      </c>
      <c r="E175" s="27" t="n">
        <v>68</v>
      </c>
      <c r="F175" s="41" t="n">
        <v>45386.8362143287</v>
      </c>
      <c r="G175" s="41" t="n">
        <v>45387.17482240741</v>
      </c>
      <c r="H175" s="41" t="n">
        <v>45388.06197766204</v>
      </c>
      <c r="I175" s="41" t="n">
        <v>45388.10610283565</v>
      </c>
      <c r="J175" s="41" t="n">
        <v>45388.5069515162</v>
      </c>
      <c r="K175" s="27" t="inlineStr">
        <is>
          <t>Collected</t>
        </is>
      </c>
      <c r="L175" s="27" t="inlineStr">
        <is>
          <t>Return-to-Retailer</t>
        </is>
      </c>
      <c r="M175" s="27" t="inlineStr">
        <is>
          <t>Western Cape</t>
        </is>
      </c>
      <c r="N175" s="27" t="n">
        <v>406.81</v>
      </c>
      <c r="O175" s="27" t="n">
        <v>4.91</v>
      </c>
      <c r="P175" s="27" t="n">
        <v>39.95</v>
      </c>
      <c r="Q175" s="42">
        <f>IF(H175="","",(H175-F175)*24)</f>
        <v/>
      </c>
      <c r="R175" s="42">
        <f>IF(J175="","",(J175-H175)*24)</f>
        <v/>
      </c>
    </row>
    <row r="176" ht="15" customHeight="1" s="24">
      <c r="A176" s="27" t="n">
        <v>256776</v>
      </c>
      <c r="B176" s="27" t="inlineStr">
        <is>
          <t>PGO10256776</t>
        </is>
      </c>
      <c r="C176" s="27" t="n">
        <v>41</v>
      </c>
      <c r="D176" s="27" t="n">
        <v>624</v>
      </c>
      <c r="E176" s="27" t="n">
        <v>485</v>
      </c>
      <c r="F176" s="41" t="n">
        <v>45387.4338333912</v>
      </c>
      <c r="G176" s="41" t="n">
        <v>45387.67595885417</v>
      </c>
      <c r="H176" s="41" t="n">
        <v>45388.63508438657</v>
      </c>
      <c r="I176" s="41" t="n">
        <v>45388.6471767824</v>
      </c>
      <c r="J176" s="41" t="n">
        <v>45389.13576752315</v>
      </c>
      <c r="K176" s="27" t="inlineStr">
        <is>
          <t>Collected</t>
        </is>
      </c>
      <c r="L176" s="27" t="inlineStr">
        <is>
          <t>Standard</t>
        </is>
      </c>
      <c r="M176" s="27" t="inlineStr">
        <is>
          <t>KwaZulu-Natal</t>
        </is>
      </c>
      <c r="N176" s="27" t="n">
        <v>466.01</v>
      </c>
      <c r="O176" s="27" t="n">
        <v>2.24</v>
      </c>
      <c r="P176" s="27" t="n">
        <v>61.01</v>
      </c>
      <c r="Q176" s="42">
        <f>IF(H176="","",(H176-F176)*24)</f>
        <v/>
      </c>
      <c r="R176" s="42">
        <f>IF(J176="","",(J176-H176)*24)</f>
        <v/>
      </c>
    </row>
    <row r="177" ht="15" customHeight="1" s="24">
      <c r="A177" s="27" t="n">
        <v>236653</v>
      </c>
      <c r="B177" s="27" t="inlineStr">
        <is>
          <t>PGO10236653</t>
        </is>
      </c>
      <c r="C177" s="27" t="n">
        <v>14</v>
      </c>
      <c r="D177" s="27" t="n">
        <v>584</v>
      </c>
      <c r="E177" s="27" t="n">
        <v>23</v>
      </c>
      <c r="F177" s="41" t="n">
        <v>45387.92555479167</v>
      </c>
      <c r="G177" s="41" t="n">
        <v>45388.07120731482</v>
      </c>
      <c r="H177" s="41" t="n">
        <v>45388.90349258102</v>
      </c>
      <c r="I177" s="41" t="n">
        <v>45388.93288384259</v>
      </c>
      <c r="J177" s="41" t="n">
        <v>45389.26069326389</v>
      </c>
      <c r="K177" s="27" t="inlineStr">
        <is>
          <t>Collected</t>
        </is>
      </c>
      <c r="L177" s="27" t="inlineStr">
        <is>
          <t>Express</t>
        </is>
      </c>
      <c r="M177" s="27" t="inlineStr">
        <is>
          <t>Gauteng</t>
        </is>
      </c>
      <c r="N177" s="27" t="n">
        <v>436.49</v>
      </c>
      <c r="O177" s="27" t="n">
        <v>1.96</v>
      </c>
      <c r="P177" s="27" t="n">
        <v>64.47</v>
      </c>
      <c r="Q177" s="42">
        <f>IF(H177="","",(H177-F177)*24)</f>
        <v/>
      </c>
      <c r="R177" s="42">
        <f>IF(J177="","",(J177-H177)*24)</f>
        <v/>
      </c>
    </row>
    <row r="178" ht="15" customHeight="1" s="24">
      <c r="A178" s="27" t="n">
        <v>259663</v>
      </c>
      <c r="B178" s="27" t="inlineStr">
        <is>
          <t>PGO10259663</t>
        </is>
      </c>
      <c r="C178" s="27" t="n">
        <v>1</v>
      </c>
      <c r="D178" s="27" t="n">
        <v>1656</v>
      </c>
      <c r="E178" s="27" t="n">
        <v>103</v>
      </c>
      <c r="F178" s="41" t="n">
        <v>45389.93759491898</v>
      </c>
      <c r="G178" s="41" t="n">
        <v>45390.01041018518</v>
      </c>
      <c r="H178" s="41" t="n">
        <v>45390.68084061342</v>
      </c>
      <c r="I178" s="41" t="n">
        <v>45390.69549388889</v>
      </c>
      <c r="J178" s="41" t="n">
        <v>45390.93087275463</v>
      </c>
      <c r="K178" s="27" t="inlineStr">
        <is>
          <t>Collected</t>
        </is>
      </c>
      <c r="L178" s="27" t="inlineStr">
        <is>
          <t>Standard</t>
        </is>
      </c>
      <c r="M178" s="27" t="inlineStr">
        <is>
          <t>North West</t>
        </is>
      </c>
      <c r="N178" s="27" t="n">
        <v>190.85</v>
      </c>
      <c r="O178" s="27" t="n">
        <v>1.18</v>
      </c>
      <c r="P178" s="27" t="n">
        <v>47.09</v>
      </c>
      <c r="Q178" s="42">
        <f>IF(H178="","",(H178-F178)*24)</f>
        <v/>
      </c>
      <c r="R178" s="42">
        <f>IF(J178="","",(J178-H178)*24)</f>
        <v/>
      </c>
    </row>
    <row r="179" ht="15" customHeight="1" s="24">
      <c r="A179" s="27" t="n">
        <v>240770</v>
      </c>
      <c r="B179" s="27" t="inlineStr">
        <is>
          <t>PGO10240770</t>
        </is>
      </c>
      <c r="C179" s="27" t="n">
        <v>3</v>
      </c>
      <c r="D179" s="27" t="n">
        <v>2588</v>
      </c>
      <c r="E179" s="27" t="n">
        <v>264</v>
      </c>
      <c r="F179" s="41" t="n">
        <v>45393.75241960648</v>
      </c>
      <c r="G179" s="41" t="n">
        <v>45393.81548829861</v>
      </c>
      <c r="H179" s="41" t="n">
        <v>45394.64594157408</v>
      </c>
      <c r="I179" s="41" t="n">
        <v>45394.69501921297</v>
      </c>
      <c r="J179" s="41" t="n">
        <v>45395.43027674768</v>
      </c>
      <c r="K179" s="27" t="inlineStr">
        <is>
          <t>Collected</t>
        </is>
      </c>
      <c r="L179" s="27" t="inlineStr">
        <is>
          <t>Standard</t>
        </is>
      </c>
      <c r="M179" s="27" t="inlineStr">
        <is>
          <t>Western Cape</t>
        </is>
      </c>
      <c r="N179" s="27" t="n">
        <v>127.66</v>
      </c>
      <c r="O179" s="27" t="n">
        <v>3.34</v>
      </c>
      <c r="P179" s="27" t="n">
        <v>40.02</v>
      </c>
      <c r="Q179" s="42">
        <f>IF(H179="","",(H179-F179)*24)</f>
        <v/>
      </c>
      <c r="R179" s="42">
        <f>IF(J179="","",(J179-H179)*24)</f>
        <v/>
      </c>
    </row>
    <row r="180" ht="15" customHeight="1" s="24">
      <c r="A180" s="27" t="n">
        <v>241107</v>
      </c>
      <c r="B180" s="27" t="inlineStr">
        <is>
          <t>PGO10241107</t>
        </is>
      </c>
      <c r="C180" s="27" t="n">
        <v>2</v>
      </c>
      <c r="D180" s="27" t="n">
        <v>1455</v>
      </c>
      <c r="E180" s="27" t="n">
        <v>39</v>
      </c>
      <c r="F180" s="41" t="n">
        <v>45394.04918653935</v>
      </c>
      <c r="G180" s="41" t="n">
        <v>45394.22241721065</v>
      </c>
      <c r="H180" s="41" t="n">
        <v>45395.10806828704</v>
      </c>
      <c r="I180" s="41" t="n">
        <v>45395.16304155093</v>
      </c>
      <c r="J180" s="41" t="n">
        <v>45395.86953587963</v>
      </c>
      <c r="K180" s="27" t="inlineStr">
        <is>
          <t>Collected</t>
        </is>
      </c>
      <c r="L180" s="27" t="inlineStr">
        <is>
          <t>Standard</t>
        </is>
      </c>
      <c r="M180" s="27" t="inlineStr">
        <is>
          <t>Gauteng</t>
        </is>
      </c>
      <c r="N180" s="27" t="n">
        <v>242.56</v>
      </c>
      <c r="O180" s="27" t="n">
        <v>2.9</v>
      </c>
      <c r="P180" s="27" t="n">
        <v>48.8</v>
      </c>
      <c r="Q180" s="42">
        <f>IF(H180="","",(H180-F180)*24)</f>
        <v/>
      </c>
      <c r="R180" s="42">
        <f>IF(J180="","",(J180-H180)*24)</f>
        <v/>
      </c>
    </row>
    <row r="181" ht="15" customHeight="1" s="24">
      <c r="A181" s="27" t="n">
        <v>257363</v>
      </c>
      <c r="B181" s="27" t="inlineStr">
        <is>
          <t>PGO10257363</t>
        </is>
      </c>
      <c r="C181" s="27" t="n">
        <v>1</v>
      </c>
      <c r="D181" s="27" t="n">
        <v>1698</v>
      </c>
      <c r="E181" s="27" t="n">
        <v>17</v>
      </c>
      <c r="F181" s="41" t="n">
        <v>45396.44095193287</v>
      </c>
      <c r="G181" s="41" t="n">
        <v>45396.45271886574</v>
      </c>
      <c r="H181" s="41" t="n">
        <v>45397.48811822916</v>
      </c>
      <c r="I181" s="41" t="n">
        <v>45397.49158481482</v>
      </c>
      <c r="J181" s="41" t="n">
        <v>45397.82431803241</v>
      </c>
      <c r="K181" s="27" t="inlineStr">
        <is>
          <t>Collected</t>
        </is>
      </c>
      <c r="L181" s="27" t="inlineStr">
        <is>
          <t>Standard</t>
        </is>
      </c>
      <c r="M181" s="27" t="inlineStr">
        <is>
          <t>Gauteng</t>
        </is>
      </c>
      <c r="N181" s="27" t="n">
        <v>104.23</v>
      </c>
      <c r="O181" s="27" t="n">
        <v>3.03</v>
      </c>
      <c r="P181" s="27" t="n">
        <v>45.87</v>
      </c>
      <c r="Q181" s="42">
        <f>IF(H181="","",(H181-F181)*24)</f>
        <v/>
      </c>
      <c r="R181" s="42">
        <f>IF(J181="","",(J181-H181)*24)</f>
        <v/>
      </c>
    </row>
    <row r="182" ht="15" customHeight="1" s="24">
      <c r="A182" s="27" t="n">
        <v>245258</v>
      </c>
      <c r="B182" s="27" t="inlineStr">
        <is>
          <t>PGO10245258</t>
        </is>
      </c>
      <c r="C182" s="27" t="n">
        <v>1</v>
      </c>
      <c r="D182" s="27" t="n">
        <v>1614</v>
      </c>
      <c r="E182" s="27" t="n">
        <v>100</v>
      </c>
      <c r="F182" s="41" t="n">
        <v>45396.87944215278</v>
      </c>
      <c r="G182" s="41" t="n">
        <v>45396.92585384259</v>
      </c>
      <c r="H182" s="41" t="n">
        <v>45397.25214503472</v>
      </c>
      <c r="I182" s="41" t="n">
        <v>45397.25666961806</v>
      </c>
      <c r="J182" s="41" t="n">
        <v>45397.92229991898</v>
      </c>
      <c r="K182" s="27" t="inlineStr">
        <is>
          <t>Collected</t>
        </is>
      </c>
      <c r="L182" s="27" t="inlineStr">
        <is>
          <t>Express</t>
        </is>
      </c>
      <c r="M182" s="27" t="inlineStr">
        <is>
          <t>Gauteng</t>
        </is>
      </c>
      <c r="N182" s="27" t="n">
        <v>171.85</v>
      </c>
      <c r="O182" s="27" t="n">
        <v>0.58</v>
      </c>
      <c r="P182" s="27" t="n">
        <v>46.15</v>
      </c>
      <c r="Q182" s="42">
        <f>IF(H182="","",(H182-F182)*24)</f>
        <v/>
      </c>
      <c r="R182" s="42">
        <f>IF(J182="","",(J182-H182)*24)</f>
        <v/>
      </c>
    </row>
    <row r="183" ht="15" customHeight="1" s="24">
      <c r="A183" s="27" t="n">
        <v>255715</v>
      </c>
      <c r="B183" s="27" t="inlineStr">
        <is>
          <t>PGO10255715</t>
        </is>
      </c>
      <c r="C183" s="27" t="n">
        <v>142</v>
      </c>
      <c r="D183" s="27" t="n">
        <v>3337</v>
      </c>
      <c r="E183" s="27" t="n">
        <v>302</v>
      </c>
      <c r="F183" s="41" t="n">
        <v>45398.00636384259</v>
      </c>
      <c r="G183" s="41" t="n">
        <v>45398.1108581713</v>
      </c>
      <c r="H183" s="41" t="n">
        <v>45398.7330311574</v>
      </c>
      <c r="I183" s="41" t="n">
        <v>45398.7944431713</v>
      </c>
      <c r="J183" s="41" t="n">
        <v>45401.55888060185</v>
      </c>
      <c r="K183" s="27" t="inlineStr">
        <is>
          <t>Collected</t>
        </is>
      </c>
      <c r="L183" s="27" t="inlineStr">
        <is>
          <t>Standard</t>
        </is>
      </c>
      <c r="M183" s="27" t="inlineStr">
        <is>
          <t>Limpopo</t>
        </is>
      </c>
      <c r="N183" s="27" t="n">
        <v>531.4299999999999</v>
      </c>
      <c r="O183" s="27" t="n">
        <v>0.59</v>
      </c>
      <c r="P183" s="27" t="n">
        <v>53.74</v>
      </c>
      <c r="Q183" s="42">
        <f>IF(H183="","",(H183-F183)*24)</f>
        <v/>
      </c>
      <c r="R183" s="42">
        <f>IF(J183="","",(J183-H183)*24)</f>
        <v/>
      </c>
    </row>
    <row r="184" ht="15" customHeight="1" s="24">
      <c r="A184" s="27" t="n">
        <v>249416</v>
      </c>
      <c r="B184" s="27" t="inlineStr">
        <is>
          <t>PGO10249416</t>
        </is>
      </c>
      <c r="C184" s="27" t="n">
        <v>4</v>
      </c>
      <c r="D184" s="27" t="n">
        <v>293</v>
      </c>
      <c r="E184" s="27" t="n">
        <v>302</v>
      </c>
      <c r="F184" s="41" t="n">
        <v>45401.91260290509</v>
      </c>
      <c r="G184" s="41" t="n">
        <v>45402.09563246528</v>
      </c>
      <c r="H184" s="41" t="n">
        <v>45402.80084971065</v>
      </c>
      <c r="I184" s="41" t="n">
        <v>45402.83435660879</v>
      </c>
      <c r="J184" s="41" t="n">
        <v>45403.64532505787</v>
      </c>
      <c r="K184" s="27" t="inlineStr">
        <is>
          <t>Collected</t>
        </is>
      </c>
      <c r="L184" s="27" t="inlineStr">
        <is>
          <t>Standard</t>
        </is>
      </c>
      <c r="M184" s="27" t="inlineStr">
        <is>
          <t>Limpopo</t>
        </is>
      </c>
      <c r="N184" s="27" t="n">
        <v>537.63</v>
      </c>
      <c r="O184" s="27" t="n">
        <v>0.52</v>
      </c>
      <c r="P184" s="27" t="n">
        <v>45.18</v>
      </c>
      <c r="Q184" s="42">
        <f>IF(H184="","",(H184-F184)*24)</f>
        <v/>
      </c>
      <c r="R184" s="42">
        <f>IF(J184="","",(J184-H184)*24)</f>
        <v/>
      </c>
    </row>
    <row r="185" ht="15" customHeight="1" s="24">
      <c r="A185" s="27" t="n">
        <v>247512</v>
      </c>
      <c r="B185" s="27" t="inlineStr">
        <is>
          <t>PGO10247512</t>
        </is>
      </c>
      <c r="C185" s="27" t="n">
        <v>144</v>
      </c>
      <c r="D185" s="27" t="n">
        <v>1900</v>
      </c>
      <c r="E185" s="27" t="n">
        <v>469</v>
      </c>
      <c r="F185" s="41" t="n">
        <v>45405.15091836805</v>
      </c>
      <c r="G185" s="41" t="n">
        <v>45405.41374846065</v>
      </c>
      <c r="H185" s="41" t="n">
        <v>45407.28969942129</v>
      </c>
      <c r="I185" s="41" t="n">
        <v>45407.31717141204</v>
      </c>
      <c r="J185" s="41" t="n">
        <v>45408.32817614583</v>
      </c>
      <c r="K185" s="27" t="inlineStr">
        <is>
          <t>Collected</t>
        </is>
      </c>
      <c r="L185" s="27" t="inlineStr">
        <is>
          <t>Standard</t>
        </is>
      </c>
      <c r="M185" s="27" t="inlineStr">
        <is>
          <t>Western Cape</t>
        </is>
      </c>
      <c r="N185" s="27" t="n">
        <v>225.44</v>
      </c>
      <c r="O185" s="27" t="n">
        <v>1.39</v>
      </c>
      <c r="P185" s="27" t="n">
        <v>40.92</v>
      </c>
      <c r="Q185" s="42">
        <f>IF(H185="","",(H185-F185)*24)</f>
        <v/>
      </c>
      <c r="R185" s="42">
        <f>IF(J185="","",(J185-H185)*24)</f>
        <v/>
      </c>
    </row>
    <row r="186" ht="15" customHeight="1" s="24">
      <c r="A186" s="27" t="n">
        <v>251833</v>
      </c>
      <c r="B186" s="27" t="inlineStr">
        <is>
          <t>PGO10251833</t>
        </is>
      </c>
      <c r="C186" s="27" t="n">
        <v>6</v>
      </c>
      <c r="D186" s="27" t="n">
        <v>3787</v>
      </c>
      <c r="E186" s="27" t="n">
        <v>156</v>
      </c>
      <c r="F186" s="41" t="n">
        <v>45406.61027253472</v>
      </c>
      <c r="G186" s="41" t="n">
        <v>45406.6871315625</v>
      </c>
      <c r="H186" s="41" t="n">
        <v>45407.92442836805</v>
      </c>
      <c r="I186" s="41" t="n">
        <v>45407.9737174537</v>
      </c>
      <c r="J186" s="41" t="n">
        <v>45408.04574635417</v>
      </c>
      <c r="K186" s="27" t="inlineStr">
        <is>
          <t>Collected</t>
        </is>
      </c>
      <c r="L186" s="27" t="inlineStr">
        <is>
          <t>Standard</t>
        </is>
      </c>
      <c r="M186" s="27" t="inlineStr">
        <is>
          <t>Mpumalanga</t>
        </is>
      </c>
      <c r="N186" s="27" t="n">
        <v>138.39</v>
      </c>
      <c r="O186" s="27" t="n">
        <v>6.9</v>
      </c>
      <c r="P186" s="27" t="n">
        <v>58.59</v>
      </c>
      <c r="Q186" s="42">
        <f>IF(H186="","",(H186-F186)*24)</f>
        <v/>
      </c>
      <c r="R186" s="42">
        <f>IF(J186="","",(J186-H186)*24)</f>
        <v/>
      </c>
    </row>
    <row r="187" ht="15" customHeight="1" s="24">
      <c r="A187" s="27" t="n">
        <v>272521</v>
      </c>
      <c r="B187" s="27" t="inlineStr">
        <is>
          <t>PGO10272521</t>
        </is>
      </c>
      <c r="C187" s="27" t="n">
        <v>6</v>
      </c>
      <c r="D187" s="27" t="n">
        <v>220</v>
      </c>
      <c r="E187" s="27" t="n">
        <v>150</v>
      </c>
      <c r="F187" s="41" t="n">
        <v>45414.61155318287</v>
      </c>
      <c r="G187" s="41" t="n">
        <v>45414.71971787037</v>
      </c>
      <c r="H187" s="41" t="n">
        <v>45415.39369969907</v>
      </c>
      <c r="I187" s="41" t="n">
        <v>45415.42268884259</v>
      </c>
      <c r="J187" s="41" t="n">
        <v>45417.3623372338</v>
      </c>
      <c r="K187" s="27" t="inlineStr">
        <is>
          <t>Collected</t>
        </is>
      </c>
      <c r="L187" s="27" t="inlineStr">
        <is>
          <t>Standard</t>
        </is>
      </c>
      <c r="M187" s="27" t="inlineStr">
        <is>
          <t>Western Cape</t>
        </is>
      </c>
      <c r="N187" s="27" t="n">
        <v>688.5700000000001</v>
      </c>
      <c r="O187" s="27" t="n">
        <v>4.62</v>
      </c>
      <c r="P187" s="27" t="n">
        <v>38.87</v>
      </c>
      <c r="Q187" s="42">
        <f>IF(H187="","",(H187-F187)*24)</f>
        <v/>
      </c>
      <c r="R187" s="42">
        <f>IF(J187="","",(J187-H187)*24)</f>
        <v/>
      </c>
    </row>
    <row r="188" ht="15" customHeight="1" s="24">
      <c r="A188" s="27" t="n">
        <v>274021</v>
      </c>
      <c r="B188" s="27" t="inlineStr">
        <is>
          <t>PGO10274021</t>
        </is>
      </c>
      <c r="C188" s="27" t="n">
        <v>2</v>
      </c>
      <c r="D188" s="27" t="n">
        <v>1617</v>
      </c>
      <c r="E188" s="27" t="n">
        <v>274</v>
      </c>
      <c r="F188" s="41" t="n">
        <v>45415.18280556713</v>
      </c>
      <c r="G188" s="41" t="n">
        <v>45415.67769811342</v>
      </c>
      <c r="H188" s="41" t="n">
        <v>45416.75376024305</v>
      </c>
      <c r="I188" s="41" t="n">
        <v>45416.78883274306</v>
      </c>
      <c r="J188" s="41" t="n">
        <v>45417.3401306713</v>
      </c>
      <c r="K188" s="27" t="inlineStr">
        <is>
          <t>Collected</t>
        </is>
      </c>
      <c r="L188" s="27" t="inlineStr">
        <is>
          <t>Standard</t>
        </is>
      </c>
      <c r="M188" s="27" t="inlineStr">
        <is>
          <t>KwaZulu-Natal</t>
        </is>
      </c>
      <c r="N188" s="27" t="n">
        <v>460.23</v>
      </c>
      <c r="O188" s="27" t="n">
        <v>1.32</v>
      </c>
      <c r="P188" s="27" t="n">
        <v>50.25</v>
      </c>
      <c r="Q188" s="42">
        <f>IF(H188="","",(H188-F188)*24)</f>
        <v/>
      </c>
      <c r="R188" s="42">
        <f>IF(J188="","",(J188-H188)*24)</f>
        <v/>
      </c>
    </row>
    <row r="189" ht="15" customHeight="1" s="24">
      <c r="A189" s="27" t="n">
        <v>282245</v>
      </c>
      <c r="B189" s="27" t="inlineStr">
        <is>
          <t>PGO10282245</t>
        </is>
      </c>
      <c r="C189" s="27" t="n">
        <v>37</v>
      </c>
      <c r="D189" s="27" t="n">
        <v>34</v>
      </c>
      <c r="E189" s="27" t="n">
        <v>221</v>
      </c>
      <c r="F189" s="41" t="n">
        <v>45415.87460905092</v>
      </c>
      <c r="G189" s="41" t="n">
        <v>45416.10475902778</v>
      </c>
      <c r="H189" s="41" t="n">
        <v>45417.07720954861</v>
      </c>
      <c r="I189" s="41" t="n">
        <v>45417.13647078704</v>
      </c>
      <c r="J189" s="41" t="n">
        <v>45418.74121341435</v>
      </c>
      <c r="K189" s="27" t="inlineStr">
        <is>
          <t>Collected</t>
        </is>
      </c>
      <c r="L189" s="27" t="inlineStr">
        <is>
          <t>Standard</t>
        </is>
      </c>
      <c r="M189" s="27" t="inlineStr">
        <is>
          <t>Eastern Cape</t>
        </is>
      </c>
      <c r="N189" s="27" t="n">
        <v>591.86</v>
      </c>
      <c r="O189" s="27" t="n">
        <v>2.74</v>
      </c>
      <c r="P189" s="27" t="n">
        <v>62.48</v>
      </c>
      <c r="Q189" s="42">
        <f>IF(H189="","",(H189-F189)*24)</f>
        <v/>
      </c>
      <c r="R189" s="42">
        <f>IF(J189="","",(J189-H189)*24)</f>
        <v/>
      </c>
    </row>
    <row r="190" ht="15" customHeight="1" s="24">
      <c r="A190" s="27" t="n">
        <v>267911</v>
      </c>
      <c r="B190" s="27" t="inlineStr">
        <is>
          <t>PGO10267911</t>
        </is>
      </c>
      <c r="C190" s="27" t="n">
        <v>19</v>
      </c>
      <c r="D190" s="27" t="n">
        <v>2751</v>
      </c>
      <c r="E190" s="27" t="n">
        <v>246</v>
      </c>
      <c r="F190" s="41" t="n">
        <v>45415.98885813657</v>
      </c>
      <c r="G190" s="41" t="n">
        <v>45416.04701238426</v>
      </c>
      <c r="H190" s="41" t="n">
        <v>45417.25239400463</v>
      </c>
      <c r="I190" s="41" t="n">
        <v>45417.29613645833</v>
      </c>
      <c r="J190" s="41" t="n">
        <v>45420.05462074074</v>
      </c>
      <c r="K190" s="27" t="inlineStr">
        <is>
          <t>Collected</t>
        </is>
      </c>
      <c r="L190" s="27" t="inlineStr">
        <is>
          <t>Express</t>
        </is>
      </c>
      <c r="M190" s="27" t="inlineStr">
        <is>
          <t>KwaZulu-Natal</t>
        </is>
      </c>
      <c r="N190" s="27" t="n">
        <v>52.92</v>
      </c>
      <c r="O190" s="27" t="n">
        <v>2.07</v>
      </c>
      <c r="P190" s="27" t="n">
        <v>66.75</v>
      </c>
      <c r="Q190" s="42">
        <f>IF(H190="","",(H190-F190)*24)</f>
        <v/>
      </c>
      <c r="R190" s="42">
        <f>IF(J190="","",(J190-H190)*24)</f>
        <v/>
      </c>
    </row>
    <row r="191" ht="15" customHeight="1" s="24">
      <c r="A191" s="27" t="n">
        <v>267610</v>
      </c>
      <c r="B191" s="27" t="inlineStr">
        <is>
          <t>PGO10267610</t>
        </is>
      </c>
      <c r="C191" s="27" t="n">
        <v>52</v>
      </c>
      <c r="D191" s="27" t="n">
        <v>2590</v>
      </c>
      <c r="E191" s="27" t="n">
        <v>476</v>
      </c>
      <c r="F191" s="41" t="n">
        <v>45417.954835</v>
      </c>
      <c r="G191" s="41" t="n">
        <v>45418.17491708334</v>
      </c>
      <c r="H191" s="41" t="n">
        <v>45419.26699425926</v>
      </c>
      <c r="I191" s="41" t="n">
        <v>45419.32277905093</v>
      </c>
      <c r="J191" s="41" t="n">
        <v>45422.08602150463</v>
      </c>
      <c r="K191" s="27" t="inlineStr">
        <is>
          <t>Collected</t>
        </is>
      </c>
      <c r="L191" s="27" t="inlineStr">
        <is>
          <t>Standard</t>
        </is>
      </c>
      <c r="M191" s="27" t="inlineStr">
        <is>
          <t>Western Cape</t>
        </is>
      </c>
      <c r="N191" s="27" t="n">
        <v>449.38</v>
      </c>
      <c r="O191" s="27" t="n">
        <v>1.49</v>
      </c>
      <c r="P191" s="27" t="n">
        <v>46.64</v>
      </c>
      <c r="Q191" s="42">
        <f>IF(H191="","",(H191-F191)*24)</f>
        <v/>
      </c>
      <c r="R191" s="42">
        <f>IF(J191="","",(J191-H191)*24)</f>
        <v/>
      </c>
    </row>
    <row r="192" ht="15" customHeight="1" s="24">
      <c r="A192" s="27" t="n">
        <v>265734</v>
      </c>
      <c r="B192" s="27" t="inlineStr">
        <is>
          <t>PGO10265734</t>
        </is>
      </c>
      <c r="C192" s="27" t="n">
        <v>2</v>
      </c>
      <c r="D192" s="27" t="n">
        <v>2157</v>
      </c>
      <c r="E192" s="27" t="n">
        <v>131</v>
      </c>
      <c r="F192" s="41" t="n">
        <v>45420.392465</v>
      </c>
      <c r="G192" s="41" t="n">
        <v>45421.01778576389</v>
      </c>
      <c r="H192" s="41" t="n">
        <v>45421.91695378472</v>
      </c>
      <c r="I192" s="41" t="n">
        <v>45421.92250409722</v>
      </c>
      <c r="J192" s="41" t="n">
        <v>45425.37926614584</v>
      </c>
      <c r="K192" s="27" t="inlineStr">
        <is>
          <t>Collected</t>
        </is>
      </c>
      <c r="L192" s="27" t="inlineStr">
        <is>
          <t>Standard</t>
        </is>
      </c>
      <c r="M192" s="27" t="inlineStr">
        <is>
          <t>KwaZulu-Natal</t>
        </is>
      </c>
      <c r="N192" s="27" t="n">
        <v>120.35</v>
      </c>
      <c r="O192" s="27" t="n">
        <v>2.8</v>
      </c>
      <c r="P192" s="27" t="n">
        <v>48.05</v>
      </c>
      <c r="Q192" s="42">
        <f>IF(H192="","",(H192-F192)*24)</f>
        <v/>
      </c>
      <c r="R192" s="42">
        <f>IF(J192="","",(J192-H192)*24)</f>
        <v/>
      </c>
    </row>
    <row r="193" ht="15" customHeight="1" s="24">
      <c r="A193" s="27" t="n">
        <v>284423</v>
      </c>
      <c r="B193" s="27" t="inlineStr">
        <is>
          <t>PGO10284423</t>
        </is>
      </c>
      <c r="C193" s="27" t="n">
        <v>1</v>
      </c>
      <c r="D193" s="27" t="n">
        <v>1993</v>
      </c>
      <c r="E193" s="27" t="n">
        <v>330</v>
      </c>
      <c r="F193" s="41" t="n">
        <v>45420.91551866898</v>
      </c>
      <c r="G193" s="41" t="n">
        <v>45421.12871409722</v>
      </c>
      <c r="H193" s="41" t="n">
        <v>45421.82203939815</v>
      </c>
      <c r="I193" s="41" t="n">
        <v>45421.8795525926</v>
      </c>
      <c r="J193" s="41" t="n">
        <v>45423.55477598379</v>
      </c>
      <c r="K193" s="27" t="inlineStr">
        <is>
          <t>Collected</t>
        </is>
      </c>
      <c r="L193" s="27" t="inlineStr">
        <is>
          <t>Standard</t>
        </is>
      </c>
      <c r="M193" s="27" t="inlineStr">
        <is>
          <t>KwaZulu-Natal</t>
        </is>
      </c>
      <c r="N193" s="27" t="n">
        <v>98.41</v>
      </c>
      <c r="O193" s="27" t="n">
        <v>1.63</v>
      </c>
      <c r="P193" s="27" t="n">
        <v>44.4</v>
      </c>
      <c r="Q193" s="42">
        <f>IF(H193="","",(H193-F193)*24)</f>
        <v/>
      </c>
      <c r="R193" s="42">
        <f>IF(J193="","",(J193-H193)*24)</f>
        <v/>
      </c>
    </row>
    <row r="194" ht="15" customHeight="1" s="24">
      <c r="A194" s="27" t="n">
        <v>266637</v>
      </c>
      <c r="B194" s="27" t="inlineStr">
        <is>
          <t>PGO10266637</t>
        </is>
      </c>
      <c r="C194" s="27" t="n">
        <v>1</v>
      </c>
      <c r="D194" s="27" t="n">
        <v>3554</v>
      </c>
      <c r="E194" s="27" t="n">
        <v>488</v>
      </c>
      <c r="F194" s="41" t="n">
        <v>45420.94726440972</v>
      </c>
      <c r="G194" s="41" t="n">
        <v>45421.17217628472</v>
      </c>
      <c r="H194" s="41" t="n">
        <v>45421.63921890046</v>
      </c>
      <c r="I194" s="41" t="n">
        <v>45421.65169859954</v>
      </c>
      <c r="J194" s="41" t="n">
        <v>45423.91722054398</v>
      </c>
      <c r="K194" s="27" t="inlineStr">
        <is>
          <t>Collected</t>
        </is>
      </c>
      <c r="L194" s="27" t="inlineStr">
        <is>
          <t>Standard</t>
        </is>
      </c>
      <c r="M194" s="27" t="inlineStr">
        <is>
          <t>Gauteng</t>
        </is>
      </c>
      <c r="N194" s="27" t="n">
        <v>210.24</v>
      </c>
      <c r="O194" s="27" t="n">
        <v>5.1</v>
      </c>
      <c r="P194" s="27" t="n">
        <v>62.89</v>
      </c>
      <c r="Q194" s="42">
        <f>IF(H194="","",(H194-F194)*24)</f>
        <v/>
      </c>
      <c r="R194" s="42">
        <f>IF(J194="","",(J194-H194)*24)</f>
        <v/>
      </c>
    </row>
    <row r="195" ht="15" customHeight="1" s="24">
      <c r="A195" s="27" t="n">
        <v>275875</v>
      </c>
      <c r="B195" s="27" t="inlineStr">
        <is>
          <t>PGO10275875</t>
        </is>
      </c>
      <c r="C195" s="27" t="n">
        <v>24</v>
      </c>
      <c r="D195" s="27" t="n">
        <v>3539</v>
      </c>
      <c r="E195" s="27" t="n">
        <v>102</v>
      </c>
      <c r="F195" s="41" t="n">
        <v>45422.07812273148</v>
      </c>
      <c r="G195" s="41" t="n">
        <v>45422.19854693287</v>
      </c>
      <c r="H195" s="41" t="n">
        <v>45422.74668451389</v>
      </c>
      <c r="I195" s="41" t="n">
        <v>45422.76386678241</v>
      </c>
      <c r="J195" s="41" t="n">
        <v>45424.32963755787</v>
      </c>
      <c r="K195" s="27" t="inlineStr">
        <is>
          <t>Collected</t>
        </is>
      </c>
      <c r="L195" s="27" t="inlineStr">
        <is>
          <t>Express</t>
        </is>
      </c>
      <c r="M195" s="27" t="inlineStr">
        <is>
          <t>Gauteng</t>
        </is>
      </c>
      <c r="N195" s="27" t="n">
        <v>383.72</v>
      </c>
      <c r="O195" s="27" t="n">
        <v>1.06</v>
      </c>
      <c r="P195" s="27" t="n">
        <v>65.84</v>
      </c>
      <c r="Q195" s="42">
        <f>IF(H195="","",(H195-F195)*24)</f>
        <v/>
      </c>
      <c r="R195" s="42">
        <f>IF(J195="","",(J195-H195)*24)</f>
        <v/>
      </c>
    </row>
    <row r="196" ht="15" customHeight="1" s="24">
      <c r="A196" s="27" t="n">
        <v>271609</v>
      </c>
      <c r="B196" s="27" t="inlineStr">
        <is>
          <t>PGO10271609</t>
        </is>
      </c>
      <c r="C196" s="27" t="n">
        <v>4</v>
      </c>
      <c r="D196" s="27" t="n">
        <v>2738</v>
      </c>
      <c r="E196" s="27" t="n">
        <v>337</v>
      </c>
      <c r="F196" s="41" t="n">
        <v>45430.21016185185</v>
      </c>
      <c r="G196" s="41" t="n">
        <v>45430.22535159722</v>
      </c>
      <c r="H196" s="41" t="n">
        <v>45432.52103987268</v>
      </c>
      <c r="I196" s="41" t="n">
        <v>45432.53059204861</v>
      </c>
      <c r="J196" s="41" t="n">
        <v>45434.97429168982</v>
      </c>
      <c r="K196" s="27" t="inlineStr">
        <is>
          <t>Collected</t>
        </is>
      </c>
      <c r="L196" s="27" t="inlineStr">
        <is>
          <t>Standard</t>
        </is>
      </c>
      <c r="M196" s="27" t="inlineStr">
        <is>
          <t>Mpumalanga</t>
        </is>
      </c>
      <c r="N196" s="27" t="n">
        <v>170.23</v>
      </c>
      <c r="O196" s="27" t="n">
        <v>0.32</v>
      </c>
      <c r="P196" s="27" t="n">
        <v>42.23</v>
      </c>
      <c r="Q196" s="42">
        <f>IF(H196="","",(H196-F196)*24)</f>
        <v/>
      </c>
      <c r="R196" s="42">
        <f>IF(J196="","",(J196-H196)*24)</f>
        <v/>
      </c>
    </row>
    <row r="197" ht="15" customHeight="1" s="24">
      <c r="A197" s="27" t="n">
        <v>264987</v>
      </c>
      <c r="B197" s="27" t="inlineStr">
        <is>
          <t>PGO10264987</t>
        </is>
      </c>
      <c r="C197" s="27" t="n">
        <v>22</v>
      </c>
      <c r="D197" s="27" t="n">
        <v>714</v>
      </c>
      <c r="E197" s="27" t="n">
        <v>42</v>
      </c>
      <c r="F197" s="41" t="n">
        <v>45430.73369542824</v>
      </c>
      <c r="G197" s="41" t="n">
        <v>45430.85601225695</v>
      </c>
      <c r="H197" s="41" t="n">
        <v>45431.4919021875</v>
      </c>
      <c r="I197" s="41" t="n">
        <v>45431.53023916667</v>
      </c>
      <c r="J197" s="41" t="n">
        <v>45432.95894940972</v>
      </c>
      <c r="K197" s="27" t="inlineStr">
        <is>
          <t>Collected</t>
        </is>
      </c>
      <c r="L197" s="27" t="inlineStr">
        <is>
          <t>Express</t>
        </is>
      </c>
      <c r="M197" s="27" t="inlineStr">
        <is>
          <t>North West</t>
        </is>
      </c>
      <c r="N197" s="27" t="n">
        <v>289.41</v>
      </c>
      <c r="O197" s="27" t="n">
        <v>0.74</v>
      </c>
      <c r="P197" s="27" t="n">
        <v>52.29</v>
      </c>
      <c r="Q197" s="42">
        <f>IF(H197="","",(H197-F197)*24)</f>
        <v/>
      </c>
      <c r="R197" s="42">
        <f>IF(J197="","",(J197-H197)*24)</f>
        <v/>
      </c>
    </row>
    <row r="198" ht="15" customHeight="1" s="24">
      <c r="A198" s="27" t="n">
        <v>284683</v>
      </c>
      <c r="B198" s="27" t="inlineStr">
        <is>
          <t>PGO10284683</t>
        </is>
      </c>
      <c r="C198" s="27" t="n">
        <v>65</v>
      </c>
      <c r="D198" s="27" t="n">
        <v>598</v>
      </c>
      <c r="E198" s="27" t="n">
        <v>18</v>
      </c>
      <c r="F198" s="41" t="n">
        <v>45431.54343664352</v>
      </c>
      <c r="G198" s="41" t="n">
        <v>45431.856031875</v>
      </c>
      <c r="H198" s="41" t="n">
        <v>45432.20322358796</v>
      </c>
      <c r="I198" s="41" t="n">
        <v>45432.21831645833</v>
      </c>
      <c r="J198" s="41" t="n">
        <v>45435.99612628472</v>
      </c>
      <c r="K198" s="27" t="inlineStr">
        <is>
          <t>Collected</t>
        </is>
      </c>
      <c r="L198" s="27" t="inlineStr">
        <is>
          <t>Standard</t>
        </is>
      </c>
      <c r="M198" s="27" t="inlineStr">
        <is>
          <t>KwaZulu-Natal</t>
        </is>
      </c>
      <c r="N198" s="27" t="n">
        <v>156.45</v>
      </c>
      <c r="O198" s="27" t="n">
        <v>1.87</v>
      </c>
      <c r="P198" s="27" t="n">
        <v>56.17</v>
      </c>
      <c r="Q198" s="42">
        <f>IF(H198="","",(H198-F198)*24)</f>
        <v/>
      </c>
      <c r="R198" s="42">
        <f>IF(J198="","",(J198-H198)*24)</f>
        <v/>
      </c>
    </row>
    <row r="199" ht="15" customHeight="1" s="24">
      <c r="A199" s="27" t="n">
        <v>278156</v>
      </c>
      <c r="B199" s="27" t="inlineStr">
        <is>
          <t>PGO10278156</t>
        </is>
      </c>
      <c r="C199" s="27" t="n">
        <v>35</v>
      </c>
      <c r="D199" s="27" t="n">
        <v>1614</v>
      </c>
      <c r="E199" s="27" t="n">
        <v>41</v>
      </c>
      <c r="F199" s="41" t="n">
        <v>45432.16436129629</v>
      </c>
      <c r="G199" s="41" t="n">
        <v>45432.33740721065</v>
      </c>
      <c r="H199" s="41" t="n">
        <v>45432.98069820602</v>
      </c>
      <c r="I199" s="41" t="n">
        <v>45433.00057175926</v>
      </c>
      <c r="J199" s="41" t="n">
        <v>45435.66348883102</v>
      </c>
      <c r="K199" s="27" t="inlineStr">
        <is>
          <t>Collected</t>
        </is>
      </c>
      <c r="L199" s="27" t="inlineStr">
        <is>
          <t>Express</t>
        </is>
      </c>
      <c r="M199" s="27" t="inlineStr">
        <is>
          <t>Gauteng</t>
        </is>
      </c>
      <c r="N199" s="27" t="n">
        <v>372.95</v>
      </c>
      <c r="O199" s="27" t="n">
        <v>0.79</v>
      </c>
      <c r="P199" s="27" t="n">
        <v>40.92</v>
      </c>
      <c r="Q199" s="42">
        <f>IF(H199="","",(H199-F199)*24)</f>
        <v/>
      </c>
      <c r="R199" s="42">
        <f>IF(J199="","",(J199-H199)*24)</f>
        <v/>
      </c>
    </row>
    <row r="200" ht="15" customHeight="1" s="24">
      <c r="A200" s="27" t="n">
        <v>266550</v>
      </c>
      <c r="B200" s="27" t="inlineStr">
        <is>
          <t>PGO10266550</t>
        </is>
      </c>
      <c r="C200" s="27" t="n">
        <v>21</v>
      </c>
      <c r="D200" s="27" t="n">
        <v>2578</v>
      </c>
      <c r="E200" s="27" t="n">
        <v>118</v>
      </c>
      <c r="F200" s="41" t="n">
        <v>45435.32917048611</v>
      </c>
      <c r="G200" s="41" t="n">
        <v>45435.6746908912</v>
      </c>
      <c r="H200" s="41" t="n">
        <v>45436.98582614584</v>
      </c>
      <c r="I200" s="41" t="n">
        <v>45437.0482922338</v>
      </c>
      <c r="J200" s="41" t="n">
        <v>45438.5187794213</v>
      </c>
      <c r="K200" s="27" t="inlineStr">
        <is>
          <t>Collected</t>
        </is>
      </c>
      <c r="L200" s="27" t="inlineStr">
        <is>
          <t>Standard</t>
        </is>
      </c>
      <c r="M200" s="27" t="inlineStr">
        <is>
          <t>Western Cape</t>
        </is>
      </c>
      <c r="N200" s="27" t="n">
        <v>66.95</v>
      </c>
      <c r="O200" s="27" t="n">
        <v>0.76</v>
      </c>
      <c r="P200" s="27" t="n">
        <v>63.77</v>
      </c>
      <c r="Q200" s="42">
        <f>IF(H200="","",(H200-F200)*24)</f>
        <v/>
      </c>
      <c r="R200" s="42">
        <f>IF(J200="","",(J200-H200)*24)</f>
        <v/>
      </c>
    </row>
    <row r="201" ht="15" customHeight="1" s="24">
      <c r="A201" s="27" t="n">
        <v>271834</v>
      </c>
      <c r="B201" s="27" t="inlineStr">
        <is>
          <t>PGO10271834</t>
        </is>
      </c>
      <c r="C201" s="27" t="n">
        <v>2</v>
      </c>
      <c r="D201" s="27" t="n">
        <v>3406</v>
      </c>
      <c r="E201" s="27" t="n">
        <v>102</v>
      </c>
      <c r="F201" s="41" t="n">
        <v>45436.60039543982</v>
      </c>
      <c r="G201" s="41" t="n">
        <v>45437.02885903935</v>
      </c>
      <c r="H201" s="41" t="n">
        <v>45437.59465539352</v>
      </c>
      <c r="I201" s="41" t="n">
        <v>45437.65236011574</v>
      </c>
      <c r="J201" s="41" t="n">
        <v>45438.18951883102</v>
      </c>
      <c r="K201" s="27" t="inlineStr">
        <is>
          <t>Collected</t>
        </is>
      </c>
      <c r="L201" s="27" t="inlineStr">
        <is>
          <t>Standard</t>
        </is>
      </c>
      <c r="M201" s="27" t="inlineStr">
        <is>
          <t>Gauteng</t>
        </is>
      </c>
      <c r="N201" s="27" t="n">
        <v>231.03</v>
      </c>
      <c r="O201" s="27" t="n">
        <v>1.25</v>
      </c>
      <c r="P201" s="27" t="n">
        <v>51.16</v>
      </c>
      <c r="Q201" s="42">
        <f>IF(H201="","",(H201-F201)*24)</f>
        <v/>
      </c>
      <c r="R201" s="42">
        <f>IF(J201="","",(J201-H201)*24)</f>
        <v/>
      </c>
    </row>
    <row r="202" ht="15" customHeight="1" s="24">
      <c r="A202" s="27" t="n">
        <v>280986</v>
      </c>
      <c r="B202" s="27" t="inlineStr">
        <is>
          <t>PGO10280986</t>
        </is>
      </c>
      <c r="C202" s="27" t="n">
        <v>76</v>
      </c>
      <c r="D202" s="27" t="n">
        <v>803</v>
      </c>
      <c r="E202" s="27" t="n">
        <v>254</v>
      </c>
      <c r="F202" s="41" t="n">
        <v>45437.87990712963</v>
      </c>
      <c r="G202" s="41" t="n">
        <v>45438.21249991898</v>
      </c>
      <c r="H202" s="41" t="n">
        <v>45439.09694550926</v>
      </c>
      <c r="I202" s="41" t="n">
        <v>45439.10930005787</v>
      </c>
      <c r="J202" s="41" t="n">
        <v>45443.62040265046</v>
      </c>
      <c r="K202" s="27" t="inlineStr">
        <is>
          <t>Collected</t>
        </is>
      </c>
      <c r="L202" s="27" t="inlineStr">
        <is>
          <t>Standard</t>
        </is>
      </c>
      <c r="M202" s="27" t="inlineStr">
        <is>
          <t>KwaZulu-Natal</t>
        </is>
      </c>
      <c r="N202" s="27" t="n">
        <v>321.98</v>
      </c>
      <c r="O202" s="27" t="n">
        <v>1.8</v>
      </c>
      <c r="P202" s="27" t="n">
        <v>53.69</v>
      </c>
      <c r="Q202" s="42">
        <f>IF(H202="","",(H202-F202)*24)</f>
        <v/>
      </c>
      <c r="R202" s="42">
        <f>IF(J202="","",(J202-H202)*24)</f>
        <v/>
      </c>
    </row>
    <row r="203" ht="15" customHeight="1" s="24">
      <c r="A203" s="27" t="n">
        <v>271467</v>
      </c>
      <c r="B203" s="27" t="inlineStr">
        <is>
          <t>PGO10271467</t>
        </is>
      </c>
      <c r="C203" s="27" t="n">
        <v>20</v>
      </c>
      <c r="D203" s="27" t="n">
        <v>3385</v>
      </c>
      <c r="E203" s="27" t="n">
        <v>354</v>
      </c>
      <c r="F203" s="41" t="n">
        <v>45439.10297236111</v>
      </c>
      <c r="G203" s="41" t="n">
        <v>45439.18037028935</v>
      </c>
      <c r="H203" s="41" t="n">
        <v>45439.8306625</v>
      </c>
      <c r="I203" s="41" t="n">
        <v>45439.84930666666</v>
      </c>
      <c r="J203" s="41" t="n">
        <v>45440.22032858797</v>
      </c>
      <c r="K203" s="27" t="inlineStr">
        <is>
          <t>Collected</t>
        </is>
      </c>
      <c r="L203" s="27" t="inlineStr">
        <is>
          <t>Standard</t>
        </is>
      </c>
      <c r="M203" s="27" t="inlineStr">
        <is>
          <t>KwaZulu-Natal</t>
        </is>
      </c>
      <c r="N203" s="27" t="n">
        <v>241.74</v>
      </c>
      <c r="O203" s="27" t="n">
        <v>0.55</v>
      </c>
      <c r="P203" s="27" t="n">
        <v>56.76</v>
      </c>
      <c r="Q203" s="42">
        <f>IF(H203="","",(H203-F203)*24)</f>
        <v/>
      </c>
      <c r="R203" s="42">
        <f>IF(J203="","",(J203-H203)*24)</f>
        <v/>
      </c>
    </row>
    <row r="204" ht="15" customHeight="1" s="24">
      <c r="A204" s="27" t="n">
        <v>281571</v>
      </c>
      <c r="B204" s="27" t="inlineStr">
        <is>
          <t>PGO10281571</t>
        </is>
      </c>
      <c r="C204" s="27" t="n">
        <v>58</v>
      </c>
      <c r="D204" s="27" t="n">
        <v>333</v>
      </c>
      <c r="E204" s="27" t="n">
        <v>169</v>
      </c>
      <c r="F204" s="41" t="n">
        <v>45439.68106395833</v>
      </c>
      <c r="G204" s="41" t="n">
        <v>45439.89558158565</v>
      </c>
      <c r="H204" s="41" t="n">
        <v>45440.14275677083</v>
      </c>
      <c r="I204" s="41" t="n">
        <v>45440.18543417824</v>
      </c>
      <c r="J204" s="41" t="n">
        <v>45440.54979670139</v>
      </c>
      <c r="K204" s="27" t="inlineStr">
        <is>
          <t>Collected</t>
        </is>
      </c>
      <c r="L204" s="27" t="inlineStr">
        <is>
          <t>Standard</t>
        </is>
      </c>
      <c r="M204" s="27" t="inlineStr">
        <is>
          <t>Eastern Cape</t>
        </is>
      </c>
      <c r="N204" s="27" t="n">
        <v>748.39</v>
      </c>
      <c r="O204" s="27" t="n">
        <v>0.76</v>
      </c>
      <c r="P204" s="27" t="n">
        <v>44.72</v>
      </c>
      <c r="Q204" s="42">
        <f>IF(H204="","",(H204-F204)*24)</f>
        <v/>
      </c>
      <c r="R204" s="42">
        <f>IF(J204="","",(J204-H204)*24)</f>
        <v/>
      </c>
    </row>
    <row r="205" ht="15" customHeight="1" s="24">
      <c r="A205" s="27" t="n">
        <v>261611</v>
      </c>
      <c r="B205" s="27" t="inlineStr">
        <is>
          <t>PGO10261611</t>
        </is>
      </c>
      <c r="C205" s="27" t="n">
        <v>4</v>
      </c>
      <c r="D205" s="27" t="n">
        <v>226</v>
      </c>
      <c r="E205" s="27" t="n">
        <v>335</v>
      </c>
      <c r="F205" s="41" t="n">
        <v>45440.85173248842</v>
      </c>
      <c r="G205" s="41" t="n">
        <v>45441.0392281713</v>
      </c>
      <c r="H205" s="41" t="n">
        <v>45441.90793358797</v>
      </c>
      <c r="I205" s="41" t="n">
        <v>45441.94522640046</v>
      </c>
      <c r="J205" s="41" t="n">
        <v>45443.81984467593</v>
      </c>
      <c r="K205" s="27" t="inlineStr">
        <is>
          <t>Collected</t>
        </is>
      </c>
      <c r="L205" s="27" t="inlineStr">
        <is>
          <t>Standard</t>
        </is>
      </c>
      <c r="M205" s="27" t="inlineStr">
        <is>
          <t>Eastern Cape</t>
        </is>
      </c>
      <c r="N205" s="27" t="n">
        <v>1274.3</v>
      </c>
      <c r="O205" s="27" t="n">
        <v>0.98</v>
      </c>
      <c r="P205" s="27" t="n">
        <v>44.53</v>
      </c>
      <c r="Q205" s="42">
        <f>IF(H205="","",(H205-F205)*24)</f>
        <v/>
      </c>
      <c r="R205" s="42">
        <f>IF(J205="","",(J205-H205)*24)</f>
        <v/>
      </c>
    </row>
    <row r="206" ht="15" customHeight="1" s="24">
      <c r="A206" s="27" t="n">
        <v>262974</v>
      </c>
      <c r="B206" s="27" t="inlineStr">
        <is>
          <t>PGO10262974</t>
        </is>
      </c>
      <c r="C206" s="27" t="n">
        <v>3</v>
      </c>
      <c r="D206" s="27" t="n">
        <v>1099</v>
      </c>
      <c r="E206" s="27" t="n">
        <v>356</v>
      </c>
      <c r="F206" s="41" t="n">
        <v>45441.25511957176</v>
      </c>
      <c r="G206" s="41" t="n">
        <v>45441.4025790162</v>
      </c>
      <c r="H206" s="41" t="n">
        <v>45442.09717737269</v>
      </c>
      <c r="I206" s="41" t="n">
        <v>45442.15592266204</v>
      </c>
      <c r="J206" s="41" t="n">
        <v>45443.00649482639</v>
      </c>
      <c r="K206" s="27" t="inlineStr">
        <is>
          <t>Collected</t>
        </is>
      </c>
      <c r="L206" s="27" t="inlineStr">
        <is>
          <t>Standard</t>
        </is>
      </c>
      <c r="M206" s="27" t="inlineStr">
        <is>
          <t>Gauteng</t>
        </is>
      </c>
      <c r="N206" s="27" t="n">
        <v>99.48</v>
      </c>
      <c r="O206" s="27" t="n">
        <v>0.79</v>
      </c>
      <c r="P206" s="27" t="n">
        <v>40.1</v>
      </c>
      <c r="Q206" s="42">
        <f>IF(H206="","",(H206-F206)*24)</f>
        <v/>
      </c>
      <c r="R206" s="42">
        <f>IF(J206="","",(J206-H206)*24)</f>
        <v/>
      </c>
    </row>
    <row r="207" ht="15" customHeight="1" s="24">
      <c r="A207" s="27" t="n">
        <v>287083</v>
      </c>
      <c r="B207" s="27" t="inlineStr">
        <is>
          <t>PGO10287083</t>
        </is>
      </c>
      <c r="C207" s="27" t="n">
        <v>7</v>
      </c>
      <c r="D207" s="27" t="n">
        <v>1677</v>
      </c>
      <c r="E207" s="27" t="n">
        <v>375</v>
      </c>
      <c r="F207" s="41" t="n">
        <v>45442.62921947917</v>
      </c>
      <c r="G207" s="41" t="n">
        <v>45442.8298190625</v>
      </c>
      <c r="H207" s="41" t="n">
        <v>45443.2505715162</v>
      </c>
      <c r="I207" s="41" t="n">
        <v>45443.26003362268</v>
      </c>
      <c r="J207" s="41" t="n">
        <v>45444.31027783565</v>
      </c>
      <c r="K207" s="27" t="inlineStr">
        <is>
          <t>Collected</t>
        </is>
      </c>
      <c r="L207" s="27" t="inlineStr">
        <is>
          <t>Standard</t>
        </is>
      </c>
      <c r="M207" s="27" t="inlineStr">
        <is>
          <t>Gauteng</t>
        </is>
      </c>
      <c r="N207" s="27" t="n">
        <v>636.58</v>
      </c>
      <c r="O207" s="27" t="n">
        <v>3.26</v>
      </c>
      <c r="P207" s="27" t="n">
        <v>49.23</v>
      </c>
      <c r="Q207" s="42">
        <f>IF(H207="","",(H207-F207)*24)</f>
        <v/>
      </c>
      <c r="R207" s="42">
        <f>IF(J207="","",(J207-H207)*24)</f>
        <v/>
      </c>
    </row>
    <row r="208" ht="15" customHeight="1" s="24">
      <c r="A208" s="27" t="n">
        <v>270875</v>
      </c>
      <c r="B208" s="27" t="inlineStr">
        <is>
          <t>PGO10270875</t>
        </is>
      </c>
      <c r="C208" s="27" t="n">
        <v>3</v>
      </c>
      <c r="D208" s="27" t="n">
        <v>3712</v>
      </c>
      <c r="E208" s="27" t="n">
        <v>314</v>
      </c>
      <c r="F208" s="41" t="n">
        <v>45442.97361309027</v>
      </c>
      <c r="G208" s="41" t="n">
        <v>45443.47126868056</v>
      </c>
      <c r="H208" s="41" t="n">
        <v>45444.16912158565</v>
      </c>
      <c r="I208" s="41" t="n">
        <v>45444.17692519676</v>
      </c>
      <c r="J208" s="41" t="n">
        <v>45445.60404146991</v>
      </c>
      <c r="K208" s="27" t="inlineStr">
        <is>
          <t>Collected</t>
        </is>
      </c>
      <c r="L208" s="27" t="inlineStr">
        <is>
          <t>Express</t>
        </is>
      </c>
      <c r="M208" s="27" t="inlineStr">
        <is>
          <t>Gauteng</t>
        </is>
      </c>
      <c r="N208" s="27" t="n">
        <v>549.53</v>
      </c>
      <c r="O208" s="27" t="n">
        <v>1.72</v>
      </c>
      <c r="P208" s="27" t="n">
        <v>38.73</v>
      </c>
      <c r="Q208" s="42">
        <f>IF(H208="","",(H208-F208)*24)</f>
        <v/>
      </c>
      <c r="R208" s="42">
        <f>IF(J208="","",(J208-H208)*24)</f>
        <v/>
      </c>
    </row>
    <row r="209" ht="15" customHeight="1" s="24">
      <c r="A209" s="27" t="n">
        <v>288394</v>
      </c>
      <c r="B209" s="27" t="inlineStr">
        <is>
          <t>PGO10288394</t>
        </is>
      </c>
      <c r="C209" s="27" t="n">
        <v>43</v>
      </c>
      <c r="D209" s="27" t="n">
        <v>752</v>
      </c>
      <c r="E209" s="27" t="n">
        <v>434</v>
      </c>
      <c r="F209" s="41" t="n">
        <v>45443.72023065972</v>
      </c>
      <c r="G209" s="41" t="n">
        <v>45443.88753774305</v>
      </c>
      <c r="H209" s="41" t="n">
        <v>45444.46719640047</v>
      </c>
      <c r="I209" s="41" t="n">
        <v>45444.51603582176</v>
      </c>
      <c r="J209" s="41" t="n">
        <v>45448.23792568287</v>
      </c>
      <c r="K209" s="27" t="inlineStr">
        <is>
          <t>Collected</t>
        </is>
      </c>
      <c r="L209" s="27" t="inlineStr">
        <is>
          <t>Standard</t>
        </is>
      </c>
      <c r="M209" s="27" t="inlineStr">
        <is>
          <t>Mpumalanga</t>
        </is>
      </c>
      <c r="N209" s="27" t="n">
        <v>727.1900000000001</v>
      </c>
      <c r="O209" s="27" t="n">
        <v>0.39</v>
      </c>
      <c r="P209" s="27" t="n">
        <v>51.46</v>
      </c>
      <c r="Q209" s="42">
        <f>IF(H209="","",(H209-F209)*24)</f>
        <v/>
      </c>
      <c r="R209" s="42">
        <f>IF(J209="","",(J209-H209)*24)</f>
        <v/>
      </c>
    </row>
    <row r="210" ht="15" customHeight="1" s="24">
      <c r="A210" s="27" t="n">
        <v>315059</v>
      </c>
      <c r="B210" s="27" t="inlineStr">
        <is>
          <t>PGO10315059</t>
        </is>
      </c>
      <c r="C210" s="27" t="n">
        <v>7</v>
      </c>
      <c r="D210" s="27" t="n">
        <v>1434</v>
      </c>
      <c r="E210" s="27" t="n">
        <v>453</v>
      </c>
      <c r="F210" s="41" t="n">
        <v>45445.99344571759</v>
      </c>
      <c r="G210" s="41" t="n">
        <v>45446.26432859954</v>
      </c>
      <c r="H210" s="41" t="n">
        <v>45447.26124725695</v>
      </c>
      <c r="I210" s="41" t="n">
        <v>45447.31415324074</v>
      </c>
      <c r="J210" s="41" t="n">
        <v>45449.10989916667</v>
      </c>
      <c r="K210" s="27" t="inlineStr">
        <is>
          <t>Collected</t>
        </is>
      </c>
      <c r="L210" s="27" t="inlineStr">
        <is>
          <t>Standard</t>
        </is>
      </c>
      <c r="M210" s="27" t="inlineStr">
        <is>
          <t>Western Cape</t>
        </is>
      </c>
      <c r="N210" s="27" t="n">
        <v>70.7</v>
      </c>
      <c r="O210" s="27" t="n">
        <v>2.24</v>
      </c>
      <c r="P210" s="27" t="n">
        <v>47.06</v>
      </c>
      <c r="Q210" s="42">
        <f>IF(H210="","",(H210-F210)*24)</f>
        <v/>
      </c>
      <c r="R210" s="42">
        <f>IF(J210="","",(J210-H210)*24)</f>
        <v/>
      </c>
    </row>
    <row r="211" ht="15" customHeight="1" s="24">
      <c r="A211" s="27" t="n">
        <v>311595</v>
      </c>
      <c r="B211" s="27" t="inlineStr">
        <is>
          <t>PGO10311595</t>
        </is>
      </c>
      <c r="C211" s="27" t="n">
        <v>1</v>
      </c>
      <c r="D211" s="27" t="n">
        <v>62</v>
      </c>
      <c r="E211" s="27" t="n">
        <v>139</v>
      </c>
      <c r="F211" s="41" t="n">
        <v>45448.4808928588</v>
      </c>
      <c r="G211" s="41" t="n">
        <v>45448.77021891204</v>
      </c>
      <c r="H211" s="41" t="n">
        <v>45449.36243223379</v>
      </c>
      <c r="I211" s="41" t="n">
        <v>45449.38310662037</v>
      </c>
      <c r="J211" s="41" t="n">
        <v>45455.29501640047</v>
      </c>
      <c r="K211" s="27" t="inlineStr">
        <is>
          <t>Collected</t>
        </is>
      </c>
      <c r="L211" s="27" t="inlineStr">
        <is>
          <t>Standard</t>
        </is>
      </c>
      <c r="M211" s="27" t="inlineStr">
        <is>
          <t>Gauteng</t>
        </is>
      </c>
      <c r="N211" s="27" t="n">
        <v>151.75</v>
      </c>
      <c r="O211" s="27" t="n">
        <v>1.15</v>
      </c>
      <c r="P211" s="27" t="n">
        <v>46.47</v>
      </c>
      <c r="Q211" s="42">
        <f>IF(H211="","",(H211-F211)*24)</f>
        <v/>
      </c>
      <c r="R211" s="42">
        <f>IF(J211="","",(J211-H211)*24)</f>
        <v/>
      </c>
    </row>
    <row r="212" ht="15" customHeight="1" s="24">
      <c r="A212" s="27" t="n">
        <v>304606</v>
      </c>
      <c r="B212" s="27" t="inlineStr">
        <is>
          <t>PGO10304606</t>
        </is>
      </c>
      <c r="C212" s="27" t="n">
        <v>84</v>
      </c>
      <c r="D212" s="27" t="n">
        <v>2303</v>
      </c>
      <c r="E212" s="27" t="n">
        <v>154</v>
      </c>
      <c r="F212" s="41" t="n">
        <v>45448.58645679398</v>
      </c>
      <c r="G212" s="41" t="n">
        <v>45448.77742305556</v>
      </c>
      <c r="H212" s="41" t="n">
        <v>45449.70634342593</v>
      </c>
      <c r="I212" s="41" t="n">
        <v>45449.72028410879</v>
      </c>
      <c r="J212" s="41" t="n">
        <v>45450.96001255787</v>
      </c>
      <c r="K212" s="27" t="inlineStr">
        <is>
          <t>Collected</t>
        </is>
      </c>
      <c r="L212" s="27" t="inlineStr">
        <is>
          <t>Standard</t>
        </is>
      </c>
      <c r="M212" s="27" t="inlineStr">
        <is>
          <t>KwaZulu-Natal</t>
        </is>
      </c>
      <c r="N212" s="27" t="n">
        <v>361.27</v>
      </c>
      <c r="O212" s="27" t="n">
        <v>0.28</v>
      </c>
      <c r="P212" s="27" t="n">
        <v>49.48</v>
      </c>
      <c r="Q212" s="42">
        <f>IF(H212="","",(H212-F212)*24)</f>
        <v/>
      </c>
      <c r="R212" s="42">
        <f>IF(J212="","",(J212-H212)*24)</f>
        <v/>
      </c>
    </row>
    <row r="213" ht="15" customHeight="1" s="24">
      <c r="A213" s="27" t="n">
        <v>310747</v>
      </c>
      <c r="B213" s="27" t="inlineStr">
        <is>
          <t>PGO10310747</t>
        </is>
      </c>
      <c r="C213" s="27" t="n">
        <v>6</v>
      </c>
      <c r="D213" s="27" t="n">
        <v>3295</v>
      </c>
      <c r="E213" s="27" t="n">
        <v>93</v>
      </c>
      <c r="F213" s="41" t="n">
        <v>45450.82584990741</v>
      </c>
      <c r="G213" s="41" t="n">
        <v>45450.9710012037</v>
      </c>
      <c r="H213" s="41" t="n">
        <v>45451.325120625</v>
      </c>
      <c r="I213" s="41" t="n">
        <v>45451.33917265046</v>
      </c>
      <c r="J213" s="41" t="n">
        <v>45452.9259497338</v>
      </c>
      <c r="K213" s="27" t="inlineStr">
        <is>
          <t>Collected</t>
        </is>
      </c>
      <c r="L213" s="27" t="inlineStr">
        <is>
          <t>Standard</t>
        </is>
      </c>
      <c r="M213" s="27" t="inlineStr">
        <is>
          <t>Gauteng</t>
        </is>
      </c>
      <c r="N213" s="27" t="n">
        <v>34.92</v>
      </c>
      <c r="O213" s="27" t="n">
        <v>0.25</v>
      </c>
      <c r="P213" s="27" t="n">
        <v>38.98</v>
      </c>
      <c r="Q213" s="42">
        <f>IF(H213="","",(H213-F213)*24)</f>
        <v/>
      </c>
      <c r="R213" s="42">
        <f>IF(J213="","",(J213-H213)*24)</f>
        <v/>
      </c>
    </row>
    <row r="214" ht="15" customHeight="1" s="24">
      <c r="A214" s="27" t="n">
        <v>313177</v>
      </c>
      <c r="B214" s="27" t="inlineStr">
        <is>
          <t>PGO10313177</t>
        </is>
      </c>
      <c r="C214" s="27" t="n">
        <v>3</v>
      </c>
      <c r="D214" s="27" t="n">
        <v>3850</v>
      </c>
      <c r="E214" s="27" t="n">
        <v>47</v>
      </c>
      <c r="F214" s="41" t="n">
        <v>45451.2397258912</v>
      </c>
      <c r="G214" s="41" t="n">
        <v>45451.28783260417</v>
      </c>
      <c r="H214" s="41" t="n">
        <v>45451.90513616898</v>
      </c>
      <c r="I214" s="41" t="n">
        <v>45451.93855508102</v>
      </c>
      <c r="J214" s="41" t="n">
        <v>45453.96845995371</v>
      </c>
      <c r="K214" s="27" t="inlineStr">
        <is>
          <t>Collected</t>
        </is>
      </c>
      <c r="L214" s="27" t="inlineStr">
        <is>
          <t>Standard</t>
        </is>
      </c>
      <c r="M214" s="27" t="inlineStr">
        <is>
          <t>Gauteng</t>
        </is>
      </c>
      <c r="N214" s="27" t="n">
        <v>115.91</v>
      </c>
      <c r="O214" s="27" t="n">
        <v>0.89</v>
      </c>
      <c r="P214" s="27" t="n">
        <v>39.83</v>
      </c>
      <c r="Q214" s="42">
        <f>IF(H214="","",(H214-F214)*24)</f>
        <v/>
      </c>
      <c r="R214" s="42">
        <f>IF(J214="","",(J214-H214)*24)</f>
        <v/>
      </c>
    </row>
    <row r="215" ht="15" customHeight="1" s="24">
      <c r="A215" s="27" t="n">
        <v>303103</v>
      </c>
      <c r="B215" s="27" t="inlineStr">
        <is>
          <t>PGO10303103</t>
        </is>
      </c>
      <c r="C215" s="27" t="n">
        <v>1</v>
      </c>
      <c r="D215" s="27" t="n">
        <v>84</v>
      </c>
      <c r="E215" s="27" t="n">
        <v>460</v>
      </c>
      <c r="F215" s="41" t="n">
        <v>45451.75495126157</v>
      </c>
      <c r="G215" s="41" t="n">
        <v>45452.01910447916</v>
      </c>
      <c r="H215" s="41" t="n">
        <v>45453.37567046296</v>
      </c>
      <c r="I215" s="41" t="n">
        <v>45453.4141790625</v>
      </c>
      <c r="J215" s="41" t="n">
        <v>45455.65407571759</v>
      </c>
      <c r="K215" s="27" t="inlineStr">
        <is>
          <t>Collected</t>
        </is>
      </c>
      <c r="L215" s="27" t="inlineStr">
        <is>
          <t>Standard</t>
        </is>
      </c>
      <c r="M215" s="27" t="inlineStr">
        <is>
          <t>KwaZulu-Natal</t>
        </is>
      </c>
      <c r="N215" s="27" t="n">
        <v>610.79</v>
      </c>
      <c r="O215" s="27" t="n">
        <v>0.39</v>
      </c>
      <c r="P215" s="27" t="n">
        <v>47.84</v>
      </c>
      <c r="Q215" s="42">
        <f>IF(H215="","",(H215-F215)*24)</f>
        <v/>
      </c>
      <c r="R215" s="42">
        <f>IF(J215="","",(J215-H215)*24)</f>
        <v/>
      </c>
    </row>
    <row r="216" ht="15" customHeight="1" s="24">
      <c r="A216" s="27" t="n">
        <v>298968</v>
      </c>
      <c r="B216" s="27" t="inlineStr">
        <is>
          <t>PGO10298968</t>
        </is>
      </c>
      <c r="C216" s="27" t="n">
        <v>2</v>
      </c>
      <c r="D216" s="27" t="n">
        <v>245</v>
      </c>
      <c r="E216" s="27" t="n">
        <v>242</v>
      </c>
      <c r="F216" s="41" t="n">
        <v>45453.26206850694</v>
      </c>
      <c r="G216" s="41" t="n">
        <v>45453.39036319444</v>
      </c>
      <c r="H216" s="41" t="n">
        <v>45453.72756313658</v>
      </c>
      <c r="I216" s="41" t="n">
        <v>45453.74934137731</v>
      </c>
      <c r="J216" s="41" t="n">
        <v>45454.97327260417</v>
      </c>
      <c r="K216" s="27" t="inlineStr">
        <is>
          <t>Collected</t>
        </is>
      </c>
      <c r="L216" s="27" t="inlineStr">
        <is>
          <t>Standard</t>
        </is>
      </c>
      <c r="M216" s="27" t="inlineStr">
        <is>
          <t>Gauteng</t>
        </is>
      </c>
      <c r="N216" s="27" t="n">
        <v>176.12</v>
      </c>
      <c r="O216" s="27" t="n">
        <v>2.69</v>
      </c>
      <c r="P216" s="27" t="n">
        <v>51.23</v>
      </c>
      <c r="Q216" s="42">
        <f>IF(H216="","",(H216-F216)*24)</f>
        <v/>
      </c>
      <c r="R216" s="42">
        <f>IF(J216="","",(J216-H216)*24)</f>
        <v/>
      </c>
    </row>
    <row r="217" ht="15" customHeight="1" s="24">
      <c r="A217" s="27" t="n">
        <v>315109</v>
      </c>
      <c r="B217" s="27" t="inlineStr">
        <is>
          <t>PGO10315109</t>
        </is>
      </c>
      <c r="C217" s="27" t="n">
        <v>1</v>
      </c>
      <c r="D217" s="27" t="n">
        <v>698</v>
      </c>
      <c r="E217" s="27" t="n">
        <v>35</v>
      </c>
      <c r="F217" s="41" t="n">
        <v>45457.58553854167</v>
      </c>
      <c r="G217" s="41" t="n">
        <v>45457.76017638889</v>
      </c>
      <c r="H217" s="41" t="n">
        <v>45458.34484086806</v>
      </c>
      <c r="I217" s="41" t="n">
        <v>45458.36840359954</v>
      </c>
      <c r="J217" s="41" t="n">
        <v>45458.82409859954</v>
      </c>
      <c r="K217" s="27" t="inlineStr">
        <is>
          <t>Collected</t>
        </is>
      </c>
      <c r="L217" s="27" t="inlineStr">
        <is>
          <t>Standard</t>
        </is>
      </c>
      <c r="M217" s="27" t="inlineStr">
        <is>
          <t>KwaZulu-Natal</t>
        </is>
      </c>
      <c r="N217" s="27" t="n">
        <v>229.85</v>
      </c>
      <c r="O217" s="27" t="n">
        <v>1.09</v>
      </c>
      <c r="P217" s="27" t="n">
        <v>47.42</v>
      </c>
      <c r="Q217" s="42">
        <f>IF(H217="","",(H217-F217)*24)</f>
        <v/>
      </c>
      <c r="R217" s="42">
        <f>IF(J217="","",(J217-H217)*24)</f>
        <v/>
      </c>
    </row>
    <row r="218" ht="15" customHeight="1" s="24">
      <c r="A218" s="27" t="n">
        <v>292140</v>
      </c>
      <c r="B218" s="27" t="inlineStr">
        <is>
          <t>PGO10292140</t>
        </is>
      </c>
      <c r="C218" s="27" t="n">
        <v>9</v>
      </c>
      <c r="D218" s="27" t="n">
        <v>1892</v>
      </c>
      <c r="E218" s="27" t="n">
        <v>261</v>
      </c>
      <c r="F218" s="41" t="n">
        <v>45459.13619096065</v>
      </c>
      <c r="G218" s="41" t="n">
        <v>45459.71216559028</v>
      </c>
      <c r="H218" s="41" t="n">
        <v>45460.48867997685</v>
      </c>
      <c r="I218" s="41" t="n">
        <v>45460.50229233797</v>
      </c>
      <c r="J218" s="41" t="n">
        <v>45460.99480570602</v>
      </c>
      <c r="K218" s="27" t="inlineStr">
        <is>
          <t>Collected</t>
        </is>
      </c>
      <c r="L218" s="27" t="inlineStr">
        <is>
          <t>Standard</t>
        </is>
      </c>
      <c r="M218" s="27" t="inlineStr">
        <is>
          <t>Limpopo</t>
        </is>
      </c>
      <c r="N218" s="27" t="n">
        <v>82.23999999999999</v>
      </c>
      <c r="O218" s="27" t="n">
        <v>1.17</v>
      </c>
      <c r="P218" s="27" t="n">
        <v>55.6</v>
      </c>
      <c r="Q218" s="42">
        <f>IF(H218="","",(H218-F218)*24)</f>
        <v/>
      </c>
      <c r="R218" s="42">
        <f>IF(J218="","",(J218-H218)*24)</f>
        <v/>
      </c>
    </row>
    <row r="219" ht="15" customHeight="1" s="24">
      <c r="A219" s="27" t="n">
        <v>292116</v>
      </c>
      <c r="B219" s="27" t="inlineStr">
        <is>
          <t>PGO10292116</t>
        </is>
      </c>
      <c r="C219" s="27" t="n">
        <v>7</v>
      </c>
      <c r="D219" s="27" t="n">
        <v>3075</v>
      </c>
      <c r="E219" s="27" t="n">
        <v>470</v>
      </c>
      <c r="F219" s="41" t="n">
        <v>45461.56823204861</v>
      </c>
      <c r="G219" s="41" t="n">
        <v>45461.79965310185</v>
      </c>
      <c r="H219" s="41" t="n">
        <v>45463.44986760417</v>
      </c>
      <c r="I219" s="41" t="n">
        <v>45463.48711243056</v>
      </c>
      <c r="J219" s="41" t="n">
        <v>45464.53806001157</v>
      </c>
      <c r="K219" s="27" t="inlineStr">
        <is>
          <t>Collected</t>
        </is>
      </c>
      <c r="L219" s="27" t="inlineStr">
        <is>
          <t>Standard</t>
        </is>
      </c>
      <c r="M219" s="27" t="inlineStr">
        <is>
          <t>Mpumalanga</t>
        </is>
      </c>
      <c r="N219" s="27" t="n">
        <v>1187.05</v>
      </c>
      <c r="O219" s="27" t="n">
        <v>0.33</v>
      </c>
      <c r="P219" s="27" t="n">
        <v>48.23</v>
      </c>
      <c r="Q219" s="42">
        <f>IF(H219="","",(H219-F219)*24)</f>
        <v/>
      </c>
      <c r="R219" s="42">
        <f>IF(J219="","",(J219-H219)*24)</f>
        <v/>
      </c>
    </row>
    <row r="220" ht="15" customHeight="1" s="24">
      <c r="A220" s="27" t="n">
        <v>290899</v>
      </c>
      <c r="B220" s="27" t="inlineStr">
        <is>
          <t>PGO10290899</t>
        </is>
      </c>
      <c r="C220" s="27" t="n">
        <v>4</v>
      </c>
      <c r="D220" s="27" t="n">
        <v>2281</v>
      </c>
      <c r="E220" s="27" t="n">
        <v>412</v>
      </c>
      <c r="F220" s="41" t="n">
        <v>45462.62237660879</v>
      </c>
      <c r="G220" s="41" t="n">
        <v>45462.87619180555</v>
      </c>
      <c r="H220" s="41" t="n">
        <v>45463.77604988426</v>
      </c>
      <c r="I220" s="41" t="n">
        <v>45463.79834594907</v>
      </c>
      <c r="J220" s="41" t="n">
        <v>45466.22412402778</v>
      </c>
      <c r="K220" s="27" t="inlineStr">
        <is>
          <t>Collected</t>
        </is>
      </c>
      <c r="L220" s="27" t="inlineStr">
        <is>
          <t>Standard</t>
        </is>
      </c>
      <c r="M220" s="27" t="inlineStr">
        <is>
          <t>KwaZulu-Natal</t>
        </is>
      </c>
      <c r="N220" s="27" t="n">
        <v>149.24</v>
      </c>
      <c r="O220" s="27" t="n">
        <v>0.73</v>
      </c>
      <c r="P220" s="27" t="n">
        <v>43.55</v>
      </c>
      <c r="Q220" s="42">
        <f>IF(H220="","",(H220-F220)*24)</f>
        <v/>
      </c>
      <c r="R220" s="42">
        <f>IF(J220="","",(J220-H220)*24)</f>
        <v/>
      </c>
    </row>
    <row r="221" ht="15" customHeight="1" s="24">
      <c r="A221" s="27" t="n">
        <v>297811</v>
      </c>
      <c r="B221" s="27" t="inlineStr">
        <is>
          <t>PGO10297811</t>
        </is>
      </c>
      <c r="C221" s="27" t="n">
        <v>37</v>
      </c>
      <c r="D221" s="27" t="n">
        <v>3593</v>
      </c>
      <c r="E221" s="27" t="n">
        <v>454</v>
      </c>
      <c r="F221" s="41" t="n">
        <v>45462.92821465278</v>
      </c>
      <c r="G221" s="41" t="n">
        <v>45463.08112877315</v>
      </c>
      <c r="H221" s="41" t="n">
        <v>45463.48454171296</v>
      </c>
      <c r="I221" s="41" t="n">
        <v>45463.53084714121</v>
      </c>
      <c r="J221" s="41" t="n">
        <v>45465.73166133102</v>
      </c>
      <c r="K221" s="27" t="inlineStr">
        <is>
          <t>Collected</t>
        </is>
      </c>
      <c r="L221" s="27" t="inlineStr">
        <is>
          <t>Standard</t>
        </is>
      </c>
      <c r="M221" s="27" t="inlineStr">
        <is>
          <t>Gauteng</t>
        </is>
      </c>
      <c r="N221" s="27" t="n">
        <v>1467.17</v>
      </c>
      <c r="O221" s="27" t="n">
        <v>3.82</v>
      </c>
      <c r="P221" s="27" t="n">
        <v>62.42</v>
      </c>
      <c r="Q221" s="42">
        <f>IF(H221="","",(H221-F221)*24)</f>
        <v/>
      </c>
      <c r="R221" s="42">
        <f>IF(J221="","",(J221-H221)*24)</f>
        <v/>
      </c>
    </row>
    <row r="222" ht="15" customHeight="1" s="24">
      <c r="A222" s="27" t="n">
        <v>294983</v>
      </c>
      <c r="B222" s="27" t="inlineStr">
        <is>
          <t>PGO10294983</t>
        </is>
      </c>
      <c r="C222" s="27" t="n">
        <v>112</v>
      </c>
      <c r="D222" s="27" t="n">
        <v>1363</v>
      </c>
      <c r="E222" s="27" t="n">
        <v>470</v>
      </c>
      <c r="F222" s="41" t="n">
        <v>45463.8038033449</v>
      </c>
      <c r="G222" s="41" t="n">
        <v>45463.86724427083</v>
      </c>
      <c r="H222" s="41" t="n">
        <v>45464.6365552662</v>
      </c>
      <c r="I222" s="41" t="n">
        <v>45464.67817471065</v>
      </c>
      <c r="J222" s="41" t="n">
        <v>45466.67267131944</v>
      </c>
      <c r="K222" s="27" t="inlineStr">
        <is>
          <t>Collected</t>
        </is>
      </c>
      <c r="L222" s="27" t="inlineStr">
        <is>
          <t>Standard</t>
        </is>
      </c>
      <c r="M222" s="27" t="inlineStr">
        <is>
          <t>Mpumalanga</t>
        </is>
      </c>
      <c r="N222" s="27" t="n">
        <v>103.85</v>
      </c>
      <c r="O222" s="27" t="n">
        <v>5.58</v>
      </c>
      <c r="P222" s="27" t="n">
        <v>73.76000000000001</v>
      </c>
      <c r="Q222" s="42">
        <f>IF(H222="","",(H222-F222)*24)</f>
        <v/>
      </c>
      <c r="R222" s="42">
        <f>IF(J222="","",(J222-H222)*24)</f>
        <v/>
      </c>
    </row>
    <row r="223" ht="15" customHeight="1" s="24">
      <c r="A223" s="27" t="n">
        <v>295311</v>
      </c>
      <c r="B223" s="27" t="inlineStr">
        <is>
          <t>PGO10295311</t>
        </is>
      </c>
      <c r="C223" s="27" t="n">
        <v>8</v>
      </c>
      <c r="D223" s="27" t="n">
        <v>3751</v>
      </c>
      <c r="E223" s="27" t="n">
        <v>23</v>
      </c>
      <c r="F223" s="41" t="n">
        <v>45465.08072542824</v>
      </c>
      <c r="G223" s="41" t="n">
        <v>45465.19690327546</v>
      </c>
      <c r="H223" s="41" t="n">
        <v>45466.0525928125</v>
      </c>
      <c r="I223" s="41" t="n">
        <v>45466.0792783912</v>
      </c>
      <c r="J223" s="41" t="n">
        <v>45469.07942837963</v>
      </c>
      <c r="K223" s="27" t="inlineStr">
        <is>
          <t>Collected</t>
        </is>
      </c>
      <c r="L223" s="27" t="inlineStr">
        <is>
          <t>Standard</t>
        </is>
      </c>
      <c r="M223" s="27" t="inlineStr">
        <is>
          <t>Gauteng</t>
        </is>
      </c>
      <c r="N223" s="27" t="n">
        <v>2412.89</v>
      </c>
      <c r="O223" s="27" t="n">
        <v>1.65</v>
      </c>
      <c r="P223" s="27" t="n">
        <v>55.11</v>
      </c>
      <c r="Q223" s="42">
        <f>IF(H223="","",(H223-F223)*24)</f>
        <v/>
      </c>
      <c r="R223" s="42">
        <f>IF(J223="","",(J223-H223)*24)</f>
        <v/>
      </c>
    </row>
    <row r="224" ht="15" customHeight="1" s="24">
      <c r="A224" s="27" t="n">
        <v>307127</v>
      </c>
      <c r="B224" s="27" t="inlineStr">
        <is>
          <t>PGO10307127</t>
        </is>
      </c>
      <c r="C224" s="27" t="n">
        <v>1</v>
      </c>
      <c r="D224" s="27" t="n">
        <v>1088</v>
      </c>
      <c r="E224" s="27" t="n">
        <v>280</v>
      </c>
      <c r="F224" s="41" t="n">
        <v>45468.57648265046</v>
      </c>
      <c r="G224" s="41" t="n">
        <v>45468.75157989583</v>
      </c>
      <c r="H224" s="41" t="n">
        <v>45469.3007171875</v>
      </c>
      <c r="I224" s="41" t="n">
        <v>45469.30729142361</v>
      </c>
      <c r="J224" s="41" t="n">
        <v>45469.6402762963</v>
      </c>
      <c r="K224" s="27" t="inlineStr">
        <is>
          <t>Collected</t>
        </is>
      </c>
      <c r="L224" s="27" t="inlineStr">
        <is>
          <t>Standard</t>
        </is>
      </c>
      <c r="M224" s="27" t="inlineStr">
        <is>
          <t>Gauteng</t>
        </is>
      </c>
      <c r="N224" s="27" t="n">
        <v>174.63</v>
      </c>
      <c r="O224" s="27" t="n">
        <v>1.47</v>
      </c>
      <c r="P224" s="27" t="n">
        <v>44.53</v>
      </c>
      <c r="Q224" s="42">
        <f>IF(H224="","",(H224-F224)*24)</f>
        <v/>
      </c>
      <c r="R224" s="42">
        <f>IF(J224="","",(J224-H224)*24)</f>
        <v/>
      </c>
    </row>
    <row r="225" ht="15" customHeight="1" s="24">
      <c r="A225" s="27" t="n">
        <v>299016</v>
      </c>
      <c r="B225" s="27" t="inlineStr">
        <is>
          <t>PGO10299016</t>
        </is>
      </c>
      <c r="C225" s="27" t="n">
        <v>13</v>
      </c>
      <c r="D225" s="27" t="n">
        <v>1861</v>
      </c>
      <c r="E225" s="27" t="n">
        <v>289</v>
      </c>
      <c r="F225" s="41" t="n">
        <v>45469.30385769676</v>
      </c>
      <c r="G225" s="41" t="n">
        <v>45469.60317943287</v>
      </c>
      <c r="H225" s="41" t="n">
        <v>45470.46690846065</v>
      </c>
      <c r="I225" s="41" t="n">
        <v>45470.48115211805</v>
      </c>
      <c r="J225" s="41" t="n">
        <v>45472.20734864583</v>
      </c>
      <c r="K225" s="27" t="inlineStr">
        <is>
          <t>Collected</t>
        </is>
      </c>
      <c r="L225" s="27" t="inlineStr">
        <is>
          <t>Express</t>
        </is>
      </c>
      <c r="M225" s="27" t="inlineStr">
        <is>
          <t>North West</t>
        </is>
      </c>
      <c r="N225" s="27" t="n">
        <v>1147.3</v>
      </c>
      <c r="O225" s="27" t="n">
        <v>1</v>
      </c>
      <c r="P225" s="27" t="n">
        <v>65.79000000000001</v>
      </c>
      <c r="Q225" s="42">
        <f>IF(H225="","",(H225-F225)*24)</f>
        <v/>
      </c>
      <c r="R225" s="42">
        <f>IF(J225="","",(J225-H225)*24)</f>
        <v/>
      </c>
    </row>
    <row r="226" ht="15" customHeight="1" s="24">
      <c r="A226" s="27" t="n">
        <v>306987</v>
      </c>
      <c r="B226" s="27" t="inlineStr">
        <is>
          <t>PGO10306987</t>
        </is>
      </c>
      <c r="C226" s="27" t="n">
        <v>8</v>
      </c>
      <c r="D226" s="27" t="n">
        <v>2474</v>
      </c>
      <c r="E226" s="27" t="n">
        <v>139</v>
      </c>
      <c r="F226" s="41" t="n">
        <v>45469.70663420139</v>
      </c>
      <c r="G226" s="41" t="n">
        <v>45469.98680314815</v>
      </c>
      <c r="H226" s="41" t="n">
        <v>45470.30766034722</v>
      </c>
      <c r="I226" s="41" t="n">
        <v>45470.35185659722</v>
      </c>
      <c r="J226" s="41" t="n">
        <v>45471.51971518518</v>
      </c>
      <c r="K226" s="27" t="inlineStr">
        <is>
          <t>Collected</t>
        </is>
      </c>
      <c r="L226" s="27" t="inlineStr">
        <is>
          <t>Standard</t>
        </is>
      </c>
      <c r="M226" s="27" t="inlineStr">
        <is>
          <t>Gauteng</t>
        </is>
      </c>
      <c r="N226" s="27" t="n">
        <v>87.44</v>
      </c>
      <c r="O226" s="27" t="n">
        <v>1.55</v>
      </c>
      <c r="P226" s="27" t="n">
        <v>57.11</v>
      </c>
      <c r="Q226" s="42">
        <f>IF(H226="","",(H226-F226)*24)</f>
        <v/>
      </c>
      <c r="R226" s="42">
        <f>IF(J226="","",(J226-H226)*24)</f>
        <v/>
      </c>
    </row>
    <row r="227" ht="15" customHeight="1" s="24">
      <c r="A227" s="27" t="n">
        <v>312473</v>
      </c>
      <c r="B227" s="27" t="inlineStr">
        <is>
          <t>PGO10312473</t>
        </is>
      </c>
      <c r="C227" s="27" t="n">
        <v>5</v>
      </c>
      <c r="D227" s="27" t="n">
        <v>3787</v>
      </c>
      <c r="E227" s="27" t="n">
        <v>240</v>
      </c>
      <c r="F227" s="41" t="n">
        <v>45472.91549712963</v>
      </c>
      <c r="G227" s="41" t="n">
        <v>45473.12345629629</v>
      </c>
      <c r="H227" s="41" t="n">
        <v>45474.86533436343</v>
      </c>
      <c r="I227" s="41" t="n">
        <v>45474.918973125</v>
      </c>
      <c r="J227" s="41" t="n">
        <v>45476.18401128472</v>
      </c>
      <c r="K227" s="27" t="inlineStr">
        <is>
          <t>Collected</t>
        </is>
      </c>
      <c r="L227" s="27" t="inlineStr">
        <is>
          <t>Standard</t>
        </is>
      </c>
      <c r="M227" s="27" t="inlineStr">
        <is>
          <t>Mpumalanga</t>
        </is>
      </c>
      <c r="N227" s="27" t="n">
        <v>136.52</v>
      </c>
      <c r="O227" s="27" t="n">
        <v>2.88</v>
      </c>
      <c r="P227" s="27" t="n">
        <v>57.36</v>
      </c>
      <c r="Q227" s="42">
        <f>IF(H227="","",(H227-F227)*24)</f>
        <v/>
      </c>
      <c r="R227" s="42">
        <f>IF(J227="","",(J227-H227)*24)</f>
        <v/>
      </c>
    </row>
    <row r="228" ht="15" customHeight="1" s="24">
      <c r="A228" s="27" t="n">
        <v>335032</v>
      </c>
      <c r="B228" s="27" t="inlineStr">
        <is>
          <t>PGO10335032</t>
        </is>
      </c>
      <c r="C228" s="27" t="n">
        <v>27</v>
      </c>
      <c r="D228" s="27" t="n">
        <v>1349</v>
      </c>
      <c r="E228" s="27" t="n">
        <v>328</v>
      </c>
      <c r="F228" s="41" t="n">
        <v>45476.36964895833</v>
      </c>
      <c r="G228" s="41" t="n">
        <v>45476.51001269676</v>
      </c>
      <c r="H228" s="41" t="n">
        <v>45477.63340864583</v>
      </c>
      <c r="I228" s="41" t="n">
        <v>45477.64599726852</v>
      </c>
      <c r="J228" s="41" t="n">
        <v>45479.32915893519</v>
      </c>
      <c r="K228" s="27" t="inlineStr">
        <is>
          <t>Collected</t>
        </is>
      </c>
      <c r="L228" s="27" t="inlineStr">
        <is>
          <t>Standard</t>
        </is>
      </c>
      <c r="M228" s="27" t="inlineStr">
        <is>
          <t>Gauteng</t>
        </is>
      </c>
      <c r="N228" s="27" t="n">
        <v>375.05</v>
      </c>
      <c r="O228" s="27" t="n">
        <v>1.17</v>
      </c>
      <c r="P228" s="27" t="n">
        <v>56.94</v>
      </c>
      <c r="Q228" s="42">
        <f>IF(H228="","",(H228-F228)*24)</f>
        <v/>
      </c>
      <c r="R228" s="42">
        <f>IF(J228="","",(J228-H228)*24)</f>
        <v/>
      </c>
    </row>
    <row r="229" ht="15" customHeight="1" s="24">
      <c r="A229" s="27" t="n">
        <v>332298</v>
      </c>
      <c r="B229" s="27" t="inlineStr">
        <is>
          <t>PGO10332298</t>
        </is>
      </c>
      <c r="C229" s="27" t="n">
        <v>2</v>
      </c>
      <c r="D229" s="27" t="n">
        <v>2136</v>
      </c>
      <c r="E229" s="27" t="n">
        <v>162</v>
      </c>
      <c r="F229" s="41" t="n">
        <v>45477.52606416667</v>
      </c>
      <c r="G229" s="41" t="n">
        <v>45478.09985015047</v>
      </c>
      <c r="H229" s="41" t="n">
        <v>45478.74735228009</v>
      </c>
      <c r="I229" s="41" t="n">
        <v>45478.78413856481</v>
      </c>
      <c r="J229" s="41" t="n">
        <v>45479.14995429398</v>
      </c>
      <c r="K229" s="27" t="inlineStr">
        <is>
          <t>Collected</t>
        </is>
      </c>
      <c r="L229" s="27" t="inlineStr">
        <is>
          <t>Standard</t>
        </is>
      </c>
      <c r="M229" s="27" t="inlineStr">
        <is>
          <t>Limpopo</t>
        </is>
      </c>
      <c r="N229" s="27" t="n">
        <v>200.43</v>
      </c>
      <c r="O229" s="27" t="n">
        <v>0.41</v>
      </c>
      <c r="P229" s="27" t="n">
        <v>52.17</v>
      </c>
      <c r="Q229" s="42">
        <f>IF(H229="","",(H229-F229)*24)</f>
        <v/>
      </c>
      <c r="R229" s="42">
        <f>IF(J229="","",(J229-H229)*24)</f>
        <v/>
      </c>
    </row>
    <row r="230" ht="15" customHeight="1" s="24">
      <c r="A230" s="27" t="n">
        <v>343232</v>
      </c>
      <c r="B230" s="27" t="inlineStr">
        <is>
          <t>PGO10343232</t>
        </is>
      </c>
      <c r="C230" s="27" t="n">
        <v>4</v>
      </c>
      <c r="D230" s="27" t="n">
        <v>2710</v>
      </c>
      <c r="E230" s="27" t="n">
        <v>233</v>
      </c>
      <c r="F230" s="41" t="n">
        <v>45478.95609697916</v>
      </c>
      <c r="G230" s="41" t="n">
        <v>45479.24524010417</v>
      </c>
      <c r="H230" s="41" t="n">
        <v>45479.80618486111</v>
      </c>
      <c r="I230" s="41" t="n">
        <v>45479.83054690972</v>
      </c>
      <c r="J230" s="41" t="n">
        <v>45481.88469503472</v>
      </c>
      <c r="K230" s="27" t="inlineStr">
        <is>
          <t>Collected</t>
        </is>
      </c>
      <c r="L230" s="27" t="inlineStr">
        <is>
          <t>Standard</t>
        </is>
      </c>
      <c r="M230" s="27" t="inlineStr">
        <is>
          <t>Gauteng</t>
        </is>
      </c>
      <c r="N230" s="27" t="n">
        <v>91.93000000000001</v>
      </c>
      <c r="O230" s="27" t="n">
        <v>1.69</v>
      </c>
      <c r="P230" s="27" t="n">
        <v>44.09</v>
      </c>
      <c r="Q230" s="42">
        <f>IF(H230="","",(H230-F230)*24)</f>
        <v/>
      </c>
      <c r="R230" s="42">
        <f>IF(J230="","",(J230-H230)*24)</f>
        <v/>
      </c>
    </row>
    <row r="231" ht="15" customHeight="1" s="24">
      <c r="A231" s="27" t="n">
        <v>337993</v>
      </c>
      <c r="B231" s="27" t="inlineStr">
        <is>
          <t>PGO10337993</t>
        </is>
      </c>
      <c r="C231" s="27" t="n">
        <v>35</v>
      </c>
      <c r="D231" s="27" t="n">
        <v>2625</v>
      </c>
      <c r="E231" s="27" t="n">
        <v>350</v>
      </c>
      <c r="F231" s="41" t="n">
        <v>45481.97281337963</v>
      </c>
      <c r="G231" s="41" t="n">
        <v>45482.50209792824</v>
      </c>
      <c r="H231" s="41" t="n">
        <v>45483.25063570602</v>
      </c>
      <c r="I231" s="41" t="n">
        <v>45483.31232803241</v>
      </c>
      <c r="J231" s="41" t="n">
        <v>45484.69251024305</v>
      </c>
      <c r="K231" s="27" t="inlineStr">
        <is>
          <t>Collected</t>
        </is>
      </c>
      <c r="L231" s="27" t="inlineStr">
        <is>
          <t>Return-to-Retailer</t>
        </is>
      </c>
      <c r="M231" s="27" t="inlineStr">
        <is>
          <t>Gauteng</t>
        </is>
      </c>
      <c r="N231" s="27" t="n">
        <v>147.35</v>
      </c>
      <c r="O231" s="27" t="n">
        <v>3.43</v>
      </c>
      <c r="P231" s="27" t="n">
        <v>38.74</v>
      </c>
      <c r="Q231" s="42">
        <f>IF(H231="","",(H231-F231)*24)</f>
        <v/>
      </c>
      <c r="R231" s="42">
        <f>IF(J231="","",(J231-H231)*24)</f>
        <v/>
      </c>
    </row>
    <row r="232" ht="15" customHeight="1" s="24">
      <c r="A232" s="27" t="n">
        <v>344938</v>
      </c>
      <c r="B232" s="27" t="inlineStr">
        <is>
          <t>PGO10344938</t>
        </is>
      </c>
      <c r="C232" s="27" t="n">
        <v>1</v>
      </c>
      <c r="D232" s="27" t="n">
        <v>2893</v>
      </c>
      <c r="E232" s="27" t="n">
        <v>497</v>
      </c>
      <c r="F232" s="41" t="n">
        <v>45482.3418621875</v>
      </c>
      <c r="G232" s="41" t="n">
        <v>45482.6304565625</v>
      </c>
      <c r="H232" s="41" t="n">
        <v>45483.78528262732</v>
      </c>
      <c r="I232" s="41" t="n">
        <v>45483.78812376157</v>
      </c>
      <c r="J232" s="41" t="n">
        <v>45484.81006420139</v>
      </c>
      <c r="K232" s="27" t="inlineStr">
        <is>
          <t>Collected</t>
        </is>
      </c>
      <c r="L232" s="27" t="inlineStr">
        <is>
          <t>Standard</t>
        </is>
      </c>
      <c r="M232" s="27" t="inlineStr">
        <is>
          <t>Western Cape</t>
        </is>
      </c>
      <c r="N232" s="27" t="n">
        <v>1055.15</v>
      </c>
      <c r="O232" s="27" t="n">
        <v>6.75</v>
      </c>
      <c r="P232" s="27" t="n">
        <v>65.62</v>
      </c>
      <c r="Q232" s="42">
        <f>IF(H232="","",(H232-F232)*24)</f>
        <v/>
      </c>
      <c r="R232" s="42">
        <f>IF(J232="","",(J232-H232)*24)</f>
        <v/>
      </c>
    </row>
    <row r="233" ht="15" customHeight="1" s="24">
      <c r="A233" s="27" t="n">
        <v>345725</v>
      </c>
      <c r="B233" s="27" t="inlineStr">
        <is>
          <t>PGO10345725</t>
        </is>
      </c>
      <c r="C233" s="27" t="n">
        <v>52</v>
      </c>
      <c r="D233" s="27" t="n">
        <v>1643</v>
      </c>
      <c r="E233" s="27" t="n">
        <v>167</v>
      </c>
      <c r="F233" s="41" t="n">
        <v>45482.97894804398</v>
      </c>
      <c r="G233" s="41" t="n">
        <v>45483.08824247685</v>
      </c>
      <c r="H233" s="41" t="n">
        <v>45483.68316666667</v>
      </c>
      <c r="I233" s="41" t="n">
        <v>45483.74337216435</v>
      </c>
      <c r="J233" s="41" t="n">
        <v>45484.4583225463</v>
      </c>
      <c r="K233" s="27" t="inlineStr">
        <is>
          <t>Collected</t>
        </is>
      </c>
      <c r="L233" s="27" t="inlineStr">
        <is>
          <t>Standard</t>
        </is>
      </c>
      <c r="M233" s="27" t="inlineStr">
        <is>
          <t>Western Cape</t>
        </is>
      </c>
      <c r="N233" s="27" t="n">
        <v>706.48</v>
      </c>
      <c r="O233" s="27" t="n">
        <v>2.98</v>
      </c>
      <c r="P233" s="27" t="n">
        <v>48.69</v>
      </c>
      <c r="Q233" s="42">
        <f>IF(H233="","",(H233-F233)*24)</f>
        <v/>
      </c>
      <c r="R233" s="42">
        <f>IF(J233="","",(J233-H233)*24)</f>
        <v/>
      </c>
    </row>
    <row r="234" ht="15" customHeight="1" s="24">
      <c r="A234" s="27" t="n">
        <v>322215</v>
      </c>
      <c r="B234" s="27" t="inlineStr">
        <is>
          <t>PGO10322215</t>
        </is>
      </c>
      <c r="C234" s="27" t="n">
        <v>106</v>
      </c>
      <c r="D234" s="27" t="n">
        <v>3651</v>
      </c>
      <c r="E234" s="27" t="n">
        <v>409</v>
      </c>
      <c r="F234" s="41" t="n">
        <v>45487.99701770833</v>
      </c>
      <c r="G234" s="41" t="n">
        <v>45488.06879971065</v>
      </c>
      <c r="H234" s="41" t="n">
        <v>45488.95176712963</v>
      </c>
      <c r="I234" s="41" t="n">
        <v>45488.96565326389</v>
      </c>
      <c r="J234" s="41" t="n">
        <v>45491.49746913194</v>
      </c>
      <c r="K234" s="27" t="inlineStr">
        <is>
          <t>Collected</t>
        </is>
      </c>
      <c r="L234" s="27" t="inlineStr">
        <is>
          <t>Standard</t>
        </is>
      </c>
      <c r="M234" s="27" t="inlineStr">
        <is>
          <t>Gauteng</t>
        </is>
      </c>
      <c r="N234" s="27" t="n">
        <v>79.3</v>
      </c>
      <c r="O234" s="27" t="n">
        <v>1.3</v>
      </c>
      <c r="P234" s="27" t="n">
        <v>68.59</v>
      </c>
      <c r="Q234" s="42">
        <f>IF(H234="","",(H234-F234)*24)</f>
        <v/>
      </c>
      <c r="R234" s="42">
        <f>IF(J234="","",(J234-H234)*24)</f>
        <v/>
      </c>
    </row>
    <row r="235" ht="15" customHeight="1" s="24">
      <c r="A235" s="27" t="n">
        <v>325292</v>
      </c>
      <c r="B235" s="27" t="inlineStr">
        <is>
          <t>PGO10325292</t>
        </is>
      </c>
      <c r="C235" s="27" t="n">
        <v>23</v>
      </c>
      <c r="D235" s="27" t="n">
        <v>3298</v>
      </c>
      <c r="E235" s="27" t="n">
        <v>433</v>
      </c>
      <c r="F235" s="41" t="n">
        <v>45488.97654826389</v>
      </c>
      <c r="G235" s="41" t="n">
        <v>45489.1978684838</v>
      </c>
      <c r="H235" s="41" t="n">
        <v>45489.81859922453</v>
      </c>
      <c r="I235" s="41" t="n">
        <v>45489.82082855324</v>
      </c>
      <c r="J235" s="41" t="n">
        <v>45490.64142653935</v>
      </c>
      <c r="K235" s="27" t="inlineStr">
        <is>
          <t>Collected</t>
        </is>
      </c>
      <c r="L235" s="27" t="inlineStr">
        <is>
          <t>Express</t>
        </is>
      </c>
      <c r="M235" s="27" t="inlineStr">
        <is>
          <t>Gauteng</t>
        </is>
      </c>
      <c r="N235" s="27" t="n">
        <v>310.74</v>
      </c>
      <c r="O235" s="27" t="n">
        <v>1.82</v>
      </c>
      <c r="P235" s="27" t="n">
        <v>50.19</v>
      </c>
      <c r="Q235" s="42">
        <f>IF(H235="","",(H235-F235)*24)</f>
        <v/>
      </c>
      <c r="R235" s="42">
        <f>IF(J235="","",(J235-H235)*24)</f>
        <v/>
      </c>
    </row>
    <row r="236" ht="15" customHeight="1" s="24">
      <c r="A236" s="27" t="n">
        <v>332392</v>
      </c>
      <c r="B236" s="27" t="inlineStr">
        <is>
          <t>PGO10332392</t>
        </is>
      </c>
      <c r="C236" s="27" t="n">
        <v>1</v>
      </c>
      <c r="D236" s="27" t="n">
        <v>1767</v>
      </c>
      <c r="E236" s="27" t="n">
        <v>434</v>
      </c>
      <c r="F236" s="41" t="n">
        <v>45490.6585424537</v>
      </c>
      <c r="G236" s="41" t="n">
        <v>45490.91865482639</v>
      </c>
      <c r="H236" s="41" t="n">
        <v>45491.99359482639</v>
      </c>
      <c r="I236" s="41" t="n">
        <v>45492.01986503472</v>
      </c>
      <c r="J236" s="41" t="n">
        <v>45496.85391861111</v>
      </c>
      <c r="K236" s="27" t="inlineStr">
        <is>
          <t>Collected</t>
        </is>
      </c>
      <c r="L236" s="27" t="inlineStr">
        <is>
          <t>Standard</t>
        </is>
      </c>
      <c r="M236" s="27" t="inlineStr">
        <is>
          <t>Mpumalanga</t>
        </is>
      </c>
      <c r="N236" s="27" t="n">
        <v>57.7</v>
      </c>
      <c r="O236" s="27" t="n">
        <v>0.17</v>
      </c>
      <c r="P236" s="27" t="n">
        <v>46</v>
      </c>
      <c r="Q236" s="42">
        <f>IF(H236="","",(H236-F236)*24)</f>
        <v/>
      </c>
      <c r="R236" s="42">
        <f>IF(J236="","",(J236-H236)*24)</f>
        <v/>
      </c>
    </row>
    <row r="237" ht="15" customHeight="1" s="24">
      <c r="A237" s="27" t="n">
        <v>333456</v>
      </c>
      <c r="B237" s="27" t="inlineStr">
        <is>
          <t>PGO10333456</t>
        </is>
      </c>
      <c r="C237" s="27" t="n">
        <v>7</v>
      </c>
      <c r="D237" s="27" t="n">
        <v>1330</v>
      </c>
      <c r="E237" s="27" t="n">
        <v>23</v>
      </c>
      <c r="F237" s="41" t="n">
        <v>45494.63858741898</v>
      </c>
      <c r="G237" s="41" t="n">
        <v>45494.72176333333</v>
      </c>
      <c r="H237" s="41" t="n">
        <v>45494.93875046296</v>
      </c>
      <c r="I237" s="41" t="n">
        <v>45494.94919704861</v>
      </c>
      <c r="J237" s="41" t="n">
        <v>45496.49267716435</v>
      </c>
      <c r="K237" s="27" t="inlineStr">
        <is>
          <t>Collected</t>
        </is>
      </c>
      <c r="L237" s="27" t="inlineStr">
        <is>
          <t>Standard</t>
        </is>
      </c>
      <c r="M237" s="27" t="inlineStr">
        <is>
          <t>Gauteng</t>
        </is>
      </c>
      <c r="N237" s="27" t="n">
        <v>254.89</v>
      </c>
      <c r="O237" s="27" t="n">
        <v>1.37</v>
      </c>
      <c r="P237" s="27" t="n">
        <v>49.64</v>
      </c>
      <c r="Q237" s="42">
        <f>IF(H237="","",(H237-F237)*24)</f>
        <v/>
      </c>
      <c r="R237" s="42">
        <f>IF(J237="","",(J237-H237)*24)</f>
        <v/>
      </c>
    </row>
    <row r="238" ht="15" customHeight="1" s="24">
      <c r="A238" s="27" t="n">
        <v>337890</v>
      </c>
      <c r="B238" s="27" t="inlineStr">
        <is>
          <t>PGO10337890</t>
        </is>
      </c>
      <c r="C238" s="27" t="n">
        <v>47</v>
      </c>
      <c r="D238" s="27" t="n">
        <v>168</v>
      </c>
      <c r="E238" s="27" t="n">
        <v>384</v>
      </c>
      <c r="F238" s="41" t="n">
        <v>45496.0091141088</v>
      </c>
      <c r="G238" s="41" t="n">
        <v>45496.27863094908</v>
      </c>
      <c r="H238" s="41" t="n">
        <v>45497.21319809028</v>
      </c>
      <c r="I238" s="41" t="n">
        <v>45497.26941393519</v>
      </c>
      <c r="J238" s="41" t="n">
        <v>45498.53412259259</v>
      </c>
      <c r="K238" s="27" t="inlineStr">
        <is>
          <t>Collected</t>
        </is>
      </c>
      <c r="L238" s="27" t="inlineStr">
        <is>
          <t>Express</t>
        </is>
      </c>
      <c r="M238" s="27" t="inlineStr">
        <is>
          <t>Western Cape</t>
        </is>
      </c>
      <c r="N238" s="27" t="n">
        <v>474.7</v>
      </c>
      <c r="O238" s="27" t="n">
        <v>0.6</v>
      </c>
      <c r="P238" s="27" t="n">
        <v>53.25</v>
      </c>
      <c r="Q238" s="42">
        <f>IF(H238="","",(H238-F238)*24)</f>
        <v/>
      </c>
      <c r="R238" s="42">
        <f>IF(J238="","",(J238-H238)*24)</f>
        <v/>
      </c>
    </row>
    <row r="239" ht="15" customHeight="1" s="24">
      <c r="A239" s="27" t="n">
        <v>326821</v>
      </c>
      <c r="B239" s="27" t="inlineStr">
        <is>
          <t>PGO10326821</t>
        </is>
      </c>
      <c r="C239" s="27" t="n">
        <v>1</v>
      </c>
      <c r="D239" s="27" t="n">
        <v>3324</v>
      </c>
      <c r="E239" s="27" t="n">
        <v>222</v>
      </c>
      <c r="F239" s="41" t="n">
        <v>45498.48643134259</v>
      </c>
      <c r="G239" s="41" t="n">
        <v>45498.59527472223</v>
      </c>
      <c r="H239" s="41" t="n">
        <v>45499.45766899305</v>
      </c>
      <c r="I239" s="41" t="n">
        <v>45499.46725512732</v>
      </c>
      <c r="J239" s="41" t="n">
        <v>45500.7747993287</v>
      </c>
      <c r="K239" s="27" t="inlineStr">
        <is>
          <t>Collected</t>
        </is>
      </c>
      <c r="L239" s="27" t="inlineStr">
        <is>
          <t>Express</t>
        </is>
      </c>
      <c r="M239" s="27" t="inlineStr">
        <is>
          <t>Western Cape</t>
        </is>
      </c>
      <c r="N239" s="27" t="n">
        <v>198.9</v>
      </c>
      <c r="O239" s="27" t="n">
        <v>0.78</v>
      </c>
      <c r="P239" s="27" t="n">
        <v>47.76</v>
      </c>
      <c r="Q239" s="42">
        <f>IF(H239="","",(H239-F239)*24)</f>
        <v/>
      </c>
      <c r="R239" s="42">
        <f>IF(J239="","",(J239-H239)*24)</f>
        <v/>
      </c>
    </row>
    <row r="240" ht="15" customHeight="1" s="24">
      <c r="A240" s="27" t="n">
        <v>342417</v>
      </c>
      <c r="B240" s="27" t="inlineStr">
        <is>
          <t>PGO10342417</t>
        </is>
      </c>
      <c r="C240" s="27" t="n">
        <v>4</v>
      </c>
      <c r="D240" s="27" t="n">
        <v>651</v>
      </c>
      <c r="E240" s="27" t="n">
        <v>331</v>
      </c>
      <c r="F240" s="41" t="n">
        <v>45498.81482763889</v>
      </c>
      <c r="G240" s="41" t="n">
        <v>45499.08788496528</v>
      </c>
      <c r="H240" s="41" t="n">
        <v>45499.50136283565</v>
      </c>
      <c r="I240" s="41" t="n">
        <v>45499.55004927083</v>
      </c>
      <c r="J240" s="41" t="n">
        <v>45502.10637584491</v>
      </c>
      <c r="K240" s="27" t="inlineStr">
        <is>
          <t>Collected</t>
        </is>
      </c>
      <c r="L240" s="27" t="inlineStr">
        <is>
          <t>Standard</t>
        </is>
      </c>
      <c r="M240" s="27" t="inlineStr">
        <is>
          <t>Gauteng</t>
        </is>
      </c>
      <c r="N240" s="27" t="n">
        <v>776.83</v>
      </c>
      <c r="O240" s="27" t="n">
        <v>3.22</v>
      </c>
      <c r="P240" s="27" t="n">
        <v>41.7</v>
      </c>
      <c r="Q240" s="42">
        <f>IF(H240="","",(H240-F240)*24)</f>
        <v/>
      </c>
      <c r="R240" s="42">
        <f>IF(J240="","",(J240-H240)*24)</f>
        <v/>
      </c>
    </row>
    <row r="241" ht="15" customHeight="1" s="24">
      <c r="A241" s="27" t="n">
        <v>322033</v>
      </c>
      <c r="B241" s="27" t="inlineStr">
        <is>
          <t>PGO10322033</t>
        </is>
      </c>
      <c r="C241" s="27" t="n">
        <v>1</v>
      </c>
      <c r="D241" s="27" t="n">
        <v>3546</v>
      </c>
      <c r="E241" s="27" t="n">
        <v>183</v>
      </c>
      <c r="F241" s="41" t="n">
        <v>45500.63947675926</v>
      </c>
      <c r="G241" s="41" t="n">
        <v>45500.79164415509</v>
      </c>
      <c r="H241" s="41" t="n">
        <v>45502.00867884259</v>
      </c>
      <c r="I241" s="41" t="n">
        <v>45502.06484748843</v>
      </c>
      <c r="J241" s="41" t="n">
        <v>45502.18379138889</v>
      </c>
      <c r="K241" s="27" t="inlineStr">
        <is>
          <t>Collected</t>
        </is>
      </c>
      <c r="L241" s="27" t="inlineStr">
        <is>
          <t>Standard</t>
        </is>
      </c>
      <c r="M241" s="27" t="inlineStr">
        <is>
          <t>Gauteng</t>
        </is>
      </c>
      <c r="N241" s="27" t="n">
        <v>642.27</v>
      </c>
      <c r="O241" s="27" t="n">
        <v>0.61</v>
      </c>
      <c r="P241" s="27" t="n">
        <v>44.61</v>
      </c>
      <c r="Q241" s="42">
        <f>IF(H241="","",(H241-F241)*24)</f>
        <v/>
      </c>
      <c r="R241" s="42">
        <f>IF(J241="","",(J241-H241)*24)</f>
        <v/>
      </c>
    </row>
    <row r="242" ht="15" customHeight="1" s="24">
      <c r="A242" s="27" t="n">
        <v>333074</v>
      </c>
      <c r="B242" s="27" t="inlineStr">
        <is>
          <t>PGO10333074</t>
        </is>
      </c>
      <c r="C242" s="27" t="n">
        <v>57</v>
      </c>
      <c r="D242" s="27" t="n">
        <v>3840</v>
      </c>
      <c r="E242" s="27" t="n">
        <v>67</v>
      </c>
      <c r="F242" s="41" t="n">
        <v>45502.27367782407</v>
      </c>
      <c r="G242" s="41" t="n">
        <v>45502.52624988426</v>
      </c>
      <c r="H242" s="41" t="n">
        <v>45503.513393125</v>
      </c>
      <c r="I242" s="41" t="n">
        <v>45503.53474667824</v>
      </c>
      <c r="J242" s="41" t="n">
        <v>45503.98388526621</v>
      </c>
      <c r="K242" s="27" t="inlineStr">
        <is>
          <t>Collected</t>
        </is>
      </c>
      <c r="L242" s="27" t="inlineStr">
        <is>
          <t>Standard</t>
        </is>
      </c>
      <c r="M242" s="27" t="inlineStr">
        <is>
          <t>Western Cape</t>
        </is>
      </c>
      <c r="N242" s="27" t="n">
        <v>551.17</v>
      </c>
      <c r="O242" s="27" t="n">
        <v>0.82</v>
      </c>
      <c r="P242" s="27" t="n">
        <v>64.93000000000001</v>
      </c>
      <c r="Q242" s="42">
        <f>IF(H242="","",(H242-F242)*24)</f>
        <v/>
      </c>
      <c r="R242" s="42">
        <f>IF(J242="","",(J242-H242)*24)</f>
        <v/>
      </c>
    </row>
    <row r="243" ht="15" customHeight="1" s="24">
      <c r="A243" s="27" t="n">
        <v>323206</v>
      </c>
      <c r="B243" s="27" t="inlineStr">
        <is>
          <t>PGO10323206</t>
        </is>
      </c>
      <c r="C243" s="27" t="n">
        <v>58</v>
      </c>
      <c r="D243" s="27" t="n">
        <v>497</v>
      </c>
      <c r="E243" s="27" t="n">
        <v>191</v>
      </c>
      <c r="F243" s="41" t="n">
        <v>45504.32357760417</v>
      </c>
      <c r="G243" s="41" t="n">
        <v>45504.44637743056</v>
      </c>
      <c r="H243" s="41" t="n">
        <v>45505.36452225695</v>
      </c>
      <c r="I243" s="41" t="n">
        <v>45505.37608185185</v>
      </c>
      <c r="J243" s="41" t="n">
        <v>45505.60044578704</v>
      </c>
      <c r="K243" s="27" t="inlineStr">
        <is>
          <t>Collected</t>
        </is>
      </c>
      <c r="L243" s="27" t="inlineStr">
        <is>
          <t>Standard</t>
        </is>
      </c>
      <c r="M243" s="27" t="inlineStr">
        <is>
          <t>Gauteng</t>
        </is>
      </c>
      <c r="N243" s="27" t="n">
        <v>183.09</v>
      </c>
      <c r="O243" s="27" t="n">
        <v>1.01</v>
      </c>
      <c r="P243" s="27" t="n">
        <v>45.51</v>
      </c>
      <c r="Q243" s="42">
        <f>IF(H243="","",(H243-F243)*24)</f>
        <v/>
      </c>
      <c r="R243" s="42">
        <f>IF(J243="","",(J243-H243)*24)</f>
        <v/>
      </c>
    </row>
    <row r="244" ht="15" customHeight="1" s="24">
      <c r="A244" s="27" t="n">
        <v>353717</v>
      </c>
      <c r="B244" s="27" t="inlineStr">
        <is>
          <t>PGO10353717</t>
        </is>
      </c>
      <c r="C244" s="27" t="n">
        <v>6</v>
      </c>
      <c r="D244" s="27" t="n">
        <v>2188</v>
      </c>
      <c r="E244" s="27" t="n">
        <v>229</v>
      </c>
      <c r="F244" s="41" t="n">
        <v>45506.94512479167</v>
      </c>
      <c r="G244" s="41" t="n">
        <v>45507.1953472801</v>
      </c>
      <c r="H244" s="41" t="n">
        <v>45507.86126563657</v>
      </c>
      <c r="I244" s="41" t="n">
        <v>45507.89708175926</v>
      </c>
      <c r="J244" s="41" t="n">
        <v>45511.76176482639</v>
      </c>
      <c r="K244" s="27" t="inlineStr">
        <is>
          <t>Collected</t>
        </is>
      </c>
      <c r="L244" s="27" t="inlineStr">
        <is>
          <t>Standard</t>
        </is>
      </c>
      <c r="M244" s="27" t="inlineStr">
        <is>
          <t>KwaZulu-Natal</t>
        </is>
      </c>
      <c r="N244" s="27" t="n">
        <v>164.7</v>
      </c>
      <c r="O244" s="27" t="n">
        <v>1.32</v>
      </c>
      <c r="P244" s="27" t="n">
        <v>41.5</v>
      </c>
      <c r="Q244" s="42">
        <f>IF(H244="","",(H244-F244)*24)</f>
        <v/>
      </c>
      <c r="R244" s="42">
        <f>IF(J244="","",(J244-H244)*24)</f>
        <v/>
      </c>
    </row>
    <row r="245" ht="15" customHeight="1" s="24">
      <c r="A245" s="27" t="n">
        <v>357282</v>
      </c>
      <c r="B245" s="27" t="inlineStr">
        <is>
          <t>PGO10357282</t>
        </is>
      </c>
      <c r="C245" s="27" t="n">
        <v>3</v>
      </c>
      <c r="D245" s="27" t="n">
        <v>3919</v>
      </c>
      <c r="E245" s="27" t="n">
        <v>56</v>
      </c>
      <c r="F245" s="41" t="n">
        <v>45509.2388305787</v>
      </c>
      <c r="G245" s="41" t="n">
        <v>45509.76889703704</v>
      </c>
      <c r="H245" s="41" t="n">
        <v>45510.80173538195</v>
      </c>
      <c r="I245" s="41" t="n">
        <v>45510.81028606481</v>
      </c>
      <c r="J245" s="41" t="n">
        <v>45511.87819048611</v>
      </c>
      <c r="K245" s="27" t="inlineStr">
        <is>
          <t>Collected</t>
        </is>
      </c>
      <c r="L245" s="27" t="inlineStr">
        <is>
          <t>Express</t>
        </is>
      </c>
      <c r="M245" s="27" t="inlineStr">
        <is>
          <t>Mpumalanga</t>
        </is>
      </c>
      <c r="N245" s="27" t="n">
        <v>124.2</v>
      </c>
      <c r="O245" s="27" t="n">
        <v>0.89</v>
      </c>
      <c r="P245" s="27" t="n">
        <v>38.47</v>
      </c>
      <c r="Q245" s="42">
        <f>IF(H245="","",(H245-F245)*24)</f>
        <v/>
      </c>
      <c r="R245" s="42">
        <f>IF(J245="","",(J245-H245)*24)</f>
        <v/>
      </c>
    </row>
    <row r="246" ht="15" customHeight="1" s="24">
      <c r="A246" s="27" t="n">
        <v>372792</v>
      </c>
      <c r="B246" s="27" t="inlineStr">
        <is>
          <t>PGO10372792</t>
        </is>
      </c>
      <c r="C246" s="27" t="n">
        <v>45</v>
      </c>
      <c r="D246" s="27" t="n">
        <v>3950</v>
      </c>
      <c r="E246" s="27" t="n">
        <v>286</v>
      </c>
      <c r="F246" s="41" t="n">
        <v>45510.24896289352</v>
      </c>
      <c r="G246" s="41" t="n">
        <v>45510.31828814815</v>
      </c>
      <c r="H246" s="41" t="n">
        <v>45510.81432459491</v>
      </c>
      <c r="I246" s="41" t="n">
        <v>45510.83511710648</v>
      </c>
      <c r="J246" s="41" t="n">
        <v>45511.14421046296</v>
      </c>
      <c r="K246" s="27" t="inlineStr">
        <is>
          <t>Collected</t>
        </is>
      </c>
      <c r="L246" s="27" t="inlineStr">
        <is>
          <t>Standard</t>
        </is>
      </c>
      <c r="M246" s="27" t="inlineStr">
        <is>
          <t>Western Cape</t>
        </is>
      </c>
      <c r="N246" s="27" t="n">
        <v>169.22</v>
      </c>
      <c r="O246" s="27" t="n">
        <v>0.75</v>
      </c>
      <c r="P246" s="27" t="n">
        <v>65.42</v>
      </c>
      <c r="Q246" s="42">
        <f>IF(H246="","",(H246-F246)*24)</f>
        <v/>
      </c>
      <c r="R246" s="42">
        <f>IF(J246="","",(J246-H246)*24)</f>
        <v/>
      </c>
    </row>
    <row r="247" ht="15" customHeight="1" s="24">
      <c r="A247" s="27" t="n">
        <v>360361</v>
      </c>
      <c r="B247" s="27" t="inlineStr">
        <is>
          <t>PGO10360361</t>
        </is>
      </c>
      <c r="C247" s="27" t="n">
        <v>91</v>
      </c>
      <c r="D247" s="27" t="n">
        <v>3331</v>
      </c>
      <c r="E247" s="27" t="n">
        <v>352</v>
      </c>
      <c r="F247" s="41" t="n">
        <v>45511.35803428241</v>
      </c>
      <c r="G247" s="41" t="n">
        <v>45511.41423387732</v>
      </c>
      <c r="H247" s="41" t="n">
        <v>45512.03306351852</v>
      </c>
      <c r="I247" s="41" t="n">
        <v>45512.06546020833</v>
      </c>
      <c r="J247" s="41" t="n">
        <v>45513.24214100694</v>
      </c>
      <c r="K247" s="27" t="inlineStr">
        <is>
          <t>Collected</t>
        </is>
      </c>
      <c r="L247" s="27" t="inlineStr">
        <is>
          <t>Return-to-Retailer</t>
        </is>
      </c>
      <c r="M247" s="27" t="inlineStr">
        <is>
          <t>Gauteng</t>
        </is>
      </c>
      <c r="N247" s="27" t="n">
        <v>1038.2</v>
      </c>
      <c r="O247" s="27" t="n">
        <v>1.49</v>
      </c>
      <c r="P247" s="27" t="n">
        <v>37.75</v>
      </c>
      <c r="Q247" s="42">
        <f>IF(H247="","",(H247-F247)*24)</f>
        <v/>
      </c>
      <c r="R247" s="42">
        <f>IF(J247="","",(J247-H247)*24)</f>
        <v/>
      </c>
    </row>
    <row r="248" ht="15" customHeight="1" s="24">
      <c r="A248" s="27" t="n">
        <v>359954</v>
      </c>
      <c r="B248" s="27" t="inlineStr">
        <is>
          <t>PGO10359954</t>
        </is>
      </c>
      <c r="C248" s="27" t="n">
        <v>8</v>
      </c>
      <c r="D248" s="27" t="n">
        <v>1099</v>
      </c>
      <c r="E248" s="27" t="n">
        <v>478</v>
      </c>
      <c r="F248" s="41" t="n">
        <v>45512.86209273148</v>
      </c>
      <c r="G248" s="41" t="n">
        <v>45512.92264667824</v>
      </c>
      <c r="H248" s="41" t="n">
        <v>45513.6542993287</v>
      </c>
      <c r="I248" s="41" t="n">
        <v>45513.68738402778</v>
      </c>
      <c r="J248" s="41" t="n">
        <v>45514.15937736111</v>
      </c>
      <c r="K248" s="27" t="inlineStr">
        <is>
          <t>Collected</t>
        </is>
      </c>
      <c r="L248" s="27" t="inlineStr">
        <is>
          <t>Standard</t>
        </is>
      </c>
      <c r="M248" s="27" t="inlineStr">
        <is>
          <t>Gauteng</t>
        </is>
      </c>
      <c r="N248" s="27" t="n">
        <v>395.88</v>
      </c>
      <c r="O248" s="27" t="n">
        <v>0.73</v>
      </c>
      <c r="P248" s="27" t="n">
        <v>56.86</v>
      </c>
      <c r="Q248" s="42">
        <f>IF(H248="","",(H248-F248)*24)</f>
        <v/>
      </c>
      <c r="R248" s="42">
        <f>IF(J248="","",(J248-H248)*24)</f>
        <v/>
      </c>
    </row>
    <row r="249" ht="15" customHeight="1" s="24">
      <c r="A249" s="27" t="n">
        <v>346492</v>
      </c>
      <c r="B249" s="27" t="inlineStr">
        <is>
          <t>PGO10346492</t>
        </is>
      </c>
      <c r="C249" s="27" t="n">
        <v>23</v>
      </c>
      <c r="D249" s="27" t="n">
        <v>2312</v>
      </c>
      <c r="E249" s="27" t="n">
        <v>447</v>
      </c>
      <c r="F249" s="41" t="n">
        <v>45514.098649375</v>
      </c>
      <c r="G249" s="41" t="n">
        <v>45514.76539832176</v>
      </c>
      <c r="H249" s="41" t="n">
        <v>45515.31354157408</v>
      </c>
      <c r="I249" s="41" t="n">
        <v>45515.3314962037</v>
      </c>
      <c r="J249" s="41" t="n">
        <v>45516.6331908912</v>
      </c>
      <c r="K249" s="27" t="inlineStr">
        <is>
          <t>Collected</t>
        </is>
      </c>
      <c r="L249" s="27" t="inlineStr">
        <is>
          <t>Standard</t>
        </is>
      </c>
      <c r="M249" s="27" t="inlineStr">
        <is>
          <t>Mpumalanga</t>
        </is>
      </c>
      <c r="N249" s="27" t="n">
        <v>898.36</v>
      </c>
      <c r="O249" s="27" t="n">
        <v>0.23</v>
      </c>
      <c r="P249" s="27" t="n">
        <v>51.01</v>
      </c>
      <c r="Q249" s="42">
        <f>IF(H249="","",(H249-F249)*24)</f>
        <v/>
      </c>
      <c r="R249" s="42">
        <f>IF(J249="","",(J249-H249)*24)</f>
        <v/>
      </c>
    </row>
    <row r="250" ht="15" customHeight="1" s="24">
      <c r="A250" s="27" t="n">
        <v>356502</v>
      </c>
      <c r="B250" s="27" t="inlineStr">
        <is>
          <t>PGO10356502</t>
        </is>
      </c>
      <c r="C250" s="27" t="n">
        <v>118</v>
      </c>
      <c r="D250" s="27" t="n">
        <v>2555</v>
      </c>
      <c r="E250" s="27" t="n">
        <v>83</v>
      </c>
      <c r="F250" s="41" t="n">
        <v>45517.36578907407</v>
      </c>
      <c r="G250" s="41" t="n">
        <v>45517.67001376158</v>
      </c>
      <c r="H250" s="41" t="n">
        <v>45519.13956373843</v>
      </c>
      <c r="I250" s="41" t="n">
        <v>45519.19524709491</v>
      </c>
      <c r="J250" s="41" t="n">
        <v>45521.81453011574</v>
      </c>
      <c r="K250" s="27" t="inlineStr">
        <is>
          <t>Collected</t>
        </is>
      </c>
      <c r="L250" s="27" t="inlineStr">
        <is>
          <t>Standard</t>
        </is>
      </c>
      <c r="M250" s="27" t="inlineStr">
        <is>
          <t>KwaZulu-Natal</t>
        </is>
      </c>
      <c r="N250" s="27" t="n">
        <v>366.56</v>
      </c>
      <c r="O250" s="27" t="n">
        <v>1.58</v>
      </c>
      <c r="P250" s="27" t="n">
        <v>58.72</v>
      </c>
      <c r="Q250" s="42">
        <f>IF(H250="","",(H250-F250)*24)</f>
        <v/>
      </c>
      <c r="R250" s="42">
        <f>IF(J250="","",(J250-H250)*24)</f>
        <v/>
      </c>
    </row>
    <row r="251" ht="15" customHeight="1" s="24">
      <c r="A251" s="27" t="n">
        <v>347010</v>
      </c>
      <c r="B251" s="27" t="inlineStr">
        <is>
          <t>PGO10347010</t>
        </is>
      </c>
      <c r="C251" s="27" t="n">
        <v>28</v>
      </c>
      <c r="D251" s="27" t="n">
        <v>1196</v>
      </c>
      <c r="E251" s="27" t="n">
        <v>228</v>
      </c>
      <c r="F251" s="41" t="n">
        <v>45520.04578923611</v>
      </c>
      <c r="G251" s="41" t="n">
        <v>45520.19784935185</v>
      </c>
      <c r="H251" s="41" t="n">
        <v>45521.41775810185</v>
      </c>
      <c r="I251" s="41" t="n">
        <v>45521.4525766088</v>
      </c>
      <c r="J251" s="41" t="n">
        <v>45521.52786553241</v>
      </c>
      <c r="K251" s="27" t="inlineStr">
        <is>
          <t>Collected</t>
        </is>
      </c>
      <c r="L251" s="27" t="inlineStr">
        <is>
          <t>Standard</t>
        </is>
      </c>
      <c r="M251" s="27" t="inlineStr">
        <is>
          <t>KwaZulu-Natal</t>
        </is>
      </c>
      <c r="N251" s="27" t="n">
        <v>527.09</v>
      </c>
      <c r="O251" s="27" t="n">
        <v>2.58</v>
      </c>
      <c r="P251" s="27" t="n">
        <v>67.23999999999999</v>
      </c>
      <c r="Q251" s="42">
        <f>IF(H251="","",(H251-F251)*24)</f>
        <v/>
      </c>
      <c r="R251" s="42">
        <f>IF(J251="","",(J251-H251)*24)</f>
        <v/>
      </c>
    </row>
    <row r="252" ht="15" customHeight="1" s="24">
      <c r="A252" s="27" t="n">
        <v>347912</v>
      </c>
      <c r="B252" s="27" t="inlineStr">
        <is>
          <t>PGO10347912</t>
        </is>
      </c>
      <c r="C252" s="27" t="n">
        <v>15</v>
      </c>
      <c r="D252" s="27" t="n">
        <v>2334</v>
      </c>
      <c r="E252" s="27" t="n">
        <v>75</v>
      </c>
      <c r="F252" s="41" t="n">
        <v>45523.26179440972</v>
      </c>
      <c r="G252" s="41" t="n">
        <v>45523.50620033565</v>
      </c>
      <c r="H252" s="41" t="n">
        <v>45523.76182239583</v>
      </c>
      <c r="I252" s="41" t="n">
        <v>45523.80058509259</v>
      </c>
      <c r="J252" s="41" t="n">
        <v>45526.70648037037</v>
      </c>
      <c r="K252" s="27" t="inlineStr">
        <is>
          <t>Collected</t>
        </is>
      </c>
      <c r="L252" s="27" t="inlineStr">
        <is>
          <t>Standard</t>
        </is>
      </c>
      <c r="M252" s="27" t="inlineStr">
        <is>
          <t>Gauteng</t>
        </is>
      </c>
      <c r="N252" s="27" t="n">
        <v>212.66</v>
      </c>
      <c r="O252" s="27" t="n">
        <v>1.61</v>
      </c>
      <c r="P252" s="27" t="n">
        <v>68.16</v>
      </c>
      <c r="Q252" s="42">
        <f>IF(H252="","",(H252-F252)*24)</f>
        <v/>
      </c>
      <c r="R252" s="42">
        <f>IF(J252="","",(J252-H252)*24)</f>
        <v/>
      </c>
    </row>
    <row r="253" ht="15" customHeight="1" s="24">
      <c r="A253" s="27" t="n">
        <v>369624</v>
      </c>
      <c r="B253" s="27" t="inlineStr">
        <is>
          <t>PGO10369624</t>
        </is>
      </c>
      <c r="C253" s="27" t="n">
        <v>10</v>
      </c>
      <c r="D253" s="27" t="n">
        <v>993</v>
      </c>
      <c r="E253" s="27" t="n">
        <v>433</v>
      </c>
      <c r="F253" s="41" t="n">
        <v>45523.55915743056</v>
      </c>
      <c r="G253" s="41" t="n">
        <v>45523.8280587037</v>
      </c>
      <c r="H253" s="41" t="n">
        <v>45524.77865753472</v>
      </c>
      <c r="I253" s="41" t="n">
        <v>45524.80690304398</v>
      </c>
      <c r="J253" s="41" t="n">
        <v>45525.31079112268</v>
      </c>
      <c r="K253" s="27" t="inlineStr">
        <is>
          <t>Collected</t>
        </is>
      </c>
      <c r="L253" s="27" t="inlineStr">
        <is>
          <t>Standard</t>
        </is>
      </c>
      <c r="M253" s="27" t="inlineStr">
        <is>
          <t>Gauteng</t>
        </is>
      </c>
      <c r="N253" s="27" t="n">
        <v>139.88</v>
      </c>
      <c r="O253" s="27" t="n">
        <v>0.66</v>
      </c>
      <c r="P253" s="27" t="n">
        <v>65.69</v>
      </c>
      <c r="Q253" s="42">
        <f>IF(H253="","",(H253-F253)*24)</f>
        <v/>
      </c>
      <c r="R253" s="42">
        <f>IF(J253="","",(J253-H253)*24)</f>
        <v/>
      </c>
    </row>
    <row r="254" ht="15" customHeight="1" s="24">
      <c r="A254" s="27" t="n">
        <v>346842</v>
      </c>
      <c r="B254" s="27" t="inlineStr">
        <is>
          <t>PGO10346842</t>
        </is>
      </c>
      <c r="C254" s="27" t="n">
        <v>5</v>
      </c>
      <c r="D254" s="27" t="n">
        <v>1016</v>
      </c>
      <c r="E254" s="27" t="n">
        <v>384</v>
      </c>
      <c r="F254" s="41" t="n">
        <v>45528.33170288194</v>
      </c>
      <c r="G254" s="41" t="n">
        <v>45528.42884530093</v>
      </c>
      <c r="H254" s="41" t="n">
        <v>45529.27623100694</v>
      </c>
      <c r="I254" s="41" t="n">
        <v>45529.28757645834</v>
      </c>
      <c r="J254" s="41" t="n">
        <v>45532.04164877315</v>
      </c>
      <c r="K254" s="27" t="inlineStr">
        <is>
          <t>Collected</t>
        </is>
      </c>
      <c r="L254" s="27" t="inlineStr">
        <is>
          <t>Express</t>
        </is>
      </c>
      <c r="M254" s="27" t="inlineStr">
        <is>
          <t>Western Cape</t>
        </is>
      </c>
      <c r="N254" s="27" t="n">
        <v>292.41</v>
      </c>
      <c r="O254" s="27" t="n">
        <v>4.47</v>
      </c>
      <c r="P254" s="27" t="n">
        <v>55.73</v>
      </c>
      <c r="Q254" s="42">
        <f>IF(H254="","",(H254-F254)*24)</f>
        <v/>
      </c>
      <c r="R254" s="42">
        <f>IF(J254="","",(J254-H254)*24)</f>
        <v/>
      </c>
    </row>
    <row r="255" ht="15" customHeight="1" s="24">
      <c r="A255" s="27" t="n">
        <v>362271</v>
      </c>
      <c r="B255" s="27" t="inlineStr">
        <is>
          <t>PGO10362271</t>
        </is>
      </c>
      <c r="C255" s="27" t="n">
        <v>136</v>
      </c>
      <c r="D255" s="27" t="n">
        <v>3695</v>
      </c>
      <c r="E255" s="27" t="n">
        <v>346</v>
      </c>
      <c r="F255" s="41" t="n">
        <v>45528.94654655093</v>
      </c>
      <c r="G255" s="41" t="n">
        <v>45529.28785508102</v>
      </c>
      <c r="H255" s="41" t="n">
        <v>45530.64355824074</v>
      </c>
      <c r="I255" s="41" t="n">
        <v>45530.7013952662</v>
      </c>
      <c r="J255" s="41" t="n">
        <v>45533.0817587963</v>
      </c>
      <c r="K255" s="27" t="inlineStr">
        <is>
          <t>Collected</t>
        </is>
      </c>
      <c r="L255" s="27" t="inlineStr">
        <is>
          <t>Standard</t>
        </is>
      </c>
      <c r="M255" s="27" t="inlineStr">
        <is>
          <t>Western Cape</t>
        </is>
      </c>
      <c r="N255" s="27" t="n">
        <v>546.5</v>
      </c>
      <c r="O255" s="27" t="n">
        <v>6.83</v>
      </c>
      <c r="P255" s="27" t="n">
        <v>79.23</v>
      </c>
      <c r="Q255" s="42">
        <f>IF(H255="","",(H255-F255)*24)</f>
        <v/>
      </c>
      <c r="R255" s="42">
        <f>IF(J255="","",(J255-H255)*24)</f>
        <v/>
      </c>
    </row>
    <row r="256" ht="15" customHeight="1" s="24">
      <c r="A256" s="27" t="n">
        <v>373427</v>
      </c>
      <c r="B256" s="27" t="inlineStr">
        <is>
          <t>PGO10373427</t>
        </is>
      </c>
      <c r="C256" s="27" t="n">
        <v>135</v>
      </c>
      <c r="D256" s="27" t="n">
        <v>1132</v>
      </c>
      <c r="E256" s="27" t="n">
        <v>411</v>
      </c>
      <c r="F256" s="41" t="n">
        <v>45531.45570094907</v>
      </c>
      <c r="G256" s="41" t="n">
        <v>45531.57822483796</v>
      </c>
      <c r="H256" s="41" t="n">
        <v>45532.68118895833</v>
      </c>
      <c r="I256" s="41" t="n">
        <v>45532.73300916667</v>
      </c>
      <c r="J256" s="41" t="n">
        <v>45533.8397753588</v>
      </c>
      <c r="K256" s="27" t="inlineStr">
        <is>
          <t>Collected</t>
        </is>
      </c>
      <c r="L256" s="27" t="inlineStr">
        <is>
          <t>Express</t>
        </is>
      </c>
      <c r="M256" s="27" t="inlineStr">
        <is>
          <t>KwaZulu-Natal</t>
        </is>
      </c>
      <c r="N256" s="27" t="n">
        <v>322.14</v>
      </c>
      <c r="O256" s="27" t="n">
        <v>0.53</v>
      </c>
      <c r="P256" s="27" t="n">
        <v>59.97</v>
      </c>
      <c r="Q256" s="42">
        <f>IF(H256="","",(H256-F256)*24)</f>
        <v/>
      </c>
      <c r="R256" s="42">
        <f>IF(J256="","",(J256-H256)*24)</f>
        <v/>
      </c>
    </row>
    <row r="257" ht="15" customHeight="1" s="24">
      <c r="A257" s="27" t="n">
        <v>364190</v>
      </c>
      <c r="B257" s="27" t="inlineStr">
        <is>
          <t>PGO10364190</t>
        </is>
      </c>
      <c r="C257" s="27" t="n">
        <v>1</v>
      </c>
      <c r="D257" s="27" t="n">
        <v>512</v>
      </c>
      <c r="E257" s="27" t="n">
        <v>430</v>
      </c>
      <c r="F257" s="41" t="n">
        <v>45532.71962231481</v>
      </c>
      <c r="G257" s="41" t="n">
        <v>45532.7498225926</v>
      </c>
      <c r="H257" s="41" t="n">
        <v>45533.54773244213</v>
      </c>
      <c r="I257" s="41" t="n">
        <v>45533.57060572917</v>
      </c>
      <c r="J257" s="41" t="n">
        <v>45534.1296240162</v>
      </c>
      <c r="K257" s="27" t="inlineStr">
        <is>
          <t>Collected</t>
        </is>
      </c>
      <c r="L257" s="27" t="inlineStr">
        <is>
          <t>Standard</t>
        </is>
      </c>
      <c r="M257" s="27" t="inlineStr">
        <is>
          <t>Limpopo</t>
        </is>
      </c>
      <c r="N257" s="27" t="n">
        <v>326.5</v>
      </c>
      <c r="O257" s="27" t="n">
        <v>2.77</v>
      </c>
      <c r="P257" s="27" t="n">
        <v>46.01</v>
      </c>
      <c r="Q257" s="42">
        <f>IF(H257="","",(H257-F257)*24)</f>
        <v/>
      </c>
      <c r="R257" s="42">
        <f>IF(J257="","",(J257-H257)*24)</f>
        <v/>
      </c>
    </row>
    <row r="258" ht="15" customHeight="1" s="24">
      <c r="A258" s="27" t="n">
        <v>358908</v>
      </c>
      <c r="B258" s="27" t="inlineStr">
        <is>
          <t>PGO10358908</t>
        </is>
      </c>
      <c r="C258" s="27" t="n">
        <v>5</v>
      </c>
      <c r="D258" s="27" t="n">
        <v>2565</v>
      </c>
      <c r="E258" s="27" t="n">
        <v>143</v>
      </c>
      <c r="F258" s="41" t="n">
        <v>45534.46701630787</v>
      </c>
      <c r="G258" s="41" t="n">
        <v>45534.76496486111</v>
      </c>
      <c r="H258" s="41" t="n">
        <v>45535.35388165509</v>
      </c>
      <c r="I258" s="41" t="n">
        <v>45535.36914008102</v>
      </c>
      <c r="J258" s="41" t="n">
        <v>45536.49487363426</v>
      </c>
      <c r="K258" s="27" t="inlineStr">
        <is>
          <t>Collected</t>
        </is>
      </c>
      <c r="L258" s="27" t="inlineStr">
        <is>
          <t>Standard</t>
        </is>
      </c>
      <c r="M258" s="27" t="inlineStr">
        <is>
          <t>Eastern Cape</t>
        </is>
      </c>
      <c r="N258" s="27" t="n">
        <v>586.64</v>
      </c>
      <c r="O258" s="27" t="n">
        <v>0.09</v>
      </c>
      <c r="P258" s="27" t="n">
        <v>58.15</v>
      </c>
      <c r="Q258" s="42">
        <f>IF(H258="","",(H258-F258)*24)</f>
        <v/>
      </c>
      <c r="R258" s="42">
        <f>IF(J258="","",(J258-H258)*24)</f>
        <v/>
      </c>
    </row>
    <row r="259" ht="15" customHeight="1" s="24">
      <c r="A259" s="27" t="n">
        <v>367240</v>
      </c>
      <c r="B259" s="27" t="inlineStr">
        <is>
          <t>PGO10367240</t>
        </is>
      </c>
      <c r="C259" s="27" t="n">
        <v>22</v>
      </c>
      <c r="D259" s="27" t="n">
        <v>1729</v>
      </c>
      <c r="E259" s="27" t="n">
        <v>262</v>
      </c>
      <c r="F259" s="41" t="n">
        <v>45535.37433444444</v>
      </c>
      <c r="G259" s="41" t="n">
        <v>45535.48300768519</v>
      </c>
      <c r="H259" s="41" t="n">
        <v>45536.76621950231</v>
      </c>
      <c r="I259" s="41" t="n">
        <v>45536.77064946759</v>
      </c>
      <c r="J259" s="41" t="n">
        <v>45538.20049804398</v>
      </c>
      <c r="K259" s="27" t="inlineStr">
        <is>
          <t>Collected</t>
        </is>
      </c>
      <c r="L259" s="27" t="inlineStr">
        <is>
          <t>Standard</t>
        </is>
      </c>
      <c r="M259" s="27" t="inlineStr">
        <is>
          <t>KwaZulu-Natal</t>
        </is>
      </c>
      <c r="N259" s="27" t="n">
        <v>147.01</v>
      </c>
      <c r="O259" s="27" t="n">
        <v>1.57</v>
      </c>
      <c r="P259" s="27" t="n">
        <v>51.93</v>
      </c>
      <c r="Q259" s="42">
        <f>IF(H259="","",(H259-F259)*24)</f>
        <v/>
      </c>
      <c r="R259" s="42">
        <f>IF(J259="","",(J259-H259)*24)</f>
        <v/>
      </c>
    </row>
    <row r="260" ht="15" customHeight="1" s="24">
      <c r="A260" s="27" t="n">
        <v>355011</v>
      </c>
      <c r="B260" s="27" t="inlineStr">
        <is>
          <t>PGO10355011</t>
        </is>
      </c>
      <c r="C260" s="27" t="n">
        <v>4</v>
      </c>
      <c r="D260" s="27" t="n">
        <v>3187</v>
      </c>
      <c r="E260" s="27" t="n">
        <v>201</v>
      </c>
      <c r="F260" s="41" t="n">
        <v>45536.63820627315</v>
      </c>
      <c r="G260" s="41" t="n">
        <v>45536.7180783912</v>
      </c>
      <c r="H260" s="41" t="n">
        <v>45537.24399275463</v>
      </c>
      <c r="I260" s="41" t="n">
        <v>45537.27140710648</v>
      </c>
      <c r="J260" s="41" t="n">
        <v>45537.87817430556</v>
      </c>
      <c r="K260" s="27" t="inlineStr">
        <is>
          <t>Collected</t>
        </is>
      </c>
      <c r="L260" s="27" t="inlineStr">
        <is>
          <t>Standard</t>
        </is>
      </c>
      <c r="M260" s="27" t="inlineStr">
        <is>
          <t>KwaZulu-Natal</t>
        </is>
      </c>
      <c r="N260" s="27" t="n">
        <v>885.67</v>
      </c>
      <c r="O260" s="27" t="n">
        <v>1.77</v>
      </c>
      <c r="P260" s="27" t="n">
        <v>42.2</v>
      </c>
      <c r="Q260" s="42">
        <f>IF(H260="","",(H260-F260)*24)</f>
        <v/>
      </c>
      <c r="R260" s="42">
        <f>IF(J260="","",(J260-H260)*24)</f>
        <v/>
      </c>
    </row>
    <row r="261" ht="15" customHeight="1" s="24">
      <c r="A261" s="27" t="n">
        <v>400441</v>
      </c>
      <c r="B261" s="27" t="inlineStr">
        <is>
          <t>PGO10400441</t>
        </is>
      </c>
      <c r="C261" s="27" t="n">
        <v>136</v>
      </c>
      <c r="D261" s="27" t="n">
        <v>2267</v>
      </c>
      <c r="E261" s="27" t="n">
        <v>319</v>
      </c>
      <c r="F261" s="41" t="n">
        <v>45536.97980604167</v>
      </c>
      <c r="G261" s="41" t="n">
        <v>45537.28118496528</v>
      </c>
      <c r="H261" s="41" t="n">
        <v>45537.85133444444</v>
      </c>
      <c r="I261" s="41" t="n">
        <v>45537.90106412037</v>
      </c>
      <c r="J261" s="41" t="n">
        <v>45539.31568090278</v>
      </c>
      <c r="K261" s="27" t="inlineStr">
        <is>
          <t>Collected</t>
        </is>
      </c>
      <c r="L261" s="27" t="inlineStr">
        <is>
          <t>Standard</t>
        </is>
      </c>
      <c r="M261" s="27" t="inlineStr">
        <is>
          <t>Eastern Cape</t>
        </is>
      </c>
      <c r="N261" s="27" t="n">
        <v>115.91</v>
      </c>
      <c r="O261" s="27" t="n">
        <v>0.63</v>
      </c>
      <c r="P261" s="27" t="n">
        <v>56.43</v>
      </c>
      <c r="Q261" s="42">
        <f>IF(H261="","",(H261-F261)*24)</f>
        <v/>
      </c>
      <c r="R261" s="42">
        <f>IF(J261="","",(J261-H261)*24)</f>
        <v/>
      </c>
    </row>
    <row r="262" ht="15" customHeight="1" s="24">
      <c r="A262" s="27" t="n">
        <v>392713</v>
      </c>
      <c r="B262" s="27" t="inlineStr">
        <is>
          <t>PGO10392713</t>
        </is>
      </c>
      <c r="C262" s="27" t="n">
        <v>9</v>
      </c>
      <c r="D262" s="27" t="n">
        <v>3695</v>
      </c>
      <c r="E262" s="27" t="n">
        <v>198</v>
      </c>
      <c r="F262" s="41" t="n">
        <v>45538.97903979167</v>
      </c>
      <c r="G262" s="41" t="n">
        <v>45539.11302418981</v>
      </c>
      <c r="H262" s="41" t="n">
        <v>45539.96862457176</v>
      </c>
      <c r="I262" s="41" t="n">
        <v>45539.98016329861</v>
      </c>
      <c r="J262" s="41" t="n">
        <v>45542.14125081019</v>
      </c>
      <c r="K262" s="27" t="inlineStr">
        <is>
          <t>Collected</t>
        </is>
      </c>
      <c r="L262" s="27" t="inlineStr">
        <is>
          <t>Standard</t>
        </is>
      </c>
      <c r="M262" s="27" t="inlineStr">
        <is>
          <t>Western Cape</t>
        </is>
      </c>
      <c r="N262" s="27" t="n">
        <v>618.2</v>
      </c>
      <c r="O262" s="27" t="n">
        <v>0.48</v>
      </c>
      <c r="P262" s="27" t="n">
        <v>55.97</v>
      </c>
      <c r="Q262" s="42">
        <f>IF(H262="","",(H262-F262)*24)</f>
        <v/>
      </c>
      <c r="R262" s="42">
        <f>IF(J262="","",(J262-H262)*24)</f>
        <v/>
      </c>
    </row>
    <row r="263" ht="15" customHeight="1" s="24">
      <c r="A263" s="27" t="n">
        <v>381115</v>
      </c>
      <c r="B263" s="27" t="inlineStr">
        <is>
          <t>PGO10381115</t>
        </is>
      </c>
      <c r="C263" s="27" t="n">
        <v>56</v>
      </c>
      <c r="D263" s="27" t="n">
        <v>3695</v>
      </c>
      <c r="E263" s="27" t="n">
        <v>340</v>
      </c>
      <c r="F263" s="41" t="n">
        <v>45541.77178638889</v>
      </c>
      <c r="G263" s="41" t="n">
        <v>45541.9661709375</v>
      </c>
      <c r="H263" s="41" t="n">
        <v>45542.95702135417</v>
      </c>
      <c r="I263" s="41" t="n">
        <v>45542.98079833333</v>
      </c>
      <c r="J263" s="41" t="n">
        <v>45544.55145408565</v>
      </c>
      <c r="K263" s="27" t="inlineStr">
        <is>
          <t>Collected</t>
        </is>
      </c>
      <c r="L263" s="27" t="inlineStr">
        <is>
          <t>Standard</t>
        </is>
      </c>
      <c r="M263" s="27" t="inlineStr">
        <is>
          <t>Western Cape</t>
        </is>
      </c>
      <c r="N263" s="27" t="n">
        <v>1118.1</v>
      </c>
      <c r="O263" s="27" t="n">
        <v>3.94</v>
      </c>
      <c r="P263" s="27" t="n">
        <v>59.36</v>
      </c>
      <c r="Q263" s="42">
        <f>IF(H263="","",(H263-F263)*24)</f>
        <v/>
      </c>
      <c r="R263" s="42">
        <f>IF(J263="","",(J263-H263)*24)</f>
        <v/>
      </c>
    </row>
    <row r="264" ht="15" customHeight="1" s="24">
      <c r="A264" s="27" t="n">
        <v>402716</v>
      </c>
      <c r="B264" s="27" t="inlineStr">
        <is>
          <t>PGO10402716</t>
        </is>
      </c>
      <c r="C264" s="27" t="n">
        <v>77</v>
      </c>
      <c r="D264" s="27" t="n">
        <v>3191</v>
      </c>
      <c r="E264" s="27" t="n">
        <v>260</v>
      </c>
      <c r="F264" s="41" t="n">
        <v>45543.86550989583</v>
      </c>
      <c r="G264" s="41" t="n">
        <v>45544.05253677083</v>
      </c>
      <c r="H264" s="41" t="n">
        <v>45544.56669315972</v>
      </c>
      <c r="I264" s="41" t="n">
        <v>45544.60618015046</v>
      </c>
      <c r="J264" s="41" t="n">
        <v>45546.36682804398</v>
      </c>
      <c r="K264" s="27" t="inlineStr">
        <is>
          <t>Collected</t>
        </is>
      </c>
      <c r="L264" s="27" t="inlineStr">
        <is>
          <t>Standard</t>
        </is>
      </c>
      <c r="M264" s="27" t="inlineStr">
        <is>
          <t>Eastern Cape</t>
        </is>
      </c>
      <c r="N264" s="27" t="n">
        <v>1632.45</v>
      </c>
      <c r="O264" s="27" t="n">
        <v>12.17</v>
      </c>
      <c r="P264" s="27" t="n">
        <v>71.37</v>
      </c>
      <c r="Q264" s="42">
        <f>IF(H264="","",(H264-F264)*24)</f>
        <v/>
      </c>
      <c r="R264" s="42">
        <f>IF(J264="","",(J264-H264)*24)</f>
        <v/>
      </c>
    </row>
    <row r="265" ht="15" customHeight="1" s="24">
      <c r="A265" s="27" t="n">
        <v>378346</v>
      </c>
      <c r="B265" s="27" t="inlineStr">
        <is>
          <t>PGO10378346</t>
        </is>
      </c>
      <c r="C265" s="27" t="n">
        <v>4</v>
      </c>
      <c r="D265" s="27" t="n">
        <v>3769</v>
      </c>
      <c r="E265" s="27" t="n">
        <v>13</v>
      </c>
      <c r="F265" s="41" t="n">
        <v>45549.70388888889</v>
      </c>
      <c r="G265" s="41" t="n">
        <v>45549.80090748842</v>
      </c>
      <c r="H265" s="41" t="n">
        <v>45551.04372869213</v>
      </c>
      <c r="I265" s="41" t="n">
        <v>45551.05524385416</v>
      </c>
      <c r="J265" s="41" t="n">
        <v>45552.47735425926</v>
      </c>
      <c r="K265" s="27" t="inlineStr">
        <is>
          <t>Collected</t>
        </is>
      </c>
      <c r="L265" s="27" t="inlineStr">
        <is>
          <t>Standard</t>
        </is>
      </c>
      <c r="M265" s="27" t="inlineStr">
        <is>
          <t>Mpumalanga</t>
        </is>
      </c>
      <c r="N265" s="27" t="n">
        <v>385.36</v>
      </c>
      <c r="O265" s="27" t="n">
        <v>1.67</v>
      </c>
      <c r="P265" s="27" t="n">
        <v>45.38</v>
      </c>
      <c r="Q265" s="42">
        <f>IF(H265="","",(H265-F265)*24)</f>
        <v/>
      </c>
      <c r="R265" s="42">
        <f>IF(J265="","",(J265-H265)*24)</f>
        <v/>
      </c>
    </row>
    <row r="266" ht="15" customHeight="1" s="24">
      <c r="A266" s="27" t="n">
        <v>376177</v>
      </c>
      <c r="B266" s="27" t="inlineStr">
        <is>
          <t>PGO10376177</t>
        </is>
      </c>
      <c r="C266" s="27" t="n">
        <v>7</v>
      </c>
      <c r="D266" s="27" t="n">
        <v>2842</v>
      </c>
      <c r="E266" s="27" t="n">
        <v>351</v>
      </c>
      <c r="F266" s="41" t="n">
        <v>45552.39521784722</v>
      </c>
      <c r="G266" s="41" t="n">
        <v>45552.63407439815</v>
      </c>
      <c r="H266" s="41" t="n">
        <v>45553.47076140047</v>
      </c>
      <c r="I266" s="41" t="n">
        <v>45553.51414038194</v>
      </c>
      <c r="J266" s="41" t="n">
        <v>45554.2831440162</v>
      </c>
      <c r="K266" s="27" t="inlineStr">
        <is>
          <t>Collected</t>
        </is>
      </c>
      <c r="L266" s="27" t="inlineStr">
        <is>
          <t>Standard</t>
        </is>
      </c>
      <c r="M266" s="27" t="inlineStr">
        <is>
          <t>Western Cape</t>
        </is>
      </c>
      <c r="N266" s="27" t="n">
        <v>70.09</v>
      </c>
      <c r="O266" s="27" t="n">
        <v>2.27</v>
      </c>
      <c r="P266" s="27" t="n">
        <v>51.64</v>
      </c>
      <c r="Q266" s="42">
        <f>IF(H266="","",(H266-F266)*24)</f>
        <v/>
      </c>
      <c r="R266" s="42">
        <f>IF(J266="","",(J266-H266)*24)</f>
        <v/>
      </c>
    </row>
    <row r="267" ht="15" customHeight="1" s="24">
      <c r="A267" s="27" t="n">
        <v>392356</v>
      </c>
      <c r="B267" s="27" t="inlineStr">
        <is>
          <t>PGO10392356</t>
        </is>
      </c>
      <c r="C267" s="27" t="n">
        <v>1</v>
      </c>
      <c r="D267" s="27" t="n">
        <v>2351</v>
      </c>
      <c r="E267" s="27" t="n">
        <v>348</v>
      </c>
      <c r="F267" s="41" t="n">
        <v>45553.387575</v>
      </c>
      <c r="G267" s="41" t="n">
        <v>45553.59400216435</v>
      </c>
      <c r="H267" s="41" t="n">
        <v>45554.40951436343</v>
      </c>
      <c r="I267" s="41" t="n">
        <v>45554.41417239583</v>
      </c>
      <c r="J267" s="41" t="n">
        <v>45555.77277533564</v>
      </c>
      <c r="K267" s="27" t="inlineStr">
        <is>
          <t>Collected</t>
        </is>
      </c>
      <c r="L267" s="27" t="inlineStr">
        <is>
          <t>Standard</t>
        </is>
      </c>
      <c r="M267" s="27" t="inlineStr">
        <is>
          <t>KwaZulu-Natal</t>
        </is>
      </c>
      <c r="N267" s="27" t="n">
        <v>128.96</v>
      </c>
      <c r="O267" s="27" t="n">
        <v>2.16</v>
      </c>
      <c r="P267" s="27" t="n">
        <v>48.29</v>
      </c>
      <c r="Q267" s="42">
        <f>IF(H267="","",(H267-F267)*24)</f>
        <v/>
      </c>
      <c r="R267" s="42">
        <f>IF(J267="","",(J267-H267)*24)</f>
        <v/>
      </c>
    </row>
    <row r="268" ht="15" customHeight="1" s="24">
      <c r="A268" s="27" t="n">
        <v>401073</v>
      </c>
      <c r="B268" s="27" t="inlineStr">
        <is>
          <t>PGO10401073</t>
        </is>
      </c>
      <c r="C268" s="27" t="n">
        <v>3</v>
      </c>
      <c r="D268" s="27" t="n">
        <v>425</v>
      </c>
      <c r="E268" s="27" t="n">
        <v>497</v>
      </c>
      <c r="F268" s="41" t="n">
        <v>45553.55320261574</v>
      </c>
      <c r="G268" s="41" t="n">
        <v>45554.05100444445</v>
      </c>
      <c r="H268" s="41" t="n">
        <v>45554.65696314815</v>
      </c>
      <c r="I268" s="41" t="n">
        <v>45554.69310922454</v>
      </c>
      <c r="J268" s="41" t="n">
        <v>45554.84287011574</v>
      </c>
      <c r="K268" s="27" t="inlineStr">
        <is>
          <t>Collected</t>
        </is>
      </c>
      <c r="L268" s="27" t="inlineStr">
        <is>
          <t>Standard</t>
        </is>
      </c>
      <c r="M268" s="27" t="inlineStr">
        <is>
          <t>Western Cape</t>
        </is>
      </c>
      <c r="N268" s="27" t="n">
        <v>1519.44</v>
      </c>
      <c r="O268" s="27" t="n">
        <v>3.16</v>
      </c>
      <c r="P268" s="27" t="n">
        <v>40.56</v>
      </c>
      <c r="Q268" s="42">
        <f>IF(H268="","",(H268-F268)*24)</f>
        <v/>
      </c>
      <c r="R268" s="42">
        <f>IF(J268="","",(J268-H268)*24)</f>
        <v/>
      </c>
    </row>
    <row r="269" ht="15" customHeight="1" s="24">
      <c r="A269" s="27" t="n">
        <v>387203</v>
      </c>
      <c r="B269" s="27" t="inlineStr">
        <is>
          <t>PGO10387203</t>
        </is>
      </c>
      <c r="C269" s="27" t="n">
        <v>3</v>
      </c>
      <c r="D269" s="27" t="n">
        <v>2813</v>
      </c>
      <c r="E269" s="27" t="n">
        <v>483</v>
      </c>
      <c r="F269" s="41" t="n">
        <v>45555.67830123843</v>
      </c>
      <c r="G269" s="41" t="n">
        <v>45556.03420133102</v>
      </c>
      <c r="H269" s="41" t="n">
        <v>45556.97595143518</v>
      </c>
      <c r="I269" s="41" t="n">
        <v>45557.00868622685</v>
      </c>
      <c r="J269" s="41" t="n">
        <v>45558.56080337963</v>
      </c>
      <c r="K269" s="27" t="inlineStr">
        <is>
          <t>Collected</t>
        </is>
      </c>
      <c r="L269" s="27" t="inlineStr">
        <is>
          <t>Standard</t>
        </is>
      </c>
      <c r="M269" s="27" t="inlineStr">
        <is>
          <t>Mpumalanga</t>
        </is>
      </c>
      <c r="N269" s="27" t="n">
        <v>655.11</v>
      </c>
      <c r="O269" s="27" t="n">
        <v>0.6899999999999999</v>
      </c>
      <c r="P269" s="27" t="n">
        <v>40.37</v>
      </c>
      <c r="Q269" s="42">
        <f>IF(H269="","",(H269-F269)*24)</f>
        <v/>
      </c>
      <c r="R269" s="42">
        <f>IF(J269="","",(J269-H269)*24)</f>
        <v/>
      </c>
    </row>
    <row r="270" ht="15" customHeight="1" s="24">
      <c r="A270" s="27" t="n">
        <v>398666</v>
      </c>
      <c r="B270" s="27" t="inlineStr">
        <is>
          <t>PGO10398666</t>
        </is>
      </c>
      <c r="C270" s="27" t="n">
        <v>4</v>
      </c>
      <c r="D270" s="27" t="n">
        <v>1320</v>
      </c>
      <c r="E270" s="27" t="n">
        <v>331</v>
      </c>
      <c r="F270" s="41" t="n">
        <v>45555.88399146991</v>
      </c>
      <c r="G270" s="41" t="n">
        <v>45555.95371228009</v>
      </c>
      <c r="H270" s="41" t="n">
        <v>45556.96582424769</v>
      </c>
      <c r="I270" s="41" t="n">
        <v>45557.00906298611</v>
      </c>
      <c r="J270" s="41" t="n">
        <v>45557.92599627314</v>
      </c>
      <c r="K270" s="27" t="inlineStr">
        <is>
          <t>Collected</t>
        </is>
      </c>
      <c r="L270" s="27" t="inlineStr">
        <is>
          <t>Express</t>
        </is>
      </c>
      <c r="M270" s="27" t="inlineStr">
        <is>
          <t>Gauteng</t>
        </is>
      </c>
      <c r="N270" s="27" t="n">
        <v>315.61</v>
      </c>
      <c r="O270" s="27" t="n">
        <v>3.4</v>
      </c>
      <c r="P270" s="27" t="n">
        <v>43.83</v>
      </c>
      <c r="Q270" s="42">
        <f>IF(H270="","",(H270-F270)*24)</f>
        <v/>
      </c>
      <c r="R270" s="42">
        <f>IF(J270="","",(J270-H270)*24)</f>
        <v/>
      </c>
    </row>
    <row r="271" ht="15" customHeight="1" s="24">
      <c r="A271" s="27" t="n">
        <v>386043</v>
      </c>
      <c r="B271" s="27" t="inlineStr">
        <is>
          <t>PGO10386043</t>
        </is>
      </c>
      <c r="C271" s="27" t="n">
        <v>7</v>
      </c>
      <c r="D271" s="27" t="n">
        <v>3724</v>
      </c>
      <c r="E271" s="27" t="n">
        <v>242</v>
      </c>
      <c r="F271" s="41" t="n">
        <v>45562.32352952546</v>
      </c>
      <c r="G271" s="41" t="n">
        <v>45562.45081895834</v>
      </c>
      <c r="H271" s="41" t="n">
        <v>45562.967148125</v>
      </c>
      <c r="I271" s="41" t="n">
        <v>45562.99913833333</v>
      </c>
      <c r="J271" s="41" t="n">
        <v>45566.82328814815</v>
      </c>
      <c r="K271" s="27" t="inlineStr">
        <is>
          <t>Collected</t>
        </is>
      </c>
      <c r="L271" s="27" t="inlineStr">
        <is>
          <t>Standard</t>
        </is>
      </c>
      <c r="M271" s="27" t="inlineStr">
        <is>
          <t>Gauteng</t>
        </is>
      </c>
      <c r="N271" s="27" t="n">
        <v>313.94</v>
      </c>
      <c r="O271" s="27" t="n">
        <v>0.83</v>
      </c>
      <c r="P271" s="27" t="n">
        <v>47.59</v>
      </c>
      <c r="Q271" s="42">
        <f>IF(H271="","",(H271-F271)*24)</f>
        <v/>
      </c>
      <c r="R271" s="42">
        <f>IF(J271="","",(J271-H271)*24)</f>
        <v/>
      </c>
    </row>
    <row r="272" ht="15" customHeight="1" s="24">
      <c r="A272" s="27" t="n">
        <v>392929</v>
      </c>
      <c r="B272" s="27" t="inlineStr">
        <is>
          <t>PGO10392929</t>
        </is>
      </c>
      <c r="C272" s="27" t="n">
        <v>7</v>
      </c>
      <c r="D272" s="27" t="n">
        <v>929</v>
      </c>
      <c r="E272" s="27" t="n">
        <v>134</v>
      </c>
      <c r="F272" s="41" t="n">
        <v>45563.20569994213</v>
      </c>
      <c r="G272" s="41" t="n">
        <v>45563.45109266204</v>
      </c>
      <c r="H272" s="41" t="n">
        <v>45564.32081861111</v>
      </c>
      <c r="I272" s="41" t="n">
        <v>45564.33060753472</v>
      </c>
      <c r="J272" s="41" t="n">
        <v>45565.52352052083</v>
      </c>
      <c r="K272" s="27" t="inlineStr">
        <is>
          <t>Collected</t>
        </is>
      </c>
      <c r="L272" s="27" t="inlineStr">
        <is>
          <t>Standard</t>
        </is>
      </c>
      <c r="M272" s="27" t="inlineStr">
        <is>
          <t>Free State</t>
        </is>
      </c>
      <c r="N272" s="27" t="n">
        <v>595.45</v>
      </c>
      <c r="O272" s="27" t="n">
        <v>1.63</v>
      </c>
      <c r="P272" s="27" t="n">
        <v>51.56</v>
      </c>
      <c r="Q272" s="42">
        <f>IF(H272="","",(H272-F272)*24)</f>
        <v/>
      </c>
      <c r="R272" s="42">
        <f>IF(J272="","",(J272-H272)*24)</f>
        <v/>
      </c>
    </row>
    <row r="273" ht="15" customHeight="1" s="24">
      <c r="A273" s="27" t="n">
        <v>393878</v>
      </c>
      <c r="B273" s="27" t="inlineStr">
        <is>
          <t>PGO10393878</t>
        </is>
      </c>
      <c r="C273" s="27" t="n">
        <v>85</v>
      </c>
      <c r="D273" s="27" t="n">
        <v>3547</v>
      </c>
      <c r="E273" s="27" t="n">
        <v>200</v>
      </c>
      <c r="F273" s="41" t="n">
        <v>45563.89313023148</v>
      </c>
      <c r="G273" s="41" t="n">
        <v>45564.33751649305</v>
      </c>
      <c r="H273" s="41" t="n">
        <v>45565.86171737268</v>
      </c>
      <c r="I273" s="41" t="n">
        <v>45565.88350648148</v>
      </c>
      <c r="J273" s="41" t="n">
        <v>45566.07916140046</v>
      </c>
      <c r="K273" s="27" t="inlineStr">
        <is>
          <t>Collected</t>
        </is>
      </c>
      <c r="L273" s="27" t="inlineStr">
        <is>
          <t>Standard</t>
        </is>
      </c>
      <c r="M273" s="27" t="inlineStr">
        <is>
          <t>Limpopo</t>
        </is>
      </c>
      <c r="N273" s="27" t="n">
        <v>368.5</v>
      </c>
      <c r="O273" s="27" t="n">
        <v>1.17</v>
      </c>
      <c r="P273" s="27" t="n">
        <v>68.11</v>
      </c>
      <c r="Q273" s="42">
        <f>IF(H273="","",(H273-F273)*24)</f>
        <v/>
      </c>
      <c r="R273" s="42">
        <f>IF(J273="","",(J273-H273)*24)</f>
        <v/>
      </c>
    </row>
    <row r="274" ht="15" customHeight="1" s="24">
      <c r="A274" s="27" t="n">
        <v>402162</v>
      </c>
      <c r="B274" s="27" t="inlineStr">
        <is>
          <t>PGO10402162</t>
        </is>
      </c>
      <c r="C274" s="27" t="n">
        <v>6</v>
      </c>
      <c r="D274" s="27" t="n">
        <v>371</v>
      </c>
      <c r="E274" s="27" t="n">
        <v>82</v>
      </c>
      <c r="F274" s="41" t="n">
        <v>45565.87798053241</v>
      </c>
      <c r="G274" s="41" t="n">
        <v>45566.23316078704</v>
      </c>
      <c r="H274" s="41" t="n">
        <v>45567.58704415509</v>
      </c>
      <c r="I274" s="41" t="n">
        <v>45567.60359149305</v>
      </c>
      <c r="J274" s="41" t="n">
        <v>45568.36198140046</v>
      </c>
      <c r="K274" s="27" t="inlineStr">
        <is>
          <t>Collected</t>
        </is>
      </c>
      <c r="L274" s="27" t="inlineStr">
        <is>
          <t>Standard</t>
        </is>
      </c>
      <c r="M274" s="27" t="inlineStr">
        <is>
          <t>KwaZulu-Natal</t>
        </is>
      </c>
      <c r="N274" s="27" t="n">
        <v>80.44</v>
      </c>
      <c r="O274" s="27" t="n">
        <v>1.18</v>
      </c>
      <c r="P274" s="27" t="n">
        <v>41.24</v>
      </c>
      <c r="Q274" s="42">
        <f>IF(H274="","",(H274-F274)*24)</f>
        <v/>
      </c>
      <c r="R274" s="42">
        <f>IF(J274="","",(J274-H274)*24)</f>
        <v/>
      </c>
    </row>
    <row r="275" ht="15" customHeight="1" s="24">
      <c r="A275" s="27" t="n">
        <v>427766</v>
      </c>
      <c r="B275" s="27" t="inlineStr">
        <is>
          <t>PGO10427766</t>
        </is>
      </c>
      <c r="C275" s="27" t="n">
        <v>40</v>
      </c>
      <c r="D275" s="27" t="n">
        <v>3609</v>
      </c>
      <c r="E275" s="27" t="n">
        <v>147</v>
      </c>
      <c r="F275" s="41" t="n">
        <v>45567.08673385416</v>
      </c>
      <c r="G275" s="41" t="n">
        <v>45567.21028634259</v>
      </c>
      <c r="H275" s="41" t="n">
        <v>45567.88638005787</v>
      </c>
      <c r="I275" s="41" t="n">
        <v>45567.94371574074</v>
      </c>
      <c r="J275" s="41" t="n">
        <v>45568.88936774305</v>
      </c>
      <c r="K275" s="27" t="inlineStr">
        <is>
          <t>Collected</t>
        </is>
      </c>
      <c r="L275" s="27" t="inlineStr">
        <is>
          <t>Standard</t>
        </is>
      </c>
      <c r="M275" s="27" t="inlineStr">
        <is>
          <t>Mpumalanga</t>
        </is>
      </c>
      <c r="N275" s="27" t="n">
        <v>4658.11</v>
      </c>
      <c r="O275" s="27" t="n">
        <v>0.93</v>
      </c>
      <c r="P275" s="27" t="n">
        <v>60.32</v>
      </c>
      <c r="Q275" s="42">
        <f>IF(H275="","",(H275-F275)*24)</f>
        <v/>
      </c>
      <c r="R275" s="42">
        <f>IF(J275="","",(J275-H275)*24)</f>
        <v/>
      </c>
    </row>
    <row r="276" ht="15" customHeight="1" s="24">
      <c r="A276" s="27" t="n">
        <v>409526</v>
      </c>
      <c r="B276" s="27" t="inlineStr">
        <is>
          <t>PGO10409526</t>
        </is>
      </c>
      <c r="C276" s="27" t="n">
        <v>33</v>
      </c>
      <c r="D276" s="27" t="n">
        <v>156</v>
      </c>
      <c r="E276" s="27" t="n">
        <v>65</v>
      </c>
      <c r="F276" s="41" t="n">
        <v>45569.08107936342</v>
      </c>
      <c r="G276" s="41" t="n">
        <v>45569.49404548611</v>
      </c>
      <c r="H276" s="41" t="n">
        <v>45570.56319164352</v>
      </c>
      <c r="I276" s="41" t="n">
        <v>45570.58064244213</v>
      </c>
      <c r="J276" s="41" t="n">
        <v>45571.42553128472</v>
      </c>
      <c r="K276" s="27" t="inlineStr">
        <is>
          <t>Collected</t>
        </is>
      </c>
      <c r="L276" s="27" t="inlineStr">
        <is>
          <t>Standard</t>
        </is>
      </c>
      <c r="M276" s="27" t="inlineStr">
        <is>
          <t>KwaZulu-Natal</t>
        </is>
      </c>
      <c r="N276" s="27" t="n">
        <v>152.09</v>
      </c>
      <c r="O276" s="27" t="n">
        <v>0.91</v>
      </c>
      <c r="P276" s="27" t="n">
        <v>59.57</v>
      </c>
      <c r="Q276" s="42">
        <f>IF(H276="","",(H276-F276)*24)</f>
        <v/>
      </c>
      <c r="R276" s="42">
        <f>IF(J276="","",(J276-H276)*24)</f>
        <v/>
      </c>
    </row>
    <row r="277" ht="15" customHeight="1" s="24">
      <c r="A277" s="27" t="n">
        <v>416103</v>
      </c>
      <c r="B277" s="27" t="inlineStr">
        <is>
          <t>PGO10416103</t>
        </is>
      </c>
      <c r="C277" s="27" t="n">
        <v>1</v>
      </c>
      <c r="D277" s="27" t="n">
        <v>1812</v>
      </c>
      <c r="E277" s="27" t="n">
        <v>282</v>
      </c>
      <c r="F277" s="41" t="n">
        <v>45569.75220287037</v>
      </c>
      <c r="G277" s="41" t="n">
        <v>45569.82499966435</v>
      </c>
      <c r="H277" s="41" t="n">
        <v>45570.36146125</v>
      </c>
      <c r="I277" s="41" t="n">
        <v>45570.3943041551</v>
      </c>
      <c r="J277" s="41" t="n">
        <v>45571.40095842593</v>
      </c>
      <c r="K277" s="27" t="inlineStr">
        <is>
          <t>Collected</t>
        </is>
      </c>
      <c r="L277" s="27" t="inlineStr">
        <is>
          <t>Standard</t>
        </is>
      </c>
      <c r="M277" s="27" t="inlineStr">
        <is>
          <t>Gauteng</t>
        </is>
      </c>
      <c r="N277" s="27" t="n">
        <v>657.9299999999999</v>
      </c>
      <c r="O277" s="27" t="n">
        <v>2.75</v>
      </c>
      <c r="P277" s="27" t="n">
        <v>46.05</v>
      </c>
      <c r="Q277" s="42">
        <f>IF(H277="","",(H277-F277)*24)</f>
        <v/>
      </c>
      <c r="R277" s="42">
        <f>IF(J277="","",(J277-H277)*24)</f>
        <v/>
      </c>
    </row>
    <row r="278" ht="15" customHeight="1" s="24">
      <c r="A278" s="27" t="n">
        <v>416860</v>
      </c>
      <c r="B278" s="27" t="inlineStr">
        <is>
          <t>PGO10416860</t>
        </is>
      </c>
      <c r="C278" s="27" t="n">
        <v>9</v>
      </c>
      <c r="D278" s="27" t="n">
        <v>3695</v>
      </c>
      <c r="E278" s="27" t="n">
        <v>346</v>
      </c>
      <c r="F278" s="41" t="n">
        <v>45569.83951021991</v>
      </c>
      <c r="G278" s="41" t="n">
        <v>45569.90210210648</v>
      </c>
      <c r="H278" s="41" t="n">
        <v>45570.92031965277</v>
      </c>
      <c r="I278" s="41" t="n">
        <v>45570.93433478009</v>
      </c>
      <c r="J278" s="41" t="n">
        <v>45573.25952925926</v>
      </c>
      <c r="K278" s="27" t="inlineStr">
        <is>
          <t>Collected</t>
        </is>
      </c>
      <c r="L278" s="27" t="inlineStr">
        <is>
          <t>Standard</t>
        </is>
      </c>
      <c r="M278" s="27" t="inlineStr">
        <is>
          <t>Western Cape</t>
        </is>
      </c>
      <c r="N278" s="27" t="n">
        <v>506.56</v>
      </c>
      <c r="O278" s="27" t="n">
        <v>0.78</v>
      </c>
      <c r="P278" s="27" t="n">
        <v>59.17</v>
      </c>
      <c r="Q278" s="42">
        <f>IF(H278="","",(H278-F278)*24)</f>
        <v/>
      </c>
      <c r="R278" s="42">
        <f>IF(J278="","",(J278-H278)*24)</f>
        <v/>
      </c>
    </row>
    <row r="279" ht="15" customHeight="1" s="24">
      <c r="A279" s="27" t="n">
        <v>411123</v>
      </c>
      <c r="B279" s="27" t="inlineStr">
        <is>
          <t>PGO10411123</t>
        </is>
      </c>
      <c r="C279" s="27" t="n">
        <v>5</v>
      </c>
      <c r="D279" s="27" t="n">
        <v>2905</v>
      </c>
      <c r="E279" s="27" t="n">
        <v>240</v>
      </c>
      <c r="F279" s="41" t="n">
        <v>45572.93325717592</v>
      </c>
      <c r="G279" s="41" t="n">
        <v>45573.56018733796</v>
      </c>
      <c r="H279" s="41" t="n">
        <v>45574.72687289352</v>
      </c>
      <c r="I279" s="41" t="n">
        <v>45574.77206295139</v>
      </c>
      <c r="J279" s="41" t="n">
        <v>45576.12724425926</v>
      </c>
      <c r="K279" s="27" t="inlineStr">
        <is>
          <t>Collected</t>
        </is>
      </c>
      <c r="L279" s="27" t="inlineStr">
        <is>
          <t>Standard</t>
        </is>
      </c>
      <c r="M279" s="27" t="inlineStr">
        <is>
          <t>Mpumalanga</t>
        </is>
      </c>
      <c r="N279" s="27" t="n">
        <v>138.88</v>
      </c>
      <c r="O279" s="27" t="n">
        <v>0.67</v>
      </c>
      <c r="P279" s="27" t="n">
        <v>57.92</v>
      </c>
      <c r="Q279" s="42">
        <f>IF(H279="","",(H279-F279)*24)</f>
        <v/>
      </c>
      <c r="R279" s="42">
        <f>IF(J279="","",(J279-H279)*24)</f>
        <v/>
      </c>
    </row>
    <row r="280" ht="15" customHeight="1" s="24">
      <c r="A280" s="27" t="n">
        <v>409018</v>
      </c>
      <c r="B280" s="27" t="inlineStr">
        <is>
          <t>PGO10409018</t>
        </is>
      </c>
      <c r="C280" s="27" t="n">
        <v>101</v>
      </c>
      <c r="D280" s="27" t="n">
        <v>3165</v>
      </c>
      <c r="E280" s="27" t="n">
        <v>256</v>
      </c>
      <c r="F280" s="41" t="n">
        <v>45574.09102011574</v>
      </c>
      <c r="G280" s="41" t="n">
        <v>45574.13707916666</v>
      </c>
      <c r="H280" s="41" t="n">
        <v>45574.78193644676</v>
      </c>
      <c r="I280" s="41" t="n">
        <v>45574.78742049768</v>
      </c>
      <c r="J280" s="41" t="n">
        <v>45578.441446875</v>
      </c>
      <c r="K280" s="27" t="inlineStr">
        <is>
          <t>Collected</t>
        </is>
      </c>
      <c r="L280" s="27" t="inlineStr">
        <is>
          <t>Express</t>
        </is>
      </c>
      <c r="M280" s="27" t="inlineStr">
        <is>
          <t>Free State</t>
        </is>
      </c>
      <c r="N280" s="27" t="n">
        <v>558.65</v>
      </c>
      <c r="O280" s="27" t="n">
        <v>3.27</v>
      </c>
      <c r="P280" s="27" t="n">
        <v>59.02</v>
      </c>
      <c r="Q280" s="42">
        <f>IF(H280="","",(H280-F280)*24)</f>
        <v/>
      </c>
      <c r="R280" s="42">
        <f>IF(J280="","",(J280-H280)*24)</f>
        <v/>
      </c>
    </row>
    <row r="281" ht="15" customHeight="1" s="24">
      <c r="A281" s="27" t="n">
        <v>405196</v>
      </c>
      <c r="B281" s="27" t="inlineStr">
        <is>
          <t>PGO10405196</t>
        </is>
      </c>
      <c r="C281" s="27" t="n">
        <v>5</v>
      </c>
      <c r="D281" s="27" t="n">
        <v>3695</v>
      </c>
      <c r="E281" s="27" t="n">
        <v>67</v>
      </c>
      <c r="F281" s="41" t="n">
        <v>45575.23622888889</v>
      </c>
      <c r="G281" s="41" t="n">
        <v>45575.51889859953</v>
      </c>
      <c r="H281" s="41" t="n">
        <v>45576.73898737269</v>
      </c>
      <c r="I281" s="41" t="n">
        <v>45576.7829235301</v>
      </c>
      <c r="J281" s="41" t="n">
        <v>45577.79298928241</v>
      </c>
      <c r="K281" s="27" t="inlineStr">
        <is>
          <t>Collected</t>
        </is>
      </c>
      <c r="L281" s="27" t="inlineStr">
        <is>
          <t>Standard</t>
        </is>
      </c>
      <c r="M281" s="27" t="inlineStr">
        <is>
          <t>Western Cape</t>
        </is>
      </c>
      <c r="N281" s="27" t="n">
        <v>394.81</v>
      </c>
      <c r="O281" s="27" t="n">
        <v>1.98</v>
      </c>
      <c r="P281" s="27" t="n">
        <v>57.76</v>
      </c>
      <c r="Q281" s="42">
        <f>IF(H281="","",(H281-F281)*24)</f>
        <v/>
      </c>
      <c r="R281" s="42">
        <f>IF(J281="","",(J281-H281)*24)</f>
        <v/>
      </c>
    </row>
    <row r="282" ht="15" customHeight="1" s="24">
      <c r="A282" s="27" t="n">
        <v>420338</v>
      </c>
      <c r="B282" s="27" t="inlineStr">
        <is>
          <t>PGO10420338</t>
        </is>
      </c>
      <c r="C282" s="27" t="n">
        <v>7</v>
      </c>
      <c r="D282" s="27" t="n">
        <v>1614</v>
      </c>
      <c r="E282" s="27" t="n">
        <v>197</v>
      </c>
      <c r="F282" s="41" t="n">
        <v>45578.04884837963</v>
      </c>
      <c r="G282" s="41" t="n">
        <v>45578.22086351852</v>
      </c>
      <c r="H282" s="41" t="n">
        <v>45578.73214216435</v>
      </c>
      <c r="I282" s="41" t="n">
        <v>45578.76184099537</v>
      </c>
      <c r="J282" s="41" t="n">
        <v>45579.44241431713</v>
      </c>
      <c r="K282" s="27" t="inlineStr">
        <is>
          <t>Collected</t>
        </is>
      </c>
      <c r="L282" s="27" t="inlineStr">
        <is>
          <t>Standard</t>
        </is>
      </c>
      <c r="M282" s="27" t="inlineStr">
        <is>
          <t>Gauteng</t>
        </is>
      </c>
      <c r="N282" s="27" t="n">
        <v>212.24</v>
      </c>
      <c r="O282" s="27" t="n">
        <v>0.75</v>
      </c>
      <c r="P282" s="27" t="n">
        <v>51.48</v>
      </c>
      <c r="Q282" s="42">
        <f>IF(H282="","",(H282-F282)*24)</f>
        <v/>
      </c>
      <c r="R282" s="42">
        <f>IF(J282="","",(J282-H282)*24)</f>
        <v/>
      </c>
    </row>
    <row r="283" ht="15" customHeight="1" s="24">
      <c r="A283" s="27" t="n">
        <v>424506</v>
      </c>
      <c r="B283" s="27" t="inlineStr">
        <is>
          <t>PGO10424506</t>
        </is>
      </c>
      <c r="C283" s="27" t="n">
        <v>67</v>
      </c>
      <c r="D283" s="27" t="n">
        <v>798</v>
      </c>
      <c r="E283" s="27" t="n">
        <v>155</v>
      </c>
      <c r="F283" s="41" t="n">
        <v>45578.26300972222</v>
      </c>
      <c r="G283" s="41" t="n">
        <v>45578.9208071875</v>
      </c>
      <c r="H283" s="41" t="n">
        <v>45580.13795934027</v>
      </c>
      <c r="I283" s="41" t="n">
        <v>45580.16158555556</v>
      </c>
      <c r="J283" s="41" t="n">
        <v>45581.18394</v>
      </c>
      <c r="K283" s="27" t="inlineStr">
        <is>
          <t>Collected</t>
        </is>
      </c>
      <c r="L283" s="27" t="inlineStr">
        <is>
          <t>Standard</t>
        </is>
      </c>
      <c r="M283" s="27" t="inlineStr">
        <is>
          <t>Western Cape</t>
        </is>
      </c>
      <c r="N283" s="27" t="n">
        <v>431.73</v>
      </c>
      <c r="O283" s="27" t="n">
        <v>3.12</v>
      </c>
      <c r="P283" s="27" t="n">
        <v>63.25</v>
      </c>
      <c r="Q283" s="42">
        <f>IF(H283="","",(H283-F283)*24)</f>
        <v/>
      </c>
      <c r="R283" s="42">
        <f>IF(J283="","",(J283-H283)*24)</f>
        <v/>
      </c>
    </row>
    <row r="284" ht="15" customHeight="1" s="24">
      <c r="A284" s="27" t="n">
        <v>431517</v>
      </c>
      <c r="B284" s="27" t="inlineStr">
        <is>
          <t>PGO10431517</t>
        </is>
      </c>
      <c r="C284" s="27" t="n">
        <v>8</v>
      </c>
      <c r="D284" s="27" t="n">
        <v>272</v>
      </c>
      <c r="E284" s="27" t="n">
        <v>55</v>
      </c>
      <c r="F284" s="41" t="n">
        <v>45578.7964542824</v>
      </c>
      <c r="G284" s="41" t="n">
        <v>45579.15189989583</v>
      </c>
      <c r="H284" s="41" t="n">
        <v>45579.62675560185</v>
      </c>
      <c r="I284" s="41" t="n">
        <v>45579.67059784722</v>
      </c>
      <c r="J284" s="41" t="n">
        <v>45579.75754162037</v>
      </c>
      <c r="K284" s="27" t="inlineStr">
        <is>
          <t>Collected</t>
        </is>
      </c>
      <c r="L284" s="27" t="inlineStr">
        <is>
          <t>Standard</t>
        </is>
      </c>
      <c r="M284" s="27" t="inlineStr">
        <is>
          <t>Gauteng</t>
        </is>
      </c>
      <c r="N284" s="27" t="n">
        <v>1481.84</v>
      </c>
      <c r="O284" s="27" t="n">
        <v>1.82</v>
      </c>
      <c r="P284" s="27" t="n">
        <v>58.76</v>
      </c>
      <c r="Q284" s="42">
        <f>IF(H284="","",(H284-F284)*24)</f>
        <v/>
      </c>
      <c r="R284" s="42">
        <f>IF(J284="","",(J284-H284)*24)</f>
        <v/>
      </c>
    </row>
    <row r="285" ht="15" customHeight="1" s="24">
      <c r="A285" s="27" t="n">
        <v>425269</v>
      </c>
      <c r="B285" s="27" t="inlineStr">
        <is>
          <t>PGO10425269</t>
        </is>
      </c>
      <c r="C285" s="27" t="n">
        <v>5</v>
      </c>
      <c r="D285" s="27" t="n">
        <v>987</v>
      </c>
      <c r="E285" s="27" t="n">
        <v>201</v>
      </c>
      <c r="F285" s="41" t="n">
        <v>45579.39287525463</v>
      </c>
      <c r="G285" s="41" t="n">
        <v>45579.74976430555</v>
      </c>
      <c r="H285" s="41" t="n">
        <v>45581.05143430555</v>
      </c>
      <c r="I285" s="41" t="n">
        <v>45581.0584302662</v>
      </c>
      <c r="J285" s="41" t="n">
        <v>45582.55195680555</v>
      </c>
      <c r="K285" s="27" t="inlineStr">
        <is>
          <t>Collected</t>
        </is>
      </c>
      <c r="L285" s="27" t="inlineStr">
        <is>
          <t>Standard</t>
        </is>
      </c>
      <c r="M285" s="27" t="inlineStr">
        <is>
          <t>KwaZulu-Natal</t>
        </is>
      </c>
      <c r="N285" s="27" t="n">
        <v>193.28</v>
      </c>
      <c r="O285" s="27" t="n">
        <v>0.86</v>
      </c>
      <c r="P285" s="27" t="n">
        <v>59.1</v>
      </c>
      <c r="Q285" s="42">
        <f>IF(H285="","",(H285-F285)*24)</f>
        <v/>
      </c>
      <c r="R285" s="42">
        <f>IF(J285="","",(J285-H285)*24)</f>
        <v/>
      </c>
    </row>
    <row r="286" ht="15" customHeight="1" s="24">
      <c r="A286" s="27" t="n">
        <v>404648</v>
      </c>
      <c r="B286" s="27" t="inlineStr">
        <is>
          <t>PGO10404648</t>
        </is>
      </c>
      <c r="C286" s="27" t="n">
        <v>6</v>
      </c>
      <c r="D286" s="27" t="n">
        <v>3856</v>
      </c>
      <c r="E286" s="27" t="n">
        <v>477</v>
      </c>
      <c r="F286" s="41" t="n">
        <v>45579.54978298611</v>
      </c>
      <c r="G286" s="41" t="n">
        <v>45579.70941484954</v>
      </c>
      <c r="H286" s="41" t="n">
        <v>45580.75522627315</v>
      </c>
      <c r="I286" s="41" t="n">
        <v>45580.80950519676</v>
      </c>
      <c r="J286" s="41" t="n">
        <v>45588.25479354167</v>
      </c>
      <c r="K286" s="27" t="inlineStr">
        <is>
          <t>Collected</t>
        </is>
      </c>
      <c r="L286" s="27" t="inlineStr">
        <is>
          <t>Standard</t>
        </is>
      </c>
      <c r="M286" s="27" t="inlineStr">
        <is>
          <t>Gauteng</t>
        </is>
      </c>
      <c r="N286" s="27" t="n">
        <v>339.34</v>
      </c>
      <c r="O286" s="27" t="n">
        <v>3.33</v>
      </c>
      <c r="P286" s="27" t="n">
        <v>39.55</v>
      </c>
      <c r="Q286" s="42">
        <f>IF(H286="","",(H286-F286)*24)</f>
        <v/>
      </c>
      <c r="R286" s="42">
        <f>IF(J286="","",(J286-H286)*24)</f>
        <v/>
      </c>
    </row>
    <row r="287" ht="15" customHeight="1" s="24">
      <c r="A287" s="27" t="n">
        <v>428556</v>
      </c>
      <c r="B287" s="27" t="inlineStr">
        <is>
          <t>PGO10428556</t>
        </is>
      </c>
      <c r="C287" s="27" t="n">
        <v>3</v>
      </c>
      <c r="D287" s="27" t="n">
        <v>290</v>
      </c>
      <c r="E287" s="27" t="n">
        <v>487</v>
      </c>
      <c r="F287" s="41" t="n">
        <v>45579.7367739699</v>
      </c>
      <c r="G287" s="41" t="n">
        <v>45579.94383608796</v>
      </c>
      <c r="H287" s="41" t="n">
        <v>45580.33368076389</v>
      </c>
      <c r="I287" s="41" t="n">
        <v>45580.35842425926</v>
      </c>
      <c r="J287" s="41" t="n">
        <v>45581.2138128125</v>
      </c>
      <c r="K287" s="27" t="inlineStr">
        <is>
          <t>Collected</t>
        </is>
      </c>
      <c r="L287" s="27" t="inlineStr">
        <is>
          <t>Standard</t>
        </is>
      </c>
      <c r="M287" s="27" t="inlineStr">
        <is>
          <t>Gauteng</t>
        </is>
      </c>
      <c r="N287" s="27" t="n">
        <v>451.66</v>
      </c>
      <c r="O287" s="27" t="n">
        <v>0.25</v>
      </c>
      <c r="P287" s="27" t="n">
        <v>36.89</v>
      </c>
      <c r="Q287" s="42">
        <f>IF(H287="","",(H287-F287)*24)</f>
        <v/>
      </c>
      <c r="R287" s="42">
        <f>IF(J287="","",(J287-H287)*24)</f>
        <v/>
      </c>
    </row>
    <row r="288" ht="15" customHeight="1" s="24">
      <c r="A288" s="27" t="n">
        <v>421044</v>
      </c>
      <c r="B288" s="27" t="inlineStr">
        <is>
          <t>PGO10421044</t>
        </is>
      </c>
      <c r="C288" s="27" t="n">
        <v>2</v>
      </c>
      <c r="D288" s="27" t="n">
        <v>3401</v>
      </c>
      <c r="E288" s="27" t="n">
        <v>105</v>
      </c>
      <c r="F288" s="41" t="n">
        <v>45579.80001512732</v>
      </c>
      <c r="G288" s="41" t="n">
        <v>45579.89520059028</v>
      </c>
      <c r="H288" s="41" t="n">
        <v>45580.38533606481</v>
      </c>
      <c r="I288" s="41" t="n">
        <v>45580.43135975694</v>
      </c>
      <c r="J288" s="41" t="n">
        <v>45581.82312946759</v>
      </c>
      <c r="K288" s="27" t="inlineStr">
        <is>
          <t>Collected</t>
        </is>
      </c>
      <c r="L288" s="27" t="inlineStr">
        <is>
          <t>Express</t>
        </is>
      </c>
      <c r="M288" s="27" t="inlineStr">
        <is>
          <t>Gauteng</t>
        </is>
      </c>
      <c r="N288" s="27" t="n">
        <v>416.66</v>
      </c>
      <c r="O288" s="27" t="n">
        <v>0.46</v>
      </c>
      <c r="P288" s="27" t="n">
        <v>48.8</v>
      </c>
      <c r="Q288" s="42">
        <f>IF(H288="","",(H288-F288)*24)</f>
        <v/>
      </c>
      <c r="R288" s="42">
        <f>IF(J288="","",(J288-H288)*24)</f>
        <v/>
      </c>
    </row>
    <row r="289" ht="15" customHeight="1" s="24">
      <c r="A289" s="27" t="n">
        <v>425976</v>
      </c>
      <c r="B289" s="27" t="inlineStr">
        <is>
          <t>PGO10425976</t>
        </is>
      </c>
      <c r="C289" s="27" t="n">
        <v>7</v>
      </c>
      <c r="D289" s="27" t="n">
        <v>2810</v>
      </c>
      <c r="E289" s="27" t="n">
        <v>246</v>
      </c>
      <c r="F289" s="41" t="n">
        <v>45579.82035476852</v>
      </c>
      <c r="G289" s="41" t="n">
        <v>45579.9582883912</v>
      </c>
      <c r="H289" s="41" t="n">
        <v>45580.26461121528</v>
      </c>
      <c r="I289" s="41" t="n">
        <v>45580.2824233912</v>
      </c>
      <c r="J289" s="41" t="n">
        <v>45580.639323125</v>
      </c>
      <c r="K289" s="27" t="inlineStr">
        <is>
          <t>Collected</t>
        </is>
      </c>
      <c r="L289" s="27" t="inlineStr">
        <is>
          <t>Return-to-Retailer</t>
        </is>
      </c>
      <c r="M289" s="27" t="inlineStr">
        <is>
          <t>KwaZulu-Natal</t>
        </is>
      </c>
      <c r="N289" s="27" t="n">
        <v>320.17</v>
      </c>
      <c r="O289" s="27" t="n">
        <v>0.28</v>
      </c>
      <c r="P289" s="27" t="n">
        <v>49.46</v>
      </c>
      <c r="Q289" s="42">
        <f>IF(H289="","",(H289-F289)*24)</f>
        <v/>
      </c>
      <c r="R289" s="42">
        <f>IF(J289="","",(J289-H289)*24)</f>
        <v/>
      </c>
    </row>
    <row r="290" ht="15" customHeight="1" s="24">
      <c r="A290" s="27" t="n">
        <v>418973</v>
      </c>
      <c r="B290" s="27" t="inlineStr">
        <is>
          <t>PGO10418973</t>
        </is>
      </c>
      <c r="C290" s="27" t="n">
        <v>49</v>
      </c>
      <c r="D290" s="27" t="n">
        <v>3491</v>
      </c>
      <c r="E290" s="27" t="n">
        <v>72</v>
      </c>
      <c r="F290" s="41" t="n">
        <v>45580.50553579861</v>
      </c>
      <c r="G290" s="41" t="n">
        <v>45580.92249133102</v>
      </c>
      <c r="H290" s="41" t="n">
        <v>45581.42802244213</v>
      </c>
      <c r="I290" s="41" t="n">
        <v>45581.49003038194</v>
      </c>
      <c r="J290" s="41" t="n">
        <v>45582.18383376158</v>
      </c>
      <c r="K290" s="27" t="inlineStr">
        <is>
          <t>Collected</t>
        </is>
      </c>
      <c r="L290" s="27" t="inlineStr">
        <is>
          <t>Standard</t>
        </is>
      </c>
      <c r="M290" s="27" t="inlineStr">
        <is>
          <t>Eastern Cape</t>
        </is>
      </c>
      <c r="N290" s="27" t="n">
        <v>63.65</v>
      </c>
      <c r="O290" s="27" t="n">
        <v>1.6</v>
      </c>
      <c r="P290" s="27" t="n">
        <v>64.04000000000001</v>
      </c>
      <c r="Q290" s="42">
        <f>IF(H290="","",(H290-F290)*24)</f>
        <v/>
      </c>
      <c r="R290" s="42">
        <f>IF(J290="","",(J290-H290)*24)</f>
        <v/>
      </c>
    </row>
    <row r="291" ht="15" customHeight="1" s="24">
      <c r="A291" s="27" t="n">
        <v>416682</v>
      </c>
      <c r="B291" s="27" t="inlineStr">
        <is>
          <t>PGO10416682</t>
        </is>
      </c>
      <c r="C291" s="27" t="n">
        <v>6</v>
      </c>
      <c r="D291" s="27" t="n">
        <v>423</v>
      </c>
      <c r="E291" s="27" t="n">
        <v>417</v>
      </c>
      <c r="F291" s="41" t="n">
        <v>45584.5833937037</v>
      </c>
      <c r="G291" s="41" t="n">
        <v>45584.92603917824</v>
      </c>
      <c r="H291" s="41" t="n">
        <v>45586.73387568287</v>
      </c>
      <c r="I291" s="41" t="n">
        <v>45586.79113199074</v>
      </c>
      <c r="J291" s="41" t="n">
        <v>45590.51996831018</v>
      </c>
      <c r="K291" s="27" t="inlineStr">
        <is>
          <t>Collected</t>
        </is>
      </c>
      <c r="L291" s="27" t="inlineStr">
        <is>
          <t>Standard</t>
        </is>
      </c>
      <c r="M291" s="27" t="inlineStr">
        <is>
          <t>Limpopo</t>
        </is>
      </c>
      <c r="N291" s="27" t="n">
        <v>710.02</v>
      </c>
      <c r="O291" s="27" t="n">
        <v>0.7</v>
      </c>
      <c r="P291" s="27" t="n">
        <v>40.4</v>
      </c>
      <c r="Q291" s="42">
        <f>IF(H291="","",(H291-F291)*24)</f>
        <v/>
      </c>
      <c r="R291" s="42">
        <f>IF(J291="","",(J291-H291)*24)</f>
        <v/>
      </c>
    </row>
    <row r="292" ht="15" customHeight="1" s="24">
      <c r="A292" s="27" t="n">
        <v>409241</v>
      </c>
      <c r="B292" s="27" t="inlineStr">
        <is>
          <t>PGO10409241</t>
        </is>
      </c>
      <c r="C292" s="27" t="n">
        <v>13</v>
      </c>
      <c r="D292" s="27" t="n">
        <v>2845</v>
      </c>
      <c r="E292" s="27" t="n">
        <v>206</v>
      </c>
      <c r="F292" s="41" t="n">
        <v>45585.36153452547</v>
      </c>
      <c r="G292" s="41" t="n">
        <v>45585.55471849537</v>
      </c>
      <c r="H292" s="41" t="n">
        <v>45586.80293</v>
      </c>
      <c r="I292" s="41" t="n">
        <v>45586.84484872685</v>
      </c>
      <c r="J292" s="41" t="n">
        <v>45590.42087782407</v>
      </c>
      <c r="K292" s="27" t="inlineStr">
        <is>
          <t>Collected</t>
        </is>
      </c>
      <c r="L292" s="27" t="inlineStr">
        <is>
          <t>Standard</t>
        </is>
      </c>
      <c r="M292" s="27" t="inlineStr">
        <is>
          <t>Eastern Cape</t>
        </is>
      </c>
      <c r="N292" s="27" t="n">
        <v>241.43</v>
      </c>
      <c r="O292" s="27" t="n">
        <v>0.44</v>
      </c>
      <c r="P292" s="27" t="n">
        <v>66.31</v>
      </c>
      <c r="Q292" s="42">
        <f>IF(H292="","",(H292-F292)*24)</f>
        <v/>
      </c>
      <c r="R292" s="42">
        <f>IF(J292="","",(J292-H292)*24)</f>
        <v/>
      </c>
    </row>
    <row r="293" ht="15" customHeight="1" s="24">
      <c r="A293" s="27" t="n">
        <v>409046</v>
      </c>
      <c r="B293" s="27" t="inlineStr">
        <is>
          <t>PGO10409046</t>
        </is>
      </c>
      <c r="C293" s="27" t="n">
        <v>3</v>
      </c>
      <c r="D293" s="27" t="n">
        <v>1657</v>
      </c>
      <c r="E293" s="27" t="n">
        <v>39</v>
      </c>
      <c r="F293" s="41" t="n">
        <v>45592.62610314815</v>
      </c>
      <c r="G293" s="41" t="n">
        <v>45592.95912628472</v>
      </c>
      <c r="H293" s="41" t="n">
        <v>45593.75208413194</v>
      </c>
      <c r="I293" s="41" t="n">
        <v>45593.80512366898</v>
      </c>
      <c r="J293" s="41" t="n">
        <v>45594.03373486111</v>
      </c>
      <c r="K293" s="27" t="inlineStr">
        <is>
          <t>Collected</t>
        </is>
      </c>
      <c r="L293" s="27" t="inlineStr">
        <is>
          <t>Standard</t>
        </is>
      </c>
      <c r="M293" s="27" t="inlineStr">
        <is>
          <t>Gauteng</t>
        </is>
      </c>
      <c r="N293" s="27" t="n">
        <v>654.87</v>
      </c>
      <c r="O293" s="27" t="n">
        <v>0.8</v>
      </c>
      <c r="P293" s="27" t="n">
        <v>40.39</v>
      </c>
      <c r="Q293" s="42">
        <f>IF(H293="","",(H293-F293)*24)</f>
        <v/>
      </c>
      <c r="R293" s="42">
        <f>IF(J293="","",(J293-H293)*24)</f>
        <v/>
      </c>
    </row>
    <row r="294" ht="15" customHeight="1" s="24">
      <c r="A294" s="27" t="n">
        <v>406242</v>
      </c>
      <c r="B294" s="27" t="inlineStr">
        <is>
          <t>PGO10406242</t>
        </is>
      </c>
      <c r="C294" s="27" t="n">
        <v>92</v>
      </c>
      <c r="D294" s="27" t="n">
        <v>203</v>
      </c>
      <c r="E294" s="27" t="n">
        <v>152</v>
      </c>
      <c r="F294" s="41" t="n">
        <v>45595.249606875</v>
      </c>
      <c r="G294" s="41" t="n">
        <v>45595.26733914352</v>
      </c>
      <c r="H294" s="41" t="n">
        <v>45596.13861515046</v>
      </c>
      <c r="I294" s="41" t="n">
        <v>45596.16642454861</v>
      </c>
      <c r="J294" s="41" t="n">
        <v>45596.24940310185</v>
      </c>
      <c r="K294" s="27" t="inlineStr">
        <is>
          <t>Collected</t>
        </is>
      </c>
      <c r="L294" s="27" t="inlineStr">
        <is>
          <t>Standard</t>
        </is>
      </c>
      <c r="M294" s="27" t="inlineStr">
        <is>
          <t>Mpumalanga</t>
        </is>
      </c>
      <c r="N294" s="27" t="n">
        <v>160.09</v>
      </c>
      <c r="O294" s="27" t="n">
        <v>0.64</v>
      </c>
      <c r="P294" s="27" t="n">
        <v>59.61</v>
      </c>
      <c r="Q294" s="42">
        <f>IF(H294="","",(H294-F294)*24)</f>
        <v/>
      </c>
      <c r="R294" s="42">
        <f>IF(J294="","",(J294-H294)*24)</f>
        <v/>
      </c>
    </row>
    <row r="295" ht="15" customHeight="1" s="24">
      <c r="A295" s="27" t="n">
        <v>417764</v>
      </c>
      <c r="B295" s="27" t="inlineStr">
        <is>
          <t>PGO10417764</t>
        </is>
      </c>
      <c r="C295" s="27" t="n">
        <v>9</v>
      </c>
      <c r="D295" s="27" t="n">
        <v>780</v>
      </c>
      <c r="E295" s="27" t="n">
        <v>5</v>
      </c>
      <c r="F295" s="41" t="n">
        <v>45597.05228334491</v>
      </c>
      <c r="G295" s="41" t="n">
        <v>45597.64478805556</v>
      </c>
      <c r="H295" s="41" t="n">
        <v>45598.49987516204</v>
      </c>
      <c r="I295" s="41" t="n">
        <v>45598.51021901621</v>
      </c>
      <c r="J295" s="41" t="n">
        <v>45602.51712805556</v>
      </c>
      <c r="K295" s="27" t="inlineStr">
        <is>
          <t>Collected</t>
        </is>
      </c>
      <c r="L295" s="27" t="inlineStr">
        <is>
          <t>Standard</t>
        </is>
      </c>
      <c r="M295" s="27" t="inlineStr">
        <is>
          <t>Gauteng</t>
        </is>
      </c>
      <c r="N295" s="27" t="n">
        <v>287.83</v>
      </c>
      <c r="O295" s="27" t="n">
        <v>2.2</v>
      </c>
      <c r="P295" s="27" t="n">
        <v>57.64</v>
      </c>
      <c r="Q295" s="42">
        <f>IF(H295="","",(H295-F295)*24)</f>
        <v/>
      </c>
      <c r="R295" s="42">
        <f>IF(J295="","",(J295-H295)*24)</f>
        <v/>
      </c>
    </row>
    <row r="296" ht="15" customHeight="1" s="24">
      <c r="A296" s="27" t="n">
        <v>405025</v>
      </c>
      <c r="B296" s="27" t="inlineStr">
        <is>
          <t>PGO10405025</t>
        </is>
      </c>
      <c r="C296" s="27" t="n">
        <v>64</v>
      </c>
      <c r="D296" s="27" t="n">
        <v>2108</v>
      </c>
      <c r="E296" s="27" t="n">
        <v>156</v>
      </c>
      <c r="F296" s="41" t="n">
        <v>45597.35037935185</v>
      </c>
      <c r="G296" s="41" t="n">
        <v>45598.28345327546</v>
      </c>
      <c r="H296" s="41" t="n">
        <v>45598.86504241898</v>
      </c>
      <c r="I296" s="41" t="n">
        <v>45598.92312717593</v>
      </c>
      <c r="J296" s="41" t="n">
        <v>45599.5849633912</v>
      </c>
      <c r="K296" s="27" t="inlineStr">
        <is>
          <t>Collected</t>
        </is>
      </c>
      <c r="L296" s="27" t="inlineStr">
        <is>
          <t>Return-to-Retailer</t>
        </is>
      </c>
      <c r="M296" s="27" t="inlineStr">
        <is>
          <t>Mpumalanga</t>
        </is>
      </c>
      <c r="N296" s="27" t="n">
        <v>1712.74</v>
      </c>
      <c r="O296" s="27" t="n">
        <v>4.21</v>
      </c>
      <c r="P296" s="27" t="n">
        <v>67.42</v>
      </c>
      <c r="Q296" s="42">
        <f>IF(H296="","",(H296-F296)*24)</f>
        <v/>
      </c>
      <c r="R296" s="42">
        <f>IF(J296="","",(J296-H296)*24)</f>
        <v/>
      </c>
    </row>
    <row r="297" ht="15" customHeight="1" s="24">
      <c r="A297" s="27" t="n">
        <v>437652</v>
      </c>
      <c r="B297" s="27" t="inlineStr">
        <is>
          <t>PGO10437652</t>
        </is>
      </c>
      <c r="C297" s="27" t="n">
        <v>18</v>
      </c>
      <c r="D297" s="27" t="n">
        <v>133</v>
      </c>
      <c r="E297" s="27" t="n">
        <v>113</v>
      </c>
      <c r="F297" s="41" t="n">
        <v>45597.67664984953</v>
      </c>
      <c r="G297" s="41" t="n">
        <v>45597.71132484954</v>
      </c>
      <c r="H297" s="41" t="n">
        <v>45598.32147353009</v>
      </c>
      <c r="I297" s="41" t="n">
        <v>45598.32800346065</v>
      </c>
      <c r="J297" s="41" t="n">
        <v>45599.74576502315</v>
      </c>
      <c r="K297" s="27" t="inlineStr">
        <is>
          <t>Collected</t>
        </is>
      </c>
      <c r="L297" s="27" t="inlineStr">
        <is>
          <t>Standard</t>
        </is>
      </c>
      <c r="M297" s="27" t="inlineStr">
        <is>
          <t>Gauteng</t>
        </is>
      </c>
      <c r="N297" s="27" t="n">
        <v>96.55</v>
      </c>
      <c r="O297" s="27" t="n">
        <v>2.17</v>
      </c>
      <c r="P297" s="27" t="n">
        <v>42.72</v>
      </c>
      <c r="Q297" s="42">
        <f>IF(H297="","",(H297-F297)*24)</f>
        <v/>
      </c>
      <c r="R297" s="42">
        <f>IF(J297="","",(J297-H297)*24)</f>
        <v/>
      </c>
    </row>
    <row r="298" ht="15" customHeight="1" s="24">
      <c r="A298" s="27" t="n">
        <v>482487</v>
      </c>
      <c r="B298" s="27" t="inlineStr">
        <is>
          <t>PGO10482487</t>
        </is>
      </c>
      <c r="C298" s="27" t="n">
        <v>89</v>
      </c>
      <c r="D298" s="27" t="n">
        <v>3695</v>
      </c>
      <c r="E298" s="27" t="n">
        <v>462</v>
      </c>
      <c r="F298" s="41" t="n">
        <v>45600.16203295139</v>
      </c>
      <c r="G298" s="41" t="n">
        <v>45600.34939011574</v>
      </c>
      <c r="H298" s="41" t="n">
        <v>45601.033555625</v>
      </c>
      <c r="I298" s="41" t="n">
        <v>45601.04345873842</v>
      </c>
      <c r="J298" s="41" t="n">
        <v>45603.34821708333</v>
      </c>
      <c r="K298" s="27" t="inlineStr">
        <is>
          <t>Collected</t>
        </is>
      </c>
      <c r="L298" s="27" t="inlineStr">
        <is>
          <t>Standard</t>
        </is>
      </c>
      <c r="M298" s="27" t="inlineStr">
        <is>
          <t>Western Cape</t>
        </is>
      </c>
      <c r="N298" s="27" t="n">
        <v>227.89</v>
      </c>
      <c r="O298" s="27" t="n">
        <v>3.34</v>
      </c>
      <c r="P298" s="27" t="n">
        <v>64.73</v>
      </c>
      <c r="Q298" s="42">
        <f>IF(H298="","",(H298-F298)*24)</f>
        <v/>
      </c>
      <c r="R298" s="42">
        <f>IF(J298="","",(J298-H298)*24)</f>
        <v/>
      </c>
    </row>
    <row r="299" ht="15" customHeight="1" s="24">
      <c r="A299" s="27" t="n">
        <v>453692</v>
      </c>
      <c r="B299" s="27" t="inlineStr">
        <is>
          <t>PGO10453692</t>
        </is>
      </c>
      <c r="C299" s="27" t="n">
        <v>2</v>
      </c>
      <c r="D299" s="27" t="n">
        <v>552</v>
      </c>
      <c r="E299" s="27" t="n">
        <v>312</v>
      </c>
      <c r="F299" s="41" t="n">
        <v>45600.35871914352</v>
      </c>
      <c r="G299" s="41" t="n">
        <v>45600.88593576389</v>
      </c>
      <c r="H299" s="41" t="n">
        <v>45601.22870903935</v>
      </c>
      <c r="I299" s="41" t="n">
        <v>45601.23754796296</v>
      </c>
      <c r="J299" s="41" t="n">
        <v>45603.86340296296</v>
      </c>
      <c r="K299" s="27" t="inlineStr">
        <is>
          <t>Collected</t>
        </is>
      </c>
      <c r="L299" s="27" t="inlineStr">
        <is>
          <t>Express</t>
        </is>
      </c>
      <c r="M299" s="27" t="inlineStr">
        <is>
          <t>Western Cape</t>
        </is>
      </c>
      <c r="N299" s="27" t="n">
        <v>81.39</v>
      </c>
      <c r="O299" s="27" t="n">
        <v>0.54</v>
      </c>
      <c r="P299" s="27" t="n">
        <v>51.34</v>
      </c>
      <c r="Q299" s="42">
        <f>IF(H299="","",(H299-F299)*24)</f>
        <v/>
      </c>
      <c r="R299" s="42">
        <f>IF(J299="","",(J299-H299)*24)</f>
        <v/>
      </c>
    </row>
    <row r="300" ht="15" customHeight="1" s="24">
      <c r="A300" s="27" t="n">
        <v>440400</v>
      </c>
      <c r="B300" s="27" t="inlineStr">
        <is>
          <t>PGO10440400</t>
        </is>
      </c>
      <c r="C300" s="27" t="n">
        <v>27</v>
      </c>
      <c r="D300" s="27" t="n">
        <v>2367</v>
      </c>
      <c r="E300" s="27" t="n">
        <v>287</v>
      </c>
      <c r="F300" s="41" t="n">
        <v>45601.62168810186</v>
      </c>
      <c r="G300" s="41" t="n">
        <v>45601.89924961806</v>
      </c>
      <c r="H300" s="41" t="n">
        <v>45602.95230155093</v>
      </c>
      <c r="I300" s="41" t="n">
        <v>45602.96354898148</v>
      </c>
      <c r="J300" s="41" t="n">
        <v>45603.71586756944</v>
      </c>
      <c r="K300" s="27" t="inlineStr">
        <is>
          <t>Collected</t>
        </is>
      </c>
      <c r="L300" s="27" t="inlineStr">
        <is>
          <t>Standard</t>
        </is>
      </c>
      <c r="M300" s="27" t="inlineStr">
        <is>
          <t>Limpopo</t>
        </is>
      </c>
      <c r="N300" s="27" t="n">
        <v>148.98</v>
      </c>
      <c r="O300" s="27" t="n">
        <v>4.87</v>
      </c>
      <c r="P300" s="27" t="n">
        <v>59.3</v>
      </c>
      <c r="Q300" s="42">
        <f>IF(H300="","",(H300-F300)*24)</f>
        <v/>
      </c>
      <c r="R300" s="42">
        <f>IF(J300="","",(J300-H300)*24)</f>
        <v/>
      </c>
    </row>
    <row r="301" ht="15" customHeight="1" s="24">
      <c r="A301" s="27" t="n">
        <v>451875</v>
      </c>
      <c r="B301" s="27" t="inlineStr">
        <is>
          <t>PGO10451875</t>
        </is>
      </c>
      <c r="C301" s="27" t="n">
        <v>2</v>
      </c>
      <c r="D301" s="27" t="n">
        <v>2012</v>
      </c>
      <c r="E301" s="27" t="n">
        <v>427</v>
      </c>
      <c r="F301" s="41" t="n">
        <v>45602.06021231481</v>
      </c>
      <c r="G301" s="41" t="n">
        <v>45602.16789222222</v>
      </c>
      <c r="H301" s="41" t="n">
        <v>45602.99955311343</v>
      </c>
      <c r="I301" s="41" t="n">
        <v>45603.03698364583</v>
      </c>
      <c r="J301" s="41" t="n">
        <v>45603.69651763889</v>
      </c>
      <c r="K301" s="27" t="inlineStr">
        <is>
          <t>Collected</t>
        </is>
      </c>
      <c r="L301" s="27" t="inlineStr">
        <is>
          <t>Standard</t>
        </is>
      </c>
      <c r="M301" s="27" t="inlineStr">
        <is>
          <t>Western Cape</t>
        </is>
      </c>
      <c r="N301" s="27" t="n">
        <v>109.79</v>
      </c>
      <c r="O301" s="27" t="n">
        <v>1</v>
      </c>
      <c r="P301" s="27" t="n">
        <v>52.13</v>
      </c>
      <c r="Q301" s="42">
        <f>IF(H301="","",(H301-F301)*24)</f>
        <v/>
      </c>
      <c r="R301" s="42">
        <f>IF(J301="","",(J301-H301)*24)</f>
        <v/>
      </c>
    </row>
    <row r="302" ht="15" customHeight="1" s="24">
      <c r="A302" s="27" t="n">
        <v>447032</v>
      </c>
      <c r="B302" s="27" t="inlineStr">
        <is>
          <t>PGO10447032</t>
        </is>
      </c>
      <c r="C302" s="27" t="n">
        <v>18</v>
      </c>
      <c r="D302" s="27" t="n">
        <v>64</v>
      </c>
      <c r="E302" s="27" t="n">
        <v>17</v>
      </c>
      <c r="F302" s="41" t="n">
        <v>45602.5132762037</v>
      </c>
      <c r="G302" s="41" t="n">
        <v>45602.88157665509</v>
      </c>
      <c r="H302" s="41" t="n">
        <v>45603.70825412037</v>
      </c>
      <c r="I302" s="41" t="n">
        <v>45603.75101592593</v>
      </c>
      <c r="J302" s="41" t="n">
        <v>45606.26738799769</v>
      </c>
      <c r="K302" s="27" t="inlineStr">
        <is>
          <t>Collected</t>
        </is>
      </c>
      <c r="L302" s="27" t="inlineStr">
        <is>
          <t>Standard</t>
        </is>
      </c>
      <c r="M302" s="27" t="inlineStr">
        <is>
          <t>Gauteng</t>
        </is>
      </c>
      <c r="N302" s="27" t="n">
        <v>890.83</v>
      </c>
      <c r="O302" s="27" t="n">
        <v>0.44</v>
      </c>
      <c r="P302" s="27" t="n">
        <v>42.92</v>
      </c>
      <c r="Q302" s="42">
        <f>IF(H302="","",(H302-F302)*24)</f>
        <v/>
      </c>
      <c r="R302" s="42">
        <f>IF(J302="","",(J302-H302)*24)</f>
        <v/>
      </c>
    </row>
    <row r="303" ht="15" customHeight="1" s="24">
      <c r="A303" s="27" t="n">
        <v>478670</v>
      </c>
      <c r="B303" s="27" t="inlineStr">
        <is>
          <t>PGO10478670</t>
        </is>
      </c>
      <c r="C303" s="27" t="n">
        <v>1</v>
      </c>
      <c r="D303" s="27" t="n">
        <v>3907</v>
      </c>
      <c r="E303" s="27" t="n">
        <v>59</v>
      </c>
      <c r="F303" s="41" t="n">
        <v>45602.80511326389</v>
      </c>
      <c r="G303" s="41" t="n">
        <v>45602.98567350695</v>
      </c>
      <c r="H303" s="41" t="n">
        <v>45603.69072693287</v>
      </c>
      <c r="I303" s="41" t="n">
        <v>45603.71983988426</v>
      </c>
      <c r="J303" s="41" t="n">
        <v>45604.31007590278</v>
      </c>
      <c r="K303" s="27" t="inlineStr">
        <is>
          <t>Collected</t>
        </is>
      </c>
      <c r="L303" s="27" t="inlineStr">
        <is>
          <t>Standard</t>
        </is>
      </c>
      <c r="M303" s="27" t="inlineStr">
        <is>
          <t>KwaZulu-Natal</t>
        </is>
      </c>
      <c r="N303" s="27" t="n">
        <v>401.9</v>
      </c>
      <c r="O303" s="27" t="n">
        <v>2.18</v>
      </c>
      <c r="P303" s="27" t="n">
        <v>47.45</v>
      </c>
      <c r="Q303" s="42">
        <f>IF(H303="","",(H303-F303)*24)</f>
        <v/>
      </c>
      <c r="R303" s="42">
        <f>IF(J303="","",(J303-H303)*24)</f>
        <v/>
      </c>
    </row>
    <row r="304" ht="15" customHeight="1" s="24">
      <c r="A304" s="27" t="n">
        <v>473756</v>
      </c>
      <c r="B304" s="27" t="inlineStr">
        <is>
          <t>PGO10473756</t>
        </is>
      </c>
      <c r="C304" s="27" t="n">
        <v>143</v>
      </c>
      <c r="D304" s="27" t="n">
        <v>731</v>
      </c>
      <c r="E304" s="27" t="n">
        <v>396</v>
      </c>
      <c r="F304" s="41" t="n">
        <v>45603.04519292824</v>
      </c>
      <c r="G304" s="41" t="n">
        <v>45603.23631230324</v>
      </c>
      <c r="H304" s="41" t="n">
        <v>45604.21800074074</v>
      </c>
      <c r="I304" s="41" t="n">
        <v>45604.26664850694</v>
      </c>
      <c r="J304" s="41" t="n">
        <v>45605.6126249537</v>
      </c>
      <c r="K304" s="27" t="inlineStr">
        <is>
          <t>Collected</t>
        </is>
      </c>
      <c r="L304" s="27" t="inlineStr">
        <is>
          <t>Standard</t>
        </is>
      </c>
      <c r="M304" s="27" t="inlineStr">
        <is>
          <t>Mpumalanga</t>
        </is>
      </c>
      <c r="N304" s="27" t="n">
        <v>579.9299999999999</v>
      </c>
      <c r="O304" s="27" t="n">
        <v>0.46</v>
      </c>
      <c r="P304" s="27" t="n">
        <v>54.27</v>
      </c>
      <c r="Q304" s="42">
        <f>IF(H304="","",(H304-F304)*24)</f>
        <v/>
      </c>
      <c r="R304" s="42">
        <f>IF(J304="","",(J304-H304)*24)</f>
        <v/>
      </c>
    </row>
    <row r="305" ht="15" customHeight="1" s="24">
      <c r="A305" s="27" t="n">
        <v>459835</v>
      </c>
      <c r="B305" s="27" t="inlineStr">
        <is>
          <t>PGO10459835</t>
        </is>
      </c>
      <c r="C305" s="27" t="n">
        <v>8</v>
      </c>
      <c r="D305" s="27" t="n">
        <v>2980</v>
      </c>
      <c r="E305" s="27" t="n">
        <v>78</v>
      </c>
      <c r="F305" s="41" t="n">
        <v>45603.2114655787</v>
      </c>
      <c r="G305" s="41" t="n">
        <v>45603.603285625</v>
      </c>
      <c r="H305" s="41" t="n">
        <v>45604.14289040509</v>
      </c>
      <c r="I305" s="41" t="n">
        <v>45604.17284328704</v>
      </c>
      <c r="J305" s="41" t="n">
        <v>45605.84412605324</v>
      </c>
      <c r="K305" s="27" t="inlineStr">
        <is>
          <t>Collected</t>
        </is>
      </c>
      <c r="L305" s="27" t="inlineStr">
        <is>
          <t>Standard</t>
        </is>
      </c>
      <c r="M305" s="27" t="inlineStr">
        <is>
          <t>Gauteng</t>
        </is>
      </c>
      <c r="N305" s="27" t="n">
        <v>494.66</v>
      </c>
      <c r="O305" s="27" t="n">
        <v>0.32</v>
      </c>
      <c r="P305" s="27" t="n">
        <v>55.54</v>
      </c>
      <c r="Q305" s="42">
        <f>IF(H305="","",(H305-F305)*24)</f>
        <v/>
      </c>
      <c r="R305" s="42">
        <f>IF(J305="","",(J305-H305)*24)</f>
        <v/>
      </c>
    </row>
    <row r="306" ht="15" customHeight="1" s="24">
      <c r="A306" s="27" t="n">
        <v>467892</v>
      </c>
      <c r="B306" s="27" t="inlineStr">
        <is>
          <t>PGO10467892</t>
        </is>
      </c>
      <c r="C306" s="27" t="n">
        <v>2</v>
      </c>
      <c r="D306" s="27" t="n">
        <v>1297</v>
      </c>
      <c r="E306" s="27" t="n">
        <v>450</v>
      </c>
      <c r="F306" s="41" t="n">
        <v>45603.34273621528</v>
      </c>
      <c r="G306" s="41" t="n">
        <v>45603.65093077546</v>
      </c>
      <c r="H306" s="41" t="n">
        <v>45604.03578356482</v>
      </c>
      <c r="I306" s="41" t="n">
        <v>45604.05337354167</v>
      </c>
      <c r="J306" s="41" t="n">
        <v>45604.7498816088</v>
      </c>
      <c r="K306" s="27" t="inlineStr">
        <is>
          <t>Collected</t>
        </is>
      </c>
      <c r="L306" s="27" t="inlineStr">
        <is>
          <t>Standard</t>
        </is>
      </c>
      <c r="M306" s="27" t="inlineStr">
        <is>
          <t>Eastern Cape</t>
        </is>
      </c>
      <c r="N306" s="27" t="n">
        <v>318.37</v>
      </c>
      <c r="O306" s="27" t="n">
        <v>0.82</v>
      </c>
      <c r="P306" s="27" t="n">
        <v>47.47</v>
      </c>
      <c r="Q306" s="42">
        <f>IF(H306="","",(H306-F306)*24)</f>
        <v/>
      </c>
      <c r="R306" s="42">
        <f>IF(J306="","",(J306-H306)*24)</f>
        <v/>
      </c>
    </row>
    <row r="307" ht="15" customHeight="1" s="24">
      <c r="A307" s="27" t="n">
        <v>438085</v>
      </c>
      <c r="B307" s="27" t="inlineStr">
        <is>
          <t>PGO10438085</t>
        </is>
      </c>
      <c r="C307" s="27" t="n">
        <v>1</v>
      </c>
      <c r="D307" s="27" t="n">
        <v>909</v>
      </c>
      <c r="E307" s="27" t="n">
        <v>148</v>
      </c>
      <c r="F307" s="41" t="n">
        <v>45604.42754789352</v>
      </c>
      <c r="G307" s="41" t="n">
        <v>45604.64734444444</v>
      </c>
      <c r="H307" s="41" t="n">
        <v>45604.94374577546</v>
      </c>
      <c r="I307" s="41" t="n">
        <v>45604.96914892361</v>
      </c>
      <c r="J307" s="41" t="n">
        <v>45606.49163559028</v>
      </c>
      <c r="K307" s="27" t="inlineStr">
        <is>
          <t>Collected</t>
        </is>
      </c>
      <c r="L307" s="27" t="inlineStr">
        <is>
          <t>Express</t>
        </is>
      </c>
      <c r="M307" s="27" t="inlineStr">
        <is>
          <t>Western Cape</t>
        </is>
      </c>
      <c r="N307" s="27" t="n">
        <v>425.99</v>
      </c>
      <c r="O307" s="27" t="n">
        <v>0.63</v>
      </c>
      <c r="P307" s="27" t="n">
        <v>45.37</v>
      </c>
      <c r="Q307" s="42">
        <f>IF(H307="","",(H307-F307)*24)</f>
        <v/>
      </c>
      <c r="R307" s="42">
        <f>IF(J307="","",(J307-H307)*24)</f>
        <v/>
      </c>
    </row>
    <row r="308" ht="15" customHeight="1" s="24">
      <c r="A308" s="27" t="n">
        <v>445567</v>
      </c>
      <c r="B308" s="27" t="inlineStr">
        <is>
          <t>PGO10445567</t>
        </is>
      </c>
      <c r="C308" s="27" t="n">
        <v>2</v>
      </c>
      <c r="D308" s="27" t="n">
        <v>969</v>
      </c>
      <c r="E308" s="27" t="n">
        <v>270</v>
      </c>
      <c r="F308" s="41" t="n">
        <v>45605.35072121528</v>
      </c>
      <c r="G308" s="41" t="n">
        <v>45605.41412734954</v>
      </c>
      <c r="H308" s="41" t="n">
        <v>45606.60442248842</v>
      </c>
      <c r="I308" s="41" t="n">
        <v>45606.65264422454</v>
      </c>
      <c r="J308" s="41" t="n">
        <v>45607.9671562963</v>
      </c>
      <c r="K308" s="27" t="inlineStr">
        <is>
          <t>Collected</t>
        </is>
      </c>
      <c r="L308" s="27" t="inlineStr">
        <is>
          <t>Standard</t>
        </is>
      </c>
      <c r="M308" s="27" t="inlineStr">
        <is>
          <t>Eastern Cape</t>
        </is>
      </c>
      <c r="N308" s="27" t="n">
        <v>754.9</v>
      </c>
      <c r="O308" s="27" t="n">
        <v>1.29</v>
      </c>
      <c r="P308" s="27" t="n">
        <v>49.62</v>
      </c>
      <c r="Q308" s="42">
        <f>IF(H308="","",(H308-F308)*24)</f>
        <v/>
      </c>
      <c r="R308" s="42">
        <f>IF(J308="","",(J308-H308)*24)</f>
        <v/>
      </c>
    </row>
    <row r="309" ht="15" customHeight="1" s="24">
      <c r="A309" s="27" t="n">
        <v>466608</v>
      </c>
      <c r="B309" s="27" t="inlineStr">
        <is>
          <t>PGO10466608</t>
        </is>
      </c>
      <c r="C309" s="27" t="n">
        <v>84</v>
      </c>
      <c r="D309" s="27" t="n">
        <v>302</v>
      </c>
      <c r="E309" s="27" t="n">
        <v>286</v>
      </c>
      <c r="F309" s="41" t="n">
        <v>45606.4675396875</v>
      </c>
      <c r="G309" s="41" t="n">
        <v>45606.5338722338</v>
      </c>
      <c r="H309" s="41" t="n">
        <v>45607.59584217593</v>
      </c>
      <c r="I309" s="41" t="n">
        <v>45607.63748671296</v>
      </c>
      <c r="J309" s="41" t="n">
        <v>45610.06183458334</v>
      </c>
      <c r="K309" s="27" t="inlineStr">
        <is>
          <t>Collected</t>
        </is>
      </c>
      <c r="L309" s="27" t="inlineStr">
        <is>
          <t>Return-to-Retailer</t>
        </is>
      </c>
      <c r="M309" s="27" t="inlineStr">
        <is>
          <t>Western Cape</t>
        </is>
      </c>
      <c r="N309" s="27" t="n">
        <v>107.22</v>
      </c>
      <c r="O309" s="27" t="n">
        <v>0.82</v>
      </c>
      <c r="P309" s="27" t="n">
        <v>45.39</v>
      </c>
      <c r="Q309" s="42">
        <f>IF(H309="","",(H309-F309)*24)</f>
        <v/>
      </c>
      <c r="R309" s="42">
        <f>IF(J309="","",(J309-H309)*24)</f>
        <v/>
      </c>
    </row>
    <row r="310" ht="15" customHeight="1" s="24">
      <c r="A310" s="27" t="n">
        <v>466768</v>
      </c>
      <c r="B310" s="27" t="inlineStr">
        <is>
          <t>PGO10466768</t>
        </is>
      </c>
      <c r="C310" s="27" t="n">
        <v>17</v>
      </c>
      <c r="D310" s="27" t="n">
        <v>222</v>
      </c>
      <c r="E310" s="27" t="n">
        <v>57</v>
      </c>
      <c r="F310" s="41" t="n">
        <v>45609.14841828703</v>
      </c>
      <c r="G310" s="41" t="n">
        <v>45609.52697400463</v>
      </c>
      <c r="H310" s="41" t="n">
        <v>45610.13173273148</v>
      </c>
      <c r="I310" s="41" t="n">
        <v>45610.13965319444</v>
      </c>
      <c r="J310" s="41" t="n">
        <v>45611.47080881945</v>
      </c>
      <c r="K310" s="27" t="inlineStr">
        <is>
          <t>Collected</t>
        </is>
      </c>
      <c r="L310" s="27" t="inlineStr">
        <is>
          <t>Standard</t>
        </is>
      </c>
      <c r="M310" s="27" t="inlineStr">
        <is>
          <t>KwaZulu-Natal</t>
        </is>
      </c>
      <c r="N310" s="27" t="n">
        <v>127.88</v>
      </c>
      <c r="O310" s="27" t="n"/>
      <c r="P310" s="27" t="n">
        <v>77.84</v>
      </c>
      <c r="Q310" s="42">
        <f>IF(H310="","",(H310-F310)*24)</f>
        <v/>
      </c>
      <c r="R310" s="42">
        <f>IF(J310="","",(J310-H310)*24)</f>
        <v/>
      </c>
    </row>
    <row r="311" ht="15" customHeight="1" s="24">
      <c r="A311" s="27" t="n">
        <v>468791</v>
      </c>
      <c r="B311" s="27" t="inlineStr">
        <is>
          <t>PGO10468791</t>
        </is>
      </c>
      <c r="C311" s="27" t="n">
        <v>7</v>
      </c>
      <c r="D311" s="27" t="n">
        <v>2431</v>
      </c>
      <c r="E311" s="27" t="n">
        <v>455</v>
      </c>
      <c r="F311" s="41" t="n">
        <v>45611.06793938657</v>
      </c>
      <c r="G311" s="41" t="n">
        <v>45611.29198694444</v>
      </c>
      <c r="H311" s="41" t="n">
        <v>45612.06167472222</v>
      </c>
      <c r="I311" s="41" t="n">
        <v>45612.10682887732</v>
      </c>
      <c r="J311" s="41" t="n">
        <v>45612.27081209491</v>
      </c>
      <c r="K311" s="27" t="inlineStr">
        <is>
          <t>Collected</t>
        </is>
      </c>
      <c r="L311" s="27" t="inlineStr">
        <is>
          <t>Return-to-Retailer</t>
        </is>
      </c>
      <c r="M311" s="27" t="inlineStr">
        <is>
          <t>Western Cape</t>
        </is>
      </c>
      <c r="N311" s="27" t="n">
        <v>638.13</v>
      </c>
      <c r="O311" s="27" t="n">
        <v>0.28</v>
      </c>
      <c r="P311" s="27" t="n">
        <v>48.33</v>
      </c>
      <c r="Q311" s="42">
        <f>IF(H311="","",(H311-F311)*24)</f>
        <v/>
      </c>
      <c r="R311" s="42">
        <f>IF(J311="","",(J311-H311)*24)</f>
        <v/>
      </c>
    </row>
    <row r="312" ht="15" customHeight="1" s="24">
      <c r="A312" s="27" t="n">
        <v>486261</v>
      </c>
      <c r="B312" s="27" t="inlineStr">
        <is>
          <t>PGO10486261</t>
        </is>
      </c>
      <c r="C312" s="27" t="n">
        <v>10</v>
      </c>
      <c r="D312" s="27" t="n">
        <v>3613</v>
      </c>
      <c r="E312" s="27" t="n">
        <v>354</v>
      </c>
      <c r="F312" s="41" t="n">
        <v>45611.06881166666</v>
      </c>
      <c r="G312" s="41" t="n">
        <v>45611.25789811343</v>
      </c>
      <c r="H312" s="41" t="n">
        <v>45612.62249248842</v>
      </c>
      <c r="I312" s="41" t="n">
        <v>45612.66539944444</v>
      </c>
      <c r="J312" s="41" t="n">
        <v>45614.62614664352</v>
      </c>
      <c r="K312" s="27" t="inlineStr">
        <is>
          <t>Collected</t>
        </is>
      </c>
      <c r="L312" s="27" t="inlineStr">
        <is>
          <t>Standard</t>
        </is>
      </c>
      <c r="M312" s="27" t="inlineStr">
        <is>
          <t>KwaZulu-Natal</t>
        </is>
      </c>
      <c r="N312" s="27" t="n">
        <v>64.40000000000001</v>
      </c>
      <c r="O312" s="27" t="n">
        <v>2.92</v>
      </c>
      <c r="P312" s="27" t="n">
        <v>62.3</v>
      </c>
      <c r="Q312" s="42">
        <f>IF(H312="","",(H312-F312)*24)</f>
        <v/>
      </c>
      <c r="R312" s="42">
        <f>IF(J312="","",(J312-H312)*24)</f>
        <v/>
      </c>
    </row>
    <row r="313" ht="15" customHeight="1" s="24">
      <c r="A313" s="27" t="n">
        <v>439815</v>
      </c>
      <c r="B313" s="27" t="inlineStr">
        <is>
          <t>PGO10439815</t>
        </is>
      </c>
      <c r="C313" s="27" t="n">
        <v>2</v>
      </c>
      <c r="D313" s="27" t="n">
        <v>2553</v>
      </c>
      <c r="E313" s="27" t="n">
        <v>83</v>
      </c>
      <c r="F313" s="41" t="n">
        <v>45611.18783386574</v>
      </c>
      <c r="G313" s="41" t="n">
        <v>45611.54482258102</v>
      </c>
      <c r="H313" s="41" t="n">
        <v>45612.6209265162</v>
      </c>
      <c r="I313" s="41" t="n">
        <v>45612.62467847222</v>
      </c>
      <c r="J313" s="41" t="n">
        <v>45612.93039129629</v>
      </c>
      <c r="K313" s="27" t="inlineStr">
        <is>
          <t>Collected</t>
        </is>
      </c>
      <c r="L313" s="27" t="inlineStr">
        <is>
          <t>Standard</t>
        </is>
      </c>
      <c r="M313" s="27" t="inlineStr">
        <is>
          <t>KwaZulu-Natal</t>
        </is>
      </c>
      <c r="N313" s="27" t="n">
        <v>47.15</v>
      </c>
      <c r="O313" s="27" t="n">
        <v>1.77</v>
      </c>
      <c r="P313" s="27" t="n">
        <v>49.69</v>
      </c>
      <c r="Q313" s="42">
        <f>IF(H313="","",(H313-F313)*24)</f>
        <v/>
      </c>
      <c r="R313" s="42">
        <f>IF(J313="","",(J313-H313)*24)</f>
        <v/>
      </c>
    </row>
    <row r="314" ht="15" customHeight="1" s="24">
      <c r="A314" s="27" t="n">
        <v>454507</v>
      </c>
      <c r="B314" s="27" t="inlineStr">
        <is>
          <t>PGO10454507</t>
        </is>
      </c>
      <c r="C314" s="27" t="n">
        <v>97</v>
      </c>
      <c r="D314" s="27" t="n">
        <v>1167</v>
      </c>
      <c r="E314" s="27" t="n">
        <v>37</v>
      </c>
      <c r="F314" s="41" t="n">
        <v>45611.54123978009</v>
      </c>
      <c r="G314" s="41" t="n">
        <v>45611.88664327547</v>
      </c>
      <c r="H314" s="41" t="n">
        <v>45612.68569241898</v>
      </c>
      <c r="I314" s="41" t="n">
        <v>45612.70851759259</v>
      </c>
      <c r="J314" s="41" t="n">
        <v>45616.04010503472</v>
      </c>
      <c r="K314" s="27" t="inlineStr">
        <is>
          <t>Collected</t>
        </is>
      </c>
      <c r="L314" s="27" t="inlineStr">
        <is>
          <t>Standard</t>
        </is>
      </c>
      <c r="M314" s="27" t="inlineStr">
        <is>
          <t>Western Cape</t>
        </is>
      </c>
      <c r="N314" s="27" t="n">
        <v>118.69</v>
      </c>
      <c r="O314" s="27" t="n">
        <v>3.37</v>
      </c>
      <c r="P314" s="27" t="n">
        <v>47.2</v>
      </c>
      <c r="Q314" s="42">
        <f>IF(H314="","",(H314-F314)*24)</f>
        <v/>
      </c>
      <c r="R314" s="42">
        <f>IF(J314="","",(J314-H314)*24)</f>
        <v/>
      </c>
    </row>
    <row r="315" ht="15" customHeight="1" s="24">
      <c r="A315" s="27" t="n">
        <v>467901</v>
      </c>
      <c r="B315" s="27" t="inlineStr">
        <is>
          <t>PGO10467901</t>
        </is>
      </c>
      <c r="C315" s="27" t="n">
        <v>1</v>
      </c>
      <c r="D315" s="27" t="n">
        <v>2030</v>
      </c>
      <c r="E315" s="27" t="n">
        <v>441</v>
      </c>
      <c r="F315" s="41" t="n">
        <v>45613.50574137732</v>
      </c>
      <c r="G315" s="41" t="n">
        <v>45613.64681125</v>
      </c>
      <c r="H315" s="41" t="n">
        <v>45614.5749812037</v>
      </c>
      <c r="I315" s="41" t="n">
        <v>45614.58630584491</v>
      </c>
      <c r="J315" s="41" t="n">
        <v>45616.65697290509</v>
      </c>
      <c r="K315" s="27" t="inlineStr">
        <is>
          <t>Collected</t>
        </is>
      </c>
      <c r="L315" s="27" t="inlineStr">
        <is>
          <t>Standard</t>
        </is>
      </c>
      <c r="M315" s="27" t="inlineStr">
        <is>
          <t>Northern Cape</t>
        </is>
      </c>
      <c r="N315" s="27" t="n">
        <v>1963.53</v>
      </c>
      <c r="O315" s="27" t="n">
        <v>1.52</v>
      </c>
      <c r="P315" s="27" t="n">
        <v>46</v>
      </c>
      <c r="Q315" s="42">
        <f>IF(H315="","",(H315-F315)*24)</f>
        <v/>
      </c>
      <c r="R315" s="42">
        <f>IF(J315="","",(J315-H315)*24)</f>
        <v/>
      </c>
    </row>
    <row r="316" ht="15" customHeight="1" s="24">
      <c r="A316" s="27" t="n">
        <v>439820</v>
      </c>
      <c r="B316" s="27" t="inlineStr">
        <is>
          <t>PGO10439820</t>
        </is>
      </c>
      <c r="C316" s="27" t="n">
        <v>1</v>
      </c>
      <c r="D316" s="27" t="n">
        <v>600</v>
      </c>
      <c r="E316" s="27" t="n">
        <v>347</v>
      </c>
      <c r="F316" s="41" t="n">
        <v>45614.26626341435</v>
      </c>
      <c r="G316" s="41" t="n">
        <v>45614.48850880787</v>
      </c>
      <c r="H316" s="41" t="n">
        <v>45615.19771109954</v>
      </c>
      <c r="I316" s="41" t="n">
        <v>45615.21282320602</v>
      </c>
      <c r="J316" s="41" t="n">
        <v>45615.98616925926</v>
      </c>
      <c r="K316" s="27" t="inlineStr">
        <is>
          <t>Collected</t>
        </is>
      </c>
      <c r="L316" s="27" t="inlineStr">
        <is>
          <t>Standard</t>
        </is>
      </c>
      <c r="M316" s="27" t="inlineStr">
        <is>
          <t>Free State</t>
        </is>
      </c>
      <c r="N316" s="27" t="n">
        <v>172.55</v>
      </c>
      <c r="O316" s="27" t="n">
        <v>0.67</v>
      </c>
      <c r="P316" s="27" t="n">
        <v>46.4</v>
      </c>
      <c r="Q316" s="42">
        <f>IF(H316="","",(H316-F316)*24)</f>
        <v/>
      </c>
      <c r="R316" s="42">
        <f>IF(J316="","",(J316-H316)*24)</f>
        <v/>
      </c>
    </row>
    <row r="317" ht="15" customHeight="1" s="24">
      <c r="A317" s="27" t="n">
        <v>479624</v>
      </c>
      <c r="B317" s="27" t="inlineStr">
        <is>
          <t>PGO10479624</t>
        </is>
      </c>
      <c r="C317" s="27" t="n">
        <v>2</v>
      </c>
      <c r="D317" s="27" t="n">
        <v>960</v>
      </c>
      <c r="E317" s="27" t="n">
        <v>492</v>
      </c>
      <c r="F317" s="41" t="n">
        <v>45615.30624799769</v>
      </c>
      <c r="G317" s="41" t="n">
        <v>45615.6026244676</v>
      </c>
      <c r="H317" s="41" t="n">
        <v>45615.77164396991</v>
      </c>
      <c r="I317" s="41" t="n">
        <v>45615.82015263889</v>
      </c>
      <c r="J317" s="41" t="n">
        <v>45616.44501240741</v>
      </c>
      <c r="K317" s="27" t="inlineStr">
        <is>
          <t>Collected</t>
        </is>
      </c>
      <c r="L317" s="27" t="inlineStr">
        <is>
          <t>Standard</t>
        </is>
      </c>
      <c r="M317" s="27" t="inlineStr">
        <is>
          <t>Gauteng</t>
        </is>
      </c>
      <c r="N317" s="27" t="n">
        <v>115.28</v>
      </c>
      <c r="O317" s="27" t="n">
        <v>1.44</v>
      </c>
      <c r="P317" s="27" t="n">
        <v>48.25</v>
      </c>
      <c r="Q317" s="42">
        <f>IF(H317="","",(H317-F317)*24)</f>
        <v/>
      </c>
      <c r="R317" s="42">
        <f>IF(J317="","",(J317-H317)*24)</f>
        <v/>
      </c>
    </row>
    <row r="318" ht="15" customHeight="1" s="24">
      <c r="A318" s="27" t="n">
        <v>434443</v>
      </c>
      <c r="B318" s="27" t="inlineStr">
        <is>
          <t>PGO10434443</t>
        </is>
      </c>
      <c r="C318" s="27" t="n">
        <v>84</v>
      </c>
      <c r="D318" s="27" t="n">
        <v>3815</v>
      </c>
      <c r="E318" s="27" t="n">
        <v>431</v>
      </c>
      <c r="F318" s="41" t="n">
        <v>45615.83604178241</v>
      </c>
      <c r="G318" s="41" t="n">
        <v>45616.13913091435</v>
      </c>
      <c r="H318" s="41" t="n">
        <v>45616.54559819445</v>
      </c>
      <c r="I318" s="41" t="n">
        <v>45616.58577988426</v>
      </c>
      <c r="J318" s="41" t="n">
        <v>45617.1896871412</v>
      </c>
      <c r="K318" s="27" t="inlineStr">
        <is>
          <t>Collected</t>
        </is>
      </c>
      <c r="L318" s="27" t="inlineStr">
        <is>
          <t>Standard</t>
        </is>
      </c>
      <c r="M318" s="27" t="inlineStr">
        <is>
          <t>Mpumalanga</t>
        </is>
      </c>
      <c r="N318" s="27" t="n">
        <v>101.9</v>
      </c>
      <c r="O318" s="27" t="n">
        <v>0.31</v>
      </c>
      <c r="P318" s="27" t="n">
        <v>48.16</v>
      </c>
      <c r="Q318" s="42">
        <f>IF(H318="","",(H318-F318)*24)</f>
        <v/>
      </c>
      <c r="R318" s="42">
        <f>IF(J318="","",(J318-H318)*24)</f>
        <v/>
      </c>
    </row>
    <row r="319" ht="15" customHeight="1" s="24">
      <c r="A319" s="27" t="n">
        <v>474648</v>
      </c>
      <c r="B319" s="27" t="inlineStr">
        <is>
          <t>PGO10474648</t>
        </is>
      </c>
      <c r="C319" s="27" t="n">
        <v>1</v>
      </c>
      <c r="D319" s="27" t="n">
        <v>806</v>
      </c>
      <c r="E319" s="27" t="n">
        <v>291</v>
      </c>
      <c r="F319" s="41" t="n">
        <v>45616.72148144676</v>
      </c>
      <c r="G319" s="41" t="n">
        <v>45616.85039887732</v>
      </c>
      <c r="H319" s="41" t="n">
        <v>45617.73786961805</v>
      </c>
      <c r="I319" s="41" t="n">
        <v>45617.776895</v>
      </c>
      <c r="J319" s="41" t="n">
        <v>45619.09697604167</v>
      </c>
      <c r="K319" s="27" t="inlineStr">
        <is>
          <t>Collected</t>
        </is>
      </c>
      <c r="L319" s="27" t="inlineStr">
        <is>
          <t>Standard</t>
        </is>
      </c>
      <c r="M319" s="27" t="inlineStr">
        <is>
          <t>Gauteng</t>
        </is>
      </c>
      <c r="N319" s="27" t="n">
        <v>733.88</v>
      </c>
      <c r="O319" s="27" t="n">
        <v>0.67</v>
      </c>
      <c r="P319" s="27" t="n">
        <v>44.01</v>
      </c>
      <c r="Q319" s="42">
        <f>IF(H319="","",(H319-F319)*24)</f>
        <v/>
      </c>
      <c r="R319" s="42">
        <f>IF(J319="","",(J319-H319)*24)</f>
        <v/>
      </c>
    </row>
    <row r="320" ht="15" customHeight="1" s="24">
      <c r="A320" s="27" t="n">
        <v>462303</v>
      </c>
      <c r="B320" s="27" t="inlineStr">
        <is>
          <t>PGO10462303</t>
        </is>
      </c>
      <c r="C320" s="27" t="n">
        <v>79</v>
      </c>
      <c r="D320" s="27" t="n">
        <v>2375</v>
      </c>
      <c r="E320" s="27" t="n">
        <v>479</v>
      </c>
      <c r="F320" s="41" t="n">
        <v>45617.64398851852</v>
      </c>
      <c r="G320" s="41" t="n">
        <v>45617.80909982639</v>
      </c>
      <c r="H320" s="41" t="n">
        <v>45618.6589335301</v>
      </c>
      <c r="I320" s="41" t="n">
        <v>45618.69060326389</v>
      </c>
      <c r="J320" s="41" t="n">
        <v>45618.9878640625</v>
      </c>
      <c r="K320" s="27" t="inlineStr">
        <is>
          <t>Collected</t>
        </is>
      </c>
      <c r="L320" s="27" t="inlineStr">
        <is>
          <t>Standard</t>
        </is>
      </c>
      <c r="M320" s="27" t="inlineStr">
        <is>
          <t>Gauteng</t>
        </is>
      </c>
      <c r="N320" s="27" t="n">
        <v>1209.87</v>
      </c>
      <c r="O320" s="27" t="n">
        <v>0.64</v>
      </c>
      <c r="P320" s="27" t="n">
        <v>40.68</v>
      </c>
      <c r="Q320" s="42">
        <f>IF(H320="","",(H320-F320)*24)</f>
        <v/>
      </c>
      <c r="R320" s="42">
        <f>IF(J320="","",(J320-H320)*24)</f>
        <v/>
      </c>
    </row>
    <row r="321" ht="15" customHeight="1" s="24">
      <c r="A321" s="27" t="n">
        <v>484154</v>
      </c>
      <c r="B321" s="27" t="inlineStr">
        <is>
          <t>PGO10484154</t>
        </is>
      </c>
      <c r="C321" s="27" t="n">
        <v>98</v>
      </c>
      <c r="D321" s="27" t="n">
        <v>857</v>
      </c>
      <c r="E321" s="27" t="n">
        <v>131</v>
      </c>
      <c r="F321" s="41" t="n">
        <v>45617.64916261574</v>
      </c>
      <c r="G321" s="41" t="n">
        <v>45617.87274829861</v>
      </c>
      <c r="H321" s="41" t="n">
        <v>45618.4551422338</v>
      </c>
      <c r="I321" s="41" t="n">
        <v>45618.49967453704</v>
      </c>
      <c r="J321" s="41" t="n">
        <v>45619.83278519676</v>
      </c>
      <c r="K321" s="27" t="inlineStr">
        <is>
          <t>Collected</t>
        </is>
      </c>
      <c r="L321" s="27" t="inlineStr">
        <is>
          <t>Standard</t>
        </is>
      </c>
      <c r="M321" s="27" t="inlineStr">
        <is>
          <t>KwaZulu-Natal</t>
        </is>
      </c>
      <c r="N321" s="27" t="n">
        <v>1068.07</v>
      </c>
      <c r="O321" s="27" t="n">
        <v>0.93</v>
      </c>
      <c r="P321" s="27" t="n">
        <v>63.59</v>
      </c>
      <c r="Q321" s="42">
        <f>IF(H321="","",(H321-F321)*24)</f>
        <v/>
      </c>
      <c r="R321" s="42">
        <f>IF(J321="","",(J321-H321)*24)</f>
        <v/>
      </c>
    </row>
    <row r="322" ht="15" customHeight="1" s="24">
      <c r="A322" s="27" t="n">
        <v>455552</v>
      </c>
      <c r="B322" s="27" t="inlineStr">
        <is>
          <t>PGO10455552</t>
        </is>
      </c>
      <c r="C322" s="27" t="n">
        <v>18</v>
      </c>
      <c r="D322" s="27" t="n">
        <v>1292</v>
      </c>
      <c r="E322" s="27" t="n">
        <v>127</v>
      </c>
      <c r="F322" s="41" t="n">
        <v>45619.4693975</v>
      </c>
      <c r="G322" s="41" t="n">
        <v>45619.52338444444</v>
      </c>
      <c r="H322" s="41" t="n">
        <v>45620.07450983796</v>
      </c>
      <c r="I322" s="41" t="n">
        <v>45620.08160564815</v>
      </c>
      <c r="J322" s="41" t="n">
        <v>45622.0469696412</v>
      </c>
      <c r="K322" s="27" t="inlineStr">
        <is>
          <t>Collected</t>
        </is>
      </c>
      <c r="L322" s="27" t="inlineStr">
        <is>
          <t>Express</t>
        </is>
      </c>
      <c r="M322" s="27" t="inlineStr">
        <is>
          <t>Free State</t>
        </is>
      </c>
      <c r="N322" s="27" t="n">
        <v>1399.23</v>
      </c>
      <c r="O322" s="27" t="n">
        <v>4.9</v>
      </c>
      <c r="P322" s="27" t="n">
        <v>42.43</v>
      </c>
      <c r="Q322" s="42">
        <f>IF(H322="","",(H322-F322)*24)</f>
        <v/>
      </c>
      <c r="R322" s="42">
        <f>IF(J322="","",(J322-H322)*24)</f>
        <v/>
      </c>
    </row>
    <row r="323" ht="15" customHeight="1" s="24">
      <c r="A323" s="27" t="n">
        <v>445621</v>
      </c>
      <c r="B323" s="27" t="inlineStr">
        <is>
          <t>PGO10445621</t>
        </is>
      </c>
      <c r="C323" s="27" t="n">
        <v>1</v>
      </c>
      <c r="D323" s="27" t="n">
        <v>3825</v>
      </c>
      <c r="E323" s="27" t="n">
        <v>485</v>
      </c>
      <c r="F323" s="41" t="n">
        <v>45619.81527728009</v>
      </c>
      <c r="G323" s="41" t="n">
        <v>45620.66229150463</v>
      </c>
      <c r="H323" s="41" t="n">
        <v>45622.36938273148</v>
      </c>
      <c r="I323" s="41" t="n">
        <v>45622.39625467593</v>
      </c>
      <c r="J323" s="41" t="n">
        <v>45625.18390157408</v>
      </c>
      <c r="K323" s="27" t="inlineStr">
        <is>
          <t>Collected</t>
        </is>
      </c>
      <c r="L323" s="27" t="inlineStr">
        <is>
          <t>Standard</t>
        </is>
      </c>
      <c r="M323" s="27" t="inlineStr">
        <is>
          <t>KwaZulu-Natal</t>
        </is>
      </c>
      <c r="N323" s="27" t="n">
        <v>98.2</v>
      </c>
      <c r="O323" s="27" t="n">
        <v>0.87</v>
      </c>
      <c r="P323" s="27" t="n">
        <v>47.73</v>
      </c>
      <c r="Q323" s="42">
        <f>IF(H323="","",(H323-F323)*24)</f>
        <v/>
      </c>
      <c r="R323" s="42">
        <f>IF(J323="","",(J323-H323)*24)</f>
        <v/>
      </c>
    </row>
    <row r="324" ht="15" customHeight="1" s="24">
      <c r="A324" s="27" t="n">
        <v>472930</v>
      </c>
      <c r="B324" s="27" t="inlineStr">
        <is>
          <t>PGO10472930</t>
        </is>
      </c>
      <c r="C324" s="27" t="n">
        <v>23</v>
      </c>
      <c r="D324" s="27" t="n">
        <v>2211</v>
      </c>
      <c r="E324" s="27" t="n">
        <v>448</v>
      </c>
      <c r="F324" s="41" t="n">
        <v>45620.25017854167</v>
      </c>
      <c r="G324" s="41" t="n">
        <v>45620.50461429398</v>
      </c>
      <c r="H324" s="41" t="n">
        <v>45621.68941359954</v>
      </c>
      <c r="I324" s="41" t="n">
        <v>45621.73327767361</v>
      </c>
      <c r="J324" s="41" t="n">
        <v>45623.66048028935</v>
      </c>
      <c r="K324" s="27" t="inlineStr">
        <is>
          <t>Collected</t>
        </is>
      </c>
      <c r="L324" s="27" t="inlineStr">
        <is>
          <t>Express</t>
        </is>
      </c>
      <c r="M324" s="27" t="inlineStr">
        <is>
          <t>Gauteng</t>
        </is>
      </c>
      <c r="N324" s="27" t="n">
        <v>587.72</v>
      </c>
      <c r="O324" s="27" t="n">
        <v>1.76</v>
      </c>
      <c r="P324" s="27" t="n">
        <v>49.96</v>
      </c>
      <c r="Q324" s="42">
        <f>IF(H324="","",(H324-F324)*24)</f>
        <v/>
      </c>
      <c r="R324" s="42">
        <f>IF(J324="","",(J324-H324)*24)</f>
        <v/>
      </c>
    </row>
    <row r="325" ht="15" customHeight="1" s="24">
      <c r="A325" s="27" t="n">
        <v>481938</v>
      </c>
      <c r="B325" s="27" t="inlineStr">
        <is>
          <t>PGO10481938</t>
        </is>
      </c>
      <c r="C325" s="27" t="n">
        <v>2</v>
      </c>
      <c r="D325" s="27" t="n">
        <v>2052</v>
      </c>
      <c r="E325" s="27" t="n">
        <v>376</v>
      </c>
      <c r="F325" s="41" t="n">
        <v>45621.69753627315</v>
      </c>
      <c r="G325" s="41" t="n">
        <v>45622.02589547454</v>
      </c>
      <c r="H325" s="41" t="n">
        <v>45622.68780246528</v>
      </c>
      <c r="I325" s="41" t="n">
        <v>45622.6997611574</v>
      </c>
      <c r="J325" s="41" t="n">
        <v>45623.03653078704</v>
      </c>
      <c r="K325" s="27" t="inlineStr">
        <is>
          <t>Collected</t>
        </is>
      </c>
      <c r="L325" s="27" t="inlineStr">
        <is>
          <t>Standard</t>
        </is>
      </c>
      <c r="M325" s="27" t="inlineStr">
        <is>
          <t>Gauteng</t>
        </is>
      </c>
      <c r="N325" s="27" t="n">
        <v>277.21</v>
      </c>
      <c r="O325" s="27" t="n">
        <v>0.55</v>
      </c>
      <c r="P325" s="27" t="n">
        <v>51.28</v>
      </c>
      <c r="Q325" s="42">
        <f>IF(H325="","",(H325-F325)*24)</f>
        <v/>
      </c>
      <c r="R325" s="42">
        <f>IF(J325="","",(J325-H325)*24)</f>
        <v/>
      </c>
    </row>
    <row r="326" ht="15" customHeight="1" s="24">
      <c r="A326" s="27" t="n">
        <v>477064</v>
      </c>
      <c r="B326" s="27" t="inlineStr">
        <is>
          <t>PGO10477064</t>
        </is>
      </c>
      <c r="C326" s="27" t="n">
        <v>2</v>
      </c>
      <c r="D326" s="27" t="n">
        <v>373</v>
      </c>
      <c r="E326" s="27" t="n">
        <v>248</v>
      </c>
      <c r="F326" s="41" t="n">
        <v>45621.87445077546</v>
      </c>
      <c r="G326" s="41" t="n">
        <v>45622.14464146991</v>
      </c>
      <c r="H326" s="41" t="n">
        <v>45623.11009380787</v>
      </c>
      <c r="I326" s="41" t="n">
        <v>45623.14484026621</v>
      </c>
      <c r="J326" s="41" t="n">
        <v>45624.25117202546</v>
      </c>
      <c r="K326" s="27" t="inlineStr">
        <is>
          <t>Collected</t>
        </is>
      </c>
      <c r="L326" s="27" t="inlineStr">
        <is>
          <t>Express</t>
        </is>
      </c>
      <c r="M326" s="27" t="inlineStr">
        <is>
          <t>KwaZulu-Natal</t>
        </is>
      </c>
      <c r="N326" s="27" t="n">
        <v>122.04</v>
      </c>
      <c r="O326" s="27" t="n">
        <v>1.72</v>
      </c>
      <c r="P326" s="27" t="n">
        <v>51.09</v>
      </c>
      <c r="Q326" s="42">
        <f>IF(H326="","",(H326-F326)*24)</f>
        <v/>
      </c>
      <c r="R326" s="42">
        <f>IF(J326="","",(J326-H326)*24)</f>
        <v/>
      </c>
    </row>
    <row r="327" ht="15" customHeight="1" s="24">
      <c r="A327" s="27" t="n">
        <v>489256</v>
      </c>
      <c r="B327" s="27" t="inlineStr">
        <is>
          <t>PGO10489256</t>
        </is>
      </c>
      <c r="C327" s="27" t="n">
        <v>87</v>
      </c>
      <c r="D327" s="27" t="n">
        <v>3486</v>
      </c>
      <c r="E327" s="27" t="n">
        <v>246</v>
      </c>
      <c r="F327" s="41" t="n">
        <v>45623.32884726852</v>
      </c>
      <c r="G327" s="41" t="n">
        <v>45623.61724556713</v>
      </c>
      <c r="H327" s="41" t="n">
        <v>45625.34613521991</v>
      </c>
      <c r="I327" s="41" t="n">
        <v>45625.39856401621</v>
      </c>
      <c r="J327" s="41" t="n">
        <v>45626.9993308912</v>
      </c>
      <c r="K327" s="27" t="inlineStr">
        <is>
          <t>Collected</t>
        </is>
      </c>
      <c r="L327" s="27" t="inlineStr">
        <is>
          <t>Express</t>
        </is>
      </c>
      <c r="M327" s="27" t="inlineStr">
        <is>
          <t>KwaZulu-Natal</t>
        </is>
      </c>
      <c r="N327" s="27" t="n">
        <v>272.28</v>
      </c>
      <c r="O327" s="27" t="n">
        <v>0.7</v>
      </c>
      <c r="P327" s="27" t="n">
        <v>69.33</v>
      </c>
      <c r="Q327" s="42">
        <f>IF(H327="","",(H327-F327)*24)</f>
        <v/>
      </c>
      <c r="R327" s="42">
        <f>IF(J327="","",(J327-H327)*24)</f>
        <v/>
      </c>
    </row>
    <row r="328" ht="15" customHeight="1" s="24">
      <c r="A328" s="27" t="n">
        <v>476289</v>
      </c>
      <c r="B328" s="27" t="inlineStr">
        <is>
          <t>PGO10476289</t>
        </is>
      </c>
      <c r="C328" s="27" t="n">
        <v>34</v>
      </c>
      <c r="D328" s="27" t="n">
        <v>3011</v>
      </c>
      <c r="E328" s="27" t="n">
        <v>114</v>
      </c>
      <c r="F328" s="41" t="n">
        <v>45623.63765146991</v>
      </c>
      <c r="G328" s="41" t="n">
        <v>45623.73477407407</v>
      </c>
      <c r="H328" s="41" t="n">
        <v>45624.80583533565</v>
      </c>
      <c r="I328" s="41" t="n">
        <v>45624.8317940625</v>
      </c>
      <c r="J328" s="41" t="n">
        <v>45625.22249892361</v>
      </c>
      <c r="K328" s="27" t="inlineStr">
        <is>
          <t>Collected</t>
        </is>
      </c>
      <c r="L328" s="27" t="inlineStr">
        <is>
          <t>Standard</t>
        </is>
      </c>
      <c r="M328" s="27" t="inlineStr">
        <is>
          <t>Mpumalanga</t>
        </is>
      </c>
      <c r="N328" s="27" t="n">
        <v>253.03</v>
      </c>
      <c r="O328" s="27" t="n">
        <v>0.5600000000000001</v>
      </c>
      <c r="P328" s="27" t="n">
        <v>53.28</v>
      </c>
      <c r="Q328" s="42">
        <f>IF(H328="","",(H328-F328)*24)</f>
        <v/>
      </c>
      <c r="R328" s="42">
        <f>IF(J328="","",(J328-H328)*24)</f>
        <v/>
      </c>
    </row>
    <row r="329" ht="15" customHeight="1" s="24">
      <c r="A329" s="27" t="n">
        <v>456095</v>
      </c>
      <c r="B329" s="27" t="inlineStr">
        <is>
          <t>PGO10456095</t>
        </is>
      </c>
      <c r="C329" s="27" t="n">
        <v>1</v>
      </c>
      <c r="D329" s="27" t="n">
        <v>2152</v>
      </c>
      <c r="E329" s="27" t="n">
        <v>315</v>
      </c>
      <c r="F329" s="41" t="n">
        <v>45623.65097232639</v>
      </c>
      <c r="G329" s="41" t="n">
        <v>45623.85740582176</v>
      </c>
      <c r="H329" s="41" t="n">
        <v>45624.75505709491</v>
      </c>
      <c r="I329" s="41" t="n">
        <v>45624.81286295139</v>
      </c>
      <c r="J329" s="41" t="n">
        <v>45625.24393680556</v>
      </c>
      <c r="K329" s="27" t="inlineStr">
        <is>
          <t>Collected</t>
        </is>
      </c>
      <c r="L329" s="27" t="inlineStr">
        <is>
          <t>Standard</t>
        </is>
      </c>
      <c r="M329" s="27" t="inlineStr">
        <is>
          <t>Western Cape</t>
        </is>
      </c>
      <c r="N329" s="27" t="n">
        <v>157.15</v>
      </c>
      <c r="O329" s="27" t="n">
        <v>2.89</v>
      </c>
      <c r="P329" s="27" t="n">
        <v>47.11</v>
      </c>
      <c r="Q329" s="42">
        <f>IF(H329="","",(H329-F329)*24)</f>
        <v/>
      </c>
      <c r="R329" s="42">
        <f>IF(J329="","",(J329-H329)*24)</f>
        <v/>
      </c>
    </row>
    <row r="330" ht="15" customHeight="1" s="24">
      <c r="A330" s="27" t="n">
        <v>460021</v>
      </c>
      <c r="B330" s="27" t="inlineStr">
        <is>
          <t>PGO10460021</t>
        </is>
      </c>
      <c r="C330" s="27" t="n">
        <v>11</v>
      </c>
      <c r="D330" s="27" t="n">
        <v>1628</v>
      </c>
      <c r="E330" s="27" t="n">
        <v>170</v>
      </c>
      <c r="F330" s="41" t="n">
        <v>45623.85499898148</v>
      </c>
      <c r="G330" s="41" t="n">
        <v>45624.08094775463</v>
      </c>
      <c r="H330" s="41" t="n">
        <v>45624.76382828704</v>
      </c>
      <c r="I330" s="41" t="n">
        <v>45624.82367241898</v>
      </c>
      <c r="J330" s="41" t="n">
        <v>45626.10632415509</v>
      </c>
      <c r="K330" s="27" t="inlineStr">
        <is>
          <t>Collected</t>
        </is>
      </c>
      <c r="L330" s="27" t="inlineStr">
        <is>
          <t>Standard</t>
        </is>
      </c>
      <c r="M330" s="27" t="inlineStr">
        <is>
          <t>Limpopo</t>
        </is>
      </c>
      <c r="N330" s="27" t="n">
        <v>136.87</v>
      </c>
      <c r="O330" s="27" t="n">
        <v>0.36</v>
      </c>
      <c r="P330" s="27" t="n">
        <v>69.28</v>
      </c>
      <c r="Q330" s="42">
        <f>IF(H330="","",(H330-F330)*24)</f>
        <v/>
      </c>
      <c r="R330" s="42">
        <f>IF(J330="","",(J330-H330)*24)</f>
        <v/>
      </c>
    </row>
    <row r="331" ht="15" customHeight="1" s="24">
      <c r="A331" s="27" t="n">
        <v>476530</v>
      </c>
      <c r="B331" s="27" t="inlineStr">
        <is>
          <t>PGO10476530</t>
        </is>
      </c>
      <c r="C331" s="27" t="n">
        <v>1</v>
      </c>
      <c r="D331" s="27" t="n">
        <v>3288</v>
      </c>
      <c r="E331" s="27" t="n">
        <v>347</v>
      </c>
      <c r="F331" s="41" t="n">
        <v>45624.69242684028</v>
      </c>
      <c r="G331" s="41" t="n">
        <v>45625.06171398148</v>
      </c>
      <c r="H331" s="41" t="n">
        <v>45626.18977952546</v>
      </c>
      <c r="I331" s="41" t="n">
        <v>45626.22117651621</v>
      </c>
      <c r="J331" s="41" t="n"/>
      <c r="K331" s="27" t="inlineStr">
        <is>
          <t>ExpiredRTS</t>
        </is>
      </c>
      <c r="L331" s="27" t="inlineStr">
        <is>
          <t>Standard</t>
        </is>
      </c>
      <c r="M331" s="27" t="inlineStr">
        <is>
          <t>Free State</t>
        </is>
      </c>
      <c r="N331" s="27" t="n">
        <v>596.29</v>
      </c>
      <c r="O331" s="27" t="n">
        <v>0.53</v>
      </c>
      <c r="P331" s="27" t="n">
        <v>48.11</v>
      </c>
      <c r="Q331" s="42">
        <f>IF(H331="","",(H331-F331)*24)</f>
        <v/>
      </c>
      <c r="R331" s="42">
        <f>IF(J331="","",(J331-H331)*24)</f>
        <v/>
      </c>
    </row>
    <row r="332" ht="15" customHeight="1" s="24">
      <c r="A332" s="27" t="n">
        <v>476978</v>
      </c>
      <c r="B332" s="27" t="inlineStr">
        <is>
          <t>PGO10476978</t>
        </is>
      </c>
      <c r="C332" s="27" t="n">
        <v>98</v>
      </c>
      <c r="D332" s="27" t="n">
        <v>3115</v>
      </c>
      <c r="E332" s="27" t="n">
        <v>24</v>
      </c>
      <c r="F332" s="41" t="n">
        <v>45624.6985759375</v>
      </c>
      <c r="G332" s="41" t="n">
        <v>45624.87519902777</v>
      </c>
      <c r="H332" s="41" t="n">
        <v>45625.30455358796</v>
      </c>
      <c r="I332" s="41" t="n">
        <v>45625.321679375</v>
      </c>
      <c r="J332" s="41" t="n">
        <v>45626.2876155787</v>
      </c>
      <c r="K332" s="27" t="inlineStr">
        <is>
          <t>Collected</t>
        </is>
      </c>
      <c r="L332" s="27" t="inlineStr">
        <is>
          <t>Standard</t>
        </is>
      </c>
      <c r="M332" s="27" t="inlineStr">
        <is>
          <t>Limpopo</t>
        </is>
      </c>
      <c r="N332" s="27" t="n">
        <v>1262.1</v>
      </c>
      <c r="O332" s="27" t="n">
        <v>3.61</v>
      </c>
      <c r="P332" s="27" t="n">
        <v>63.3</v>
      </c>
      <c r="Q332" s="42">
        <f>IF(H332="","",(H332-F332)*24)</f>
        <v/>
      </c>
      <c r="R332" s="42">
        <f>IF(J332="","",(J332-H332)*24)</f>
        <v/>
      </c>
    </row>
    <row r="333" ht="15" customHeight="1" s="24">
      <c r="A333" s="27" t="n">
        <v>478556</v>
      </c>
      <c r="B333" s="27" t="inlineStr">
        <is>
          <t>PGO10478556</t>
        </is>
      </c>
      <c r="C333" s="27" t="n">
        <v>3</v>
      </c>
      <c r="D333" s="27" t="n">
        <v>3137</v>
      </c>
      <c r="E333" s="27" t="n">
        <v>23</v>
      </c>
      <c r="F333" s="41" t="n">
        <v>45625.62615813658</v>
      </c>
      <c r="G333" s="41" t="n">
        <v>45626.02045200232</v>
      </c>
      <c r="H333" s="41" t="n">
        <v>45626.81547190972</v>
      </c>
      <c r="I333" s="41" t="n">
        <v>45626.82530113426</v>
      </c>
      <c r="J333" s="41" t="n">
        <v>45627.25333570602</v>
      </c>
      <c r="K333" s="27" t="inlineStr">
        <is>
          <t>Collected</t>
        </is>
      </c>
      <c r="L333" s="27" t="inlineStr">
        <is>
          <t>Standard</t>
        </is>
      </c>
      <c r="M333" s="27" t="inlineStr">
        <is>
          <t>Gauteng</t>
        </is>
      </c>
      <c r="N333" s="27" t="n">
        <v>172.32</v>
      </c>
      <c r="O333" s="27" t="n">
        <v>1</v>
      </c>
      <c r="P333" s="27" t="n">
        <v>38</v>
      </c>
      <c r="Q333" s="42">
        <f>IF(H333="","",(H333-F333)*24)</f>
        <v/>
      </c>
      <c r="R333" s="42">
        <f>IF(J333="","",(J333-H333)*24)</f>
        <v/>
      </c>
    </row>
    <row r="334" ht="15" customHeight="1" s="24">
      <c r="A334" s="27" t="n">
        <v>477942</v>
      </c>
      <c r="B334" s="27" t="inlineStr">
        <is>
          <t>PGO10477942</t>
        </is>
      </c>
      <c r="C334" s="27" t="n">
        <v>107</v>
      </c>
      <c r="D334" s="27" t="n">
        <v>1250</v>
      </c>
      <c r="E334" s="27" t="n">
        <v>173</v>
      </c>
      <c r="F334" s="41" t="n">
        <v>45625.68570721065</v>
      </c>
      <c r="G334" s="41" t="n">
        <v>45625.81180243056</v>
      </c>
      <c r="H334" s="41" t="n">
        <v>45626.95381290509</v>
      </c>
      <c r="I334" s="41" t="n">
        <v>45626.97776934028</v>
      </c>
      <c r="J334" s="41" t="n">
        <v>45630.07246869213</v>
      </c>
      <c r="K334" s="27" t="inlineStr">
        <is>
          <t>Collected</t>
        </is>
      </c>
      <c r="L334" s="27" t="inlineStr">
        <is>
          <t>Standard</t>
        </is>
      </c>
      <c r="M334" s="27" t="inlineStr">
        <is>
          <t>Western Cape</t>
        </is>
      </c>
      <c r="N334" s="27" t="n">
        <v>142.27</v>
      </c>
      <c r="O334" s="27" t="n">
        <v>2.68</v>
      </c>
      <c r="P334" s="27" t="n">
        <v>55.9</v>
      </c>
      <c r="Q334" s="42">
        <f>IF(H334="","",(H334-F334)*24)</f>
        <v/>
      </c>
      <c r="R334" s="42">
        <f>IF(J334="","",(J334-H334)*24)</f>
        <v/>
      </c>
    </row>
    <row r="335" ht="15" customHeight="1" s="24">
      <c r="A335" s="27" t="n">
        <v>523507</v>
      </c>
      <c r="B335" s="27" t="inlineStr">
        <is>
          <t>PGO10523507</t>
        </is>
      </c>
      <c r="C335" s="27" t="n">
        <v>1</v>
      </c>
      <c r="D335" s="27" t="n">
        <v>2064</v>
      </c>
      <c r="E335" s="27" t="n">
        <v>106</v>
      </c>
      <c r="F335" s="41" t="n">
        <v>45629.92756443287</v>
      </c>
      <c r="G335" s="41" t="n">
        <v>45630.15011212963</v>
      </c>
      <c r="H335" s="41" t="n">
        <v>45630.80917194444</v>
      </c>
      <c r="I335" s="41" t="n">
        <v>45630.81792003472</v>
      </c>
      <c r="J335" s="41" t="n">
        <v>45631.43527034723</v>
      </c>
      <c r="K335" s="27" t="inlineStr">
        <is>
          <t>Collected</t>
        </is>
      </c>
      <c r="L335" s="27" t="inlineStr">
        <is>
          <t>Standard</t>
        </is>
      </c>
      <c r="M335" s="27" t="inlineStr">
        <is>
          <t>Gauteng</t>
        </is>
      </c>
      <c r="N335" s="27" t="n">
        <v>159.85</v>
      </c>
      <c r="O335" s="27" t="n">
        <v>2.18</v>
      </c>
      <c r="P335" s="27" t="n">
        <v>44.21</v>
      </c>
      <c r="Q335" s="42">
        <f>IF(H335="","",(H335-F335)*24)</f>
        <v/>
      </c>
      <c r="R335" s="42">
        <f>IF(J335="","",(J335-H335)*24)</f>
        <v/>
      </c>
    </row>
    <row r="336" ht="15" customHeight="1" s="24">
      <c r="A336" s="27" t="n">
        <v>523123</v>
      </c>
      <c r="B336" s="27" t="inlineStr">
        <is>
          <t>PGO10523123</t>
        </is>
      </c>
      <c r="C336" s="27" t="n">
        <v>26</v>
      </c>
      <c r="D336" s="27" t="n">
        <v>3609</v>
      </c>
      <c r="E336" s="27" t="n">
        <v>156</v>
      </c>
      <c r="F336" s="41" t="n">
        <v>45630.85990630787</v>
      </c>
      <c r="G336" s="41" t="n">
        <v>45631.48349079861</v>
      </c>
      <c r="H336" s="41" t="n">
        <v>45632.06512587963</v>
      </c>
      <c r="I336" s="41" t="n">
        <v>45632.08101605324</v>
      </c>
      <c r="J336" s="41" t="n">
        <v>45634.17289087963</v>
      </c>
      <c r="K336" s="27" t="inlineStr">
        <is>
          <t>Collected</t>
        </is>
      </c>
      <c r="L336" s="27" t="inlineStr">
        <is>
          <t>Standard</t>
        </is>
      </c>
      <c r="M336" s="27" t="inlineStr">
        <is>
          <t>Mpumalanga</t>
        </is>
      </c>
      <c r="N336" s="27" t="n">
        <v>297.97</v>
      </c>
      <c r="O336" s="27" t="n">
        <v>0.72</v>
      </c>
      <c r="P336" s="27" t="n">
        <v>57.7</v>
      </c>
      <c r="Q336" s="42">
        <f>IF(H336="","",(H336-F336)*24)</f>
        <v/>
      </c>
      <c r="R336" s="42">
        <f>IF(J336="","",(J336-H336)*24)</f>
        <v/>
      </c>
    </row>
    <row r="337" ht="15" customHeight="1" s="24">
      <c r="A337" s="27" t="n">
        <v>497173</v>
      </c>
      <c r="B337" s="27" t="inlineStr">
        <is>
          <t>PGO10497173</t>
        </is>
      </c>
      <c r="C337" s="27" t="n">
        <v>23</v>
      </c>
      <c r="D337" s="27" t="n">
        <v>350</v>
      </c>
      <c r="E337" s="27" t="n">
        <v>181</v>
      </c>
      <c r="F337" s="41" t="n">
        <v>45631.01314519676</v>
      </c>
      <c r="G337" s="41" t="n">
        <v>45631.42545555555</v>
      </c>
      <c r="H337" s="41" t="n">
        <v>45631.97625915509</v>
      </c>
      <c r="I337" s="41" t="n">
        <v>45632.01239236111</v>
      </c>
      <c r="J337" s="41" t="n">
        <v>45632.85957150463</v>
      </c>
      <c r="K337" s="27" t="inlineStr">
        <is>
          <t>Collected</t>
        </is>
      </c>
      <c r="L337" s="27" t="inlineStr">
        <is>
          <t>Standard</t>
        </is>
      </c>
      <c r="M337" s="27" t="inlineStr">
        <is>
          <t>Free State</t>
        </is>
      </c>
      <c r="N337" s="27" t="n">
        <v>126.39</v>
      </c>
      <c r="O337" s="27" t="n">
        <v>0.64</v>
      </c>
      <c r="P337" s="27" t="n">
        <v>50.71</v>
      </c>
      <c r="Q337" s="42">
        <f>IF(H337="","",(H337-F337)*24)</f>
        <v/>
      </c>
      <c r="R337" s="42">
        <f>IF(J337="","",(J337-H337)*24)</f>
        <v/>
      </c>
    </row>
    <row r="338" ht="15" customHeight="1" s="24">
      <c r="A338" s="27" t="n">
        <v>494270</v>
      </c>
      <c r="B338" s="27" t="inlineStr">
        <is>
          <t>PGO10494270</t>
        </is>
      </c>
      <c r="C338" s="27" t="n">
        <v>17</v>
      </c>
      <c r="D338" s="27" t="n">
        <v>1167</v>
      </c>
      <c r="E338" s="27" t="n">
        <v>140</v>
      </c>
      <c r="F338" s="41" t="n">
        <v>45631.36358994213</v>
      </c>
      <c r="G338" s="41" t="n">
        <v>45631.77880763889</v>
      </c>
      <c r="H338" s="41" t="n">
        <v>45632.5737584375</v>
      </c>
      <c r="I338" s="41" t="n">
        <v>45632.58349868056</v>
      </c>
      <c r="J338" s="41" t="n">
        <v>45632.8503594213</v>
      </c>
      <c r="K338" s="27" t="inlineStr">
        <is>
          <t>Collected</t>
        </is>
      </c>
      <c r="L338" s="27" t="inlineStr">
        <is>
          <t>Standard</t>
        </is>
      </c>
      <c r="M338" s="27" t="inlineStr">
        <is>
          <t>Western Cape</t>
        </is>
      </c>
      <c r="N338" s="27" t="n">
        <v>142.7</v>
      </c>
      <c r="O338" s="27" t="n">
        <v>0.75</v>
      </c>
      <c r="P338" s="27" t="n">
        <v>56.45</v>
      </c>
      <c r="Q338" s="42">
        <f>IF(H338="","",(H338-F338)*24)</f>
        <v/>
      </c>
      <c r="R338" s="42">
        <f>IF(J338="","",(J338-H338)*24)</f>
        <v/>
      </c>
    </row>
    <row r="339" ht="15" customHeight="1" s="24">
      <c r="A339" s="27" t="n">
        <v>523257</v>
      </c>
      <c r="B339" s="27" t="inlineStr">
        <is>
          <t>PGO10523257</t>
        </is>
      </c>
      <c r="C339" s="27" t="n">
        <v>63</v>
      </c>
      <c r="D339" s="27" t="n">
        <v>2991</v>
      </c>
      <c r="E339" s="27" t="n">
        <v>422</v>
      </c>
      <c r="F339" s="41" t="n">
        <v>45631.99581273148</v>
      </c>
      <c r="G339" s="41" t="n">
        <v>45632.1056452199</v>
      </c>
      <c r="H339" s="41" t="n">
        <v>45633.10055060185</v>
      </c>
      <c r="I339" s="41" t="n">
        <v>45633.1078244676</v>
      </c>
      <c r="J339" s="41" t="n">
        <v>45634.2834418287</v>
      </c>
      <c r="K339" s="27" t="inlineStr">
        <is>
          <t>Collected</t>
        </is>
      </c>
      <c r="L339" s="27" t="inlineStr">
        <is>
          <t>Express</t>
        </is>
      </c>
      <c r="M339" s="27" t="inlineStr">
        <is>
          <t>KwaZulu-Natal</t>
        </is>
      </c>
      <c r="N339" s="27" t="n">
        <v>586.59</v>
      </c>
      <c r="O339" s="27" t="n">
        <v>1.02</v>
      </c>
      <c r="P339" s="27" t="n">
        <v>52.49</v>
      </c>
      <c r="Q339" s="42">
        <f>IF(H339="","",(H339-F339)*24)</f>
        <v/>
      </c>
      <c r="R339" s="42">
        <f>IF(J339="","",(J339-H339)*24)</f>
        <v/>
      </c>
    </row>
    <row r="340" ht="15" customHeight="1" s="24">
      <c r="A340" s="27" t="n">
        <v>512826</v>
      </c>
      <c r="B340" s="27" t="inlineStr">
        <is>
          <t>PGO10512826</t>
        </is>
      </c>
      <c r="C340" s="27" t="n">
        <v>76</v>
      </c>
      <c r="D340" s="27" t="n">
        <v>2617</v>
      </c>
      <c r="E340" s="27" t="n">
        <v>295</v>
      </c>
      <c r="F340" s="41" t="n">
        <v>45633.78687023148</v>
      </c>
      <c r="G340" s="41" t="n">
        <v>45633.92477696759</v>
      </c>
      <c r="H340" s="41" t="n">
        <v>45634.67352138889</v>
      </c>
      <c r="I340" s="41" t="n">
        <v>45634.67869988426</v>
      </c>
      <c r="J340" s="41" t="n">
        <v>45634.82521638889</v>
      </c>
      <c r="K340" s="27" t="inlineStr">
        <is>
          <t>Collected</t>
        </is>
      </c>
      <c r="L340" s="27" t="inlineStr">
        <is>
          <t>Standard</t>
        </is>
      </c>
      <c r="M340" s="27" t="inlineStr">
        <is>
          <t>Eastern Cape</t>
        </is>
      </c>
      <c r="N340" s="27" t="n">
        <v>456.23</v>
      </c>
      <c r="O340" s="27" t="n">
        <v>1.59</v>
      </c>
      <c r="P340" s="27" t="n">
        <v>56.76</v>
      </c>
      <c r="Q340" s="42">
        <f>IF(H340="","",(H340-F340)*24)</f>
        <v/>
      </c>
      <c r="R340" s="42">
        <f>IF(J340="","",(J340-H340)*24)</f>
        <v/>
      </c>
    </row>
    <row r="341" ht="15" customHeight="1" s="24">
      <c r="A341" s="27" t="n">
        <v>522252</v>
      </c>
      <c r="B341" s="27" t="inlineStr">
        <is>
          <t>PGO10522252</t>
        </is>
      </c>
      <c r="C341" s="27" t="n">
        <v>1</v>
      </c>
      <c r="D341" s="27" t="n">
        <v>1430</v>
      </c>
      <c r="E341" s="27" t="n">
        <v>113</v>
      </c>
      <c r="F341" s="41" t="n">
        <v>45637.35629359954</v>
      </c>
      <c r="G341" s="41" t="n">
        <v>45637.86536407407</v>
      </c>
      <c r="H341" s="41" t="n">
        <v>45638.84734153935</v>
      </c>
      <c r="I341" s="41" t="n">
        <v>45638.87996193287</v>
      </c>
      <c r="J341" s="41" t="n">
        <v>45640.18804333334</v>
      </c>
      <c r="K341" s="27" t="inlineStr">
        <is>
          <t>Collected</t>
        </is>
      </c>
      <c r="L341" s="27" t="inlineStr">
        <is>
          <t>Return-to-Retailer</t>
        </is>
      </c>
      <c r="M341" s="27" t="inlineStr">
        <is>
          <t>Gauteng</t>
        </is>
      </c>
      <c r="N341" s="27" t="n">
        <v>144.64</v>
      </c>
      <c r="O341" s="27" t="n">
        <v>6.19</v>
      </c>
      <c r="P341" s="27" t="n">
        <v>63.43</v>
      </c>
      <c r="Q341" s="42">
        <f>IF(H341="","",(H341-F341)*24)</f>
        <v/>
      </c>
      <c r="R341" s="42">
        <f>IF(J341="","",(J341-H341)*24)</f>
        <v/>
      </c>
    </row>
    <row r="342" ht="15" customHeight="1" s="24">
      <c r="A342" s="27" t="n">
        <v>497003</v>
      </c>
      <c r="B342" s="27" t="inlineStr">
        <is>
          <t>PGO10497003</t>
        </is>
      </c>
      <c r="C342" s="27" t="n">
        <v>24</v>
      </c>
      <c r="D342" s="27" t="n">
        <v>3668</v>
      </c>
      <c r="E342" s="27" t="n">
        <v>33</v>
      </c>
      <c r="F342" s="41" t="n">
        <v>45641.13120140047</v>
      </c>
      <c r="G342" s="41" t="n">
        <v>45641.55639280093</v>
      </c>
      <c r="H342" s="41" t="n">
        <v>45642.53774934028</v>
      </c>
      <c r="I342" s="41" t="n">
        <v>45642.59409225694</v>
      </c>
      <c r="J342" s="41" t="n">
        <v>45644.99674824074</v>
      </c>
      <c r="K342" s="27" t="inlineStr">
        <is>
          <t>Collected</t>
        </is>
      </c>
      <c r="L342" s="27" t="inlineStr">
        <is>
          <t>Standard</t>
        </is>
      </c>
      <c r="M342" s="27" t="inlineStr">
        <is>
          <t>Free State</t>
        </is>
      </c>
      <c r="N342" s="27" t="n">
        <v>55.42</v>
      </c>
      <c r="O342" s="27" t="n">
        <v>0.86</v>
      </c>
      <c r="P342" s="27" t="n">
        <v>60.24</v>
      </c>
      <c r="Q342" s="42">
        <f>IF(H342="","",(H342-F342)*24)</f>
        <v/>
      </c>
      <c r="R342" s="42">
        <f>IF(J342="","",(J342-H342)*24)</f>
        <v/>
      </c>
    </row>
    <row r="343" ht="15" customHeight="1" s="24">
      <c r="A343" s="27" t="n">
        <v>509840</v>
      </c>
      <c r="B343" s="27" t="inlineStr">
        <is>
          <t>PGO10509840</t>
        </is>
      </c>
      <c r="C343" s="27" t="n">
        <v>77</v>
      </c>
      <c r="D343" s="27" t="n">
        <v>2110</v>
      </c>
      <c r="E343" s="27" t="n">
        <v>5</v>
      </c>
      <c r="F343" s="41" t="n">
        <v>45641.83245883102</v>
      </c>
      <c r="G343" s="41" t="n">
        <v>45642.02513582176</v>
      </c>
      <c r="H343" s="41" t="n">
        <v>45642.7517078588</v>
      </c>
      <c r="I343" s="41" t="n">
        <v>45642.77307152778</v>
      </c>
      <c r="J343" s="41" t="n">
        <v>45643.03077949074</v>
      </c>
      <c r="K343" s="27" t="inlineStr">
        <is>
          <t>Collected</t>
        </is>
      </c>
      <c r="L343" s="27" t="inlineStr">
        <is>
          <t>Standard</t>
        </is>
      </c>
      <c r="M343" s="27" t="inlineStr">
        <is>
          <t>Gauteng</t>
        </is>
      </c>
      <c r="N343" s="27" t="n">
        <v>426.75</v>
      </c>
      <c r="O343" s="27" t="n">
        <v>1.59</v>
      </c>
      <c r="P343" s="27" t="n">
        <v>49.62</v>
      </c>
      <c r="Q343" s="42">
        <f>IF(H343="","",(H343-F343)*24)</f>
        <v/>
      </c>
      <c r="R343" s="42">
        <f>IF(J343="","",(J343-H343)*24)</f>
        <v/>
      </c>
    </row>
    <row r="344" ht="15" customHeight="1" s="24">
      <c r="A344" s="27" t="n">
        <v>511739</v>
      </c>
      <c r="B344" s="27" t="inlineStr">
        <is>
          <t>PGO10511739</t>
        </is>
      </c>
      <c r="C344" s="27" t="n">
        <v>4</v>
      </c>
      <c r="D344" s="27" t="n">
        <v>1885</v>
      </c>
      <c r="E344" s="27" t="n">
        <v>86</v>
      </c>
      <c r="F344" s="41" t="n">
        <v>45643.68197813658</v>
      </c>
      <c r="G344" s="41" t="n">
        <v>45643.78885594907</v>
      </c>
      <c r="H344" s="41" t="n">
        <v>45644.61534017361</v>
      </c>
      <c r="I344" s="41" t="n">
        <v>45644.65306040509</v>
      </c>
      <c r="J344" s="41" t="n">
        <v>45646.63282532407</v>
      </c>
      <c r="K344" s="27" t="inlineStr">
        <is>
          <t>Collected</t>
        </is>
      </c>
      <c r="L344" s="27" t="inlineStr">
        <is>
          <t>Standard</t>
        </is>
      </c>
      <c r="M344" s="27" t="inlineStr">
        <is>
          <t>KwaZulu-Natal</t>
        </is>
      </c>
      <c r="N344" s="27" t="n">
        <v>90.04000000000001</v>
      </c>
      <c r="O344" s="27" t="n">
        <v>0.62</v>
      </c>
      <c r="P344" s="27" t="n">
        <v>44.58</v>
      </c>
      <c r="Q344" s="42">
        <f>IF(H344="","",(H344-F344)*24)</f>
        <v/>
      </c>
      <c r="R344" s="42">
        <f>IF(J344="","",(J344-H344)*24)</f>
        <v/>
      </c>
    </row>
    <row r="345" ht="15" customHeight="1" s="24">
      <c r="A345" s="27" t="n">
        <v>507702</v>
      </c>
      <c r="B345" s="27" t="inlineStr">
        <is>
          <t>PGO10507702</t>
        </is>
      </c>
      <c r="C345" s="27" t="n">
        <v>144</v>
      </c>
      <c r="D345" s="27" t="n">
        <v>259</v>
      </c>
      <c r="E345" s="27" t="n">
        <v>283</v>
      </c>
      <c r="F345" s="41" t="n">
        <v>45643.74323636574</v>
      </c>
      <c r="G345" s="41" t="n">
        <v>45643.98793607639</v>
      </c>
      <c r="H345" s="41" t="n">
        <v>45645.30519414352</v>
      </c>
      <c r="I345" s="41" t="n">
        <v>45645.35545631944</v>
      </c>
      <c r="J345" s="41" t="n">
        <v>45646.66106121528</v>
      </c>
      <c r="K345" s="27" t="inlineStr">
        <is>
          <t>Collected</t>
        </is>
      </c>
      <c r="L345" s="27" t="inlineStr">
        <is>
          <t>Standard</t>
        </is>
      </c>
      <c r="M345" s="27" t="inlineStr">
        <is>
          <t>Eastern Cape</t>
        </is>
      </c>
      <c r="N345" s="27" t="n">
        <v>91.01000000000001</v>
      </c>
      <c r="O345" s="27" t="n">
        <v>0.79</v>
      </c>
      <c r="P345" s="27" t="n">
        <v>42.38</v>
      </c>
      <c r="Q345" s="42">
        <f>IF(H345="","",(H345-F345)*24)</f>
        <v/>
      </c>
      <c r="R345" s="42">
        <f>IF(J345="","",(J345-H345)*24)</f>
        <v/>
      </c>
    </row>
    <row r="346" ht="15" customHeight="1" s="24">
      <c r="A346" s="27" t="n">
        <v>512870</v>
      </c>
      <c r="B346" s="27" t="inlineStr">
        <is>
          <t>PGO10512870</t>
        </is>
      </c>
      <c r="C346" s="27" t="n">
        <v>4</v>
      </c>
      <c r="D346" s="27" t="n">
        <v>3070</v>
      </c>
      <c r="E346" s="27" t="n">
        <v>476</v>
      </c>
      <c r="F346" s="41" t="n">
        <v>45643.98027097222</v>
      </c>
      <c r="G346" s="41" t="n">
        <v>45644.12293363426</v>
      </c>
      <c r="H346" s="41" t="n">
        <v>45644.92410131945</v>
      </c>
      <c r="I346" s="41" t="n">
        <v>45644.96902408565</v>
      </c>
      <c r="J346" s="41" t="n">
        <v>45645.23516819444</v>
      </c>
      <c r="K346" s="27" t="inlineStr">
        <is>
          <t>Collected</t>
        </is>
      </c>
      <c r="L346" s="27" t="inlineStr">
        <is>
          <t>Express</t>
        </is>
      </c>
      <c r="M346" s="27" t="inlineStr">
        <is>
          <t>Western Cape</t>
        </is>
      </c>
      <c r="N346" s="27" t="n">
        <v>661.3</v>
      </c>
      <c r="O346" s="27" t="n">
        <v>0.26</v>
      </c>
      <c r="P346" s="27" t="n">
        <v>44.22</v>
      </c>
      <c r="Q346" s="42">
        <f>IF(H346="","",(H346-F346)*24)</f>
        <v/>
      </c>
      <c r="R346" s="42">
        <f>IF(J346="","",(J346-H346)*24)</f>
        <v/>
      </c>
    </row>
    <row r="347" ht="15" customHeight="1" s="24">
      <c r="A347" s="27" t="n">
        <v>517108</v>
      </c>
      <c r="B347" s="27" t="inlineStr">
        <is>
          <t>PGO10517108</t>
        </is>
      </c>
      <c r="C347" s="27" t="n">
        <v>102</v>
      </c>
      <c r="D347" s="27" t="n">
        <v>1297</v>
      </c>
      <c r="E347" s="27" t="n">
        <v>335</v>
      </c>
      <c r="F347" s="41" t="n">
        <v>45644.37951986111</v>
      </c>
      <c r="G347" s="41" t="n">
        <v>45644.4832828588</v>
      </c>
      <c r="H347" s="41" t="n">
        <v>45645.72891929398</v>
      </c>
      <c r="I347" s="41" t="n">
        <v>45645.73678751157</v>
      </c>
      <c r="J347" s="41" t="n">
        <v>45645.78561024305</v>
      </c>
      <c r="K347" s="27" t="inlineStr">
        <is>
          <t>Collected</t>
        </is>
      </c>
      <c r="L347" s="27" t="inlineStr">
        <is>
          <t>Express</t>
        </is>
      </c>
      <c r="M347" s="27" t="inlineStr">
        <is>
          <t>Eastern Cape</t>
        </is>
      </c>
      <c r="N347" s="27" t="n">
        <v>130.89</v>
      </c>
      <c r="O347" s="27" t="n">
        <v>1.01</v>
      </c>
      <c r="P347" s="27" t="n">
        <v>66.42</v>
      </c>
      <c r="Q347" s="42">
        <f>IF(H347="","",(H347-F347)*24)</f>
        <v/>
      </c>
      <c r="R347" s="42">
        <f>IF(J347="","",(J347-H347)*24)</f>
        <v/>
      </c>
    </row>
    <row r="348" ht="15" customHeight="1" s="24">
      <c r="A348" s="27" t="n">
        <v>514062</v>
      </c>
      <c r="B348" s="27" t="inlineStr">
        <is>
          <t>PGO10514062</t>
        </is>
      </c>
      <c r="C348" s="27" t="n">
        <v>2</v>
      </c>
      <c r="D348" s="27" t="n">
        <v>2578</v>
      </c>
      <c r="E348" s="27" t="n">
        <v>198</v>
      </c>
      <c r="F348" s="41" t="n">
        <v>45644.90470969908</v>
      </c>
      <c r="G348" s="41" t="n">
        <v>45645.12446784722</v>
      </c>
      <c r="H348" s="41" t="n">
        <v>45646.12356991898</v>
      </c>
      <c r="I348" s="41" t="n">
        <v>45646.12824482639</v>
      </c>
      <c r="J348" s="41" t="n">
        <v>45647.9003437963</v>
      </c>
      <c r="K348" s="27" t="inlineStr">
        <is>
          <t>Collected</t>
        </is>
      </c>
      <c r="L348" s="27" t="inlineStr">
        <is>
          <t>Standard</t>
        </is>
      </c>
      <c r="M348" s="27" t="inlineStr">
        <is>
          <t>Western Cape</t>
        </is>
      </c>
      <c r="N348" s="27" t="n">
        <v>313.96</v>
      </c>
      <c r="O348" s="27" t="n">
        <v>1.41</v>
      </c>
      <c r="P348" s="27" t="n">
        <v>51.82</v>
      </c>
      <c r="Q348" s="42">
        <f>IF(H348="","",(H348-F348)*24)</f>
        <v/>
      </c>
      <c r="R348" s="42">
        <f>IF(J348="","",(J348-H348)*24)</f>
        <v/>
      </c>
    </row>
    <row r="349" ht="15" customHeight="1" s="24">
      <c r="A349" s="27" t="n">
        <v>490194</v>
      </c>
      <c r="B349" s="27" t="inlineStr">
        <is>
          <t>PGO10490194</t>
        </is>
      </c>
      <c r="C349" s="27" t="n">
        <v>60</v>
      </c>
      <c r="D349" s="27" t="n">
        <v>2851</v>
      </c>
      <c r="E349" s="27" t="n">
        <v>290</v>
      </c>
      <c r="F349" s="41" t="n">
        <v>45645.43747100695</v>
      </c>
      <c r="G349" s="41" t="n">
        <v>45645.70120296296</v>
      </c>
      <c r="H349" s="41" t="n">
        <v>45646.18242616898</v>
      </c>
      <c r="I349" s="41" t="n">
        <v>45646.24067061343</v>
      </c>
      <c r="J349" s="41" t="n">
        <v>45647.23056494213</v>
      </c>
      <c r="K349" s="27" t="inlineStr">
        <is>
          <t>Collected</t>
        </is>
      </c>
      <c r="L349" s="27" t="inlineStr">
        <is>
          <t>Standard</t>
        </is>
      </c>
      <c r="M349" s="27" t="inlineStr">
        <is>
          <t>North West</t>
        </is>
      </c>
      <c r="N349" s="27" t="n">
        <v>155.37</v>
      </c>
      <c r="O349" s="27" t="n">
        <v>0.39</v>
      </c>
      <c r="P349" s="27" t="n">
        <v>70.64</v>
      </c>
      <c r="Q349" s="42">
        <f>IF(H349="","",(H349-F349)*24)</f>
        <v/>
      </c>
      <c r="R349" s="42">
        <f>IF(J349="","",(J349-H349)*24)</f>
        <v/>
      </c>
    </row>
    <row r="350" ht="15" customHeight="1" s="24">
      <c r="A350" s="27" t="n">
        <v>523282</v>
      </c>
      <c r="B350" s="27" t="inlineStr">
        <is>
          <t>PGO10523282</t>
        </is>
      </c>
      <c r="C350" s="27" t="n">
        <v>47</v>
      </c>
      <c r="D350" s="27" t="n">
        <v>1297</v>
      </c>
      <c r="E350" s="27" t="n">
        <v>149</v>
      </c>
      <c r="F350" s="41" t="n">
        <v>45645.61387822917</v>
      </c>
      <c r="G350" s="41" t="n">
        <v>45645.67583015046</v>
      </c>
      <c r="H350" s="41" t="n">
        <v>45646.25379083333</v>
      </c>
      <c r="I350" s="41" t="n">
        <v>45646.31090453704</v>
      </c>
      <c r="J350" s="41" t="n">
        <v>45646.8098228125</v>
      </c>
      <c r="K350" s="27" t="inlineStr">
        <is>
          <t>Collected</t>
        </is>
      </c>
      <c r="L350" s="27" t="inlineStr">
        <is>
          <t>Standard</t>
        </is>
      </c>
      <c r="M350" s="27" t="inlineStr">
        <is>
          <t>Eastern Cape</t>
        </is>
      </c>
      <c r="N350" s="27" t="n">
        <v>741.52</v>
      </c>
      <c r="O350" s="27" t="n">
        <v>1.02</v>
      </c>
      <c r="P350" s="27" t="n">
        <v>52.6</v>
      </c>
      <c r="Q350" s="42">
        <f>IF(H350="","",(H350-F350)*24)</f>
        <v/>
      </c>
      <c r="R350" s="42">
        <f>IF(J350="","",(J350-H350)*24)</f>
        <v/>
      </c>
    </row>
    <row r="351" ht="15" customHeight="1" s="24">
      <c r="A351" s="27" t="n">
        <v>522386</v>
      </c>
      <c r="B351" s="27" t="inlineStr">
        <is>
          <t>PGO10522386</t>
        </is>
      </c>
      <c r="C351" s="27" t="n">
        <v>6</v>
      </c>
      <c r="D351" s="27" t="n">
        <v>2278</v>
      </c>
      <c r="E351" s="27" t="n">
        <v>97</v>
      </c>
      <c r="F351" s="41" t="n">
        <v>45646.49942622685</v>
      </c>
      <c r="G351" s="41" t="n">
        <v>45646.82989246528</v>
      </c>
      <c r="H351" s="41" t="n">
        <v>45647.44392777778</v>
      </c>
      <c r="I351" s="41" t="n">
        <v>45647.47907034722</v>
      </c>
      <c r="J351" s="41" t="n">
        <v>45649.95505082176</v>
      </c>
      <c r="K351" s="27" t="inlineStr">
        <is>
          <t>Collected</t>
        </is>
      </c>
      <c r="L351" s="27" t="inlineStr">
        <is>
          <t>Standard</t>
        </is>
      </c>
      <c r="M351" s="27" t="inlineStr">
        <is>
          <t>Gauteng</t>
        </is>
      </c>
      <c r="N351" s="27" t="n">
        <v>173.77</v>
      </c>
      <c r="O351" s="27" t="n">
        <v>0.91</v>
      </c>
      <c r="P351" s="27" t="n">
        <v>41.35</v>
      </c>
      <c r="Q351" s="42">
        <f>IF(H351="","",(H351-F351)*24)</f>
        <v/>
      </c>
      <c r="R351" s="42">
        <f>IF(J351="","",(J351-H351)*24)</f>
        <v/>
      </c>
    </row>
    <row r="352" ht="15" customHeight="1" s="24">
      <c r="A352" s="27" t="n">
        <v>501258</v>
      </c>
      <c r="B352" s="27" t="inlineStr">
        <is>
          <t>PGO10501258</t>
        </is>
      </c>
      <c r="C352" s="27" t="n">
        <v>101</v>
      </c>
      <c r="D352" s="27" t="n">
        <v>1192</v>
      </c>
      <c r="E352" s="27" t="n">
        <v>259</v>
      </c>
      <c r="F352" s="41" t="n">
        <v>45646.68514965277</v>
      </c>
      <c r="G352" s="41" t="n">
        <v>45646.84928890046</v>
      </c>
      <c r="H352" s="41" t="n">
        <v>45647.46837060185</v>
      </c>
      <c r="I352" s="41" t="n">
        <v>45647.47731472222</v>
      </c>
      <c r="J352" s="41" t="n">
        <v>45650.43909547454</v>
      </c>
      <c r="K352" s="27" t="inlineStr">
        <is>
          <t>Collected</t>
        </is>
      </c>
      <c r="L352" s="27" t="inlineStr">
        <is>
          <t>Standard</t>
        </is>
      </c>
      <c r="M352" s="27" t="inlineStr">
        <is>
          <t>Northern Cape</t>
        </is>
      </c>
      <c r="N352" s="27" t="n">
        <v>136.27</v>
      </c>
      <c r="O352" s="27" t="n">
        <v>0.31</v>
      </c>
      <c r="P352" s="27" t="n">
        <v>57.22</v>
      </c>
      <c r="Q352" s="42">
        <f>IF(H352="","",(H352-F352)*24)</f>
        <v/>
      </c>
      <c r="R352" s="42">
        <f>IF(J352="","",(J352-H352)*24)</f>
        <v/>
      </c>
    </row>
    <row r="353" ht="15" customHeight="1" s="24">
      <c r="A353" s="27" t="n">
        <v>530004</v>
      </c>
      <c r="B353" s="27" t="inlineStr">
        <is>
          <t>PGO10530004</t>
        </is>
      </c>
      <c r="C353" s="27" t="n">
        <v>9</v>
      </c>
      <c r="D353" s="27" t="n">
        <v>1697</v>
      </c>
      <c r="E353" s="27" t="n">
        <v>137</v>
      </c>
      <c r="F353" s="41" t="n">
        <v>45646.82681900463</v>
      </c>
      <c r="G353" s="41" t="n">
        <v>45646.99154734953</v>
      </c>
      <c r="H353" s="41" t="n">
        <v>45648.28499953703</v>
      </c>
      <c r="I353" s="41" t="n">
        <v>45648.32943017361</v>
      </c>
      <c r="J353" s="41" t="n">
        <v>45648.66586030093</v>
      </c>
      <c r="K353" s="27" t="inlineStr">
        <is>
          <t>Collected</t>
        </is>
      </c>
      <c r="L353" s="27" t="inlineStr">
        <is>
          <t>Standard</t>
        </is>
      </c>
      <c r="M353" s="27" t="inlineStr">
        <is>
          <t>Mpumalanga</t>
        </is>
      </c>
      <c r="N353" s="27" t="n">
        <v>1038.07</v>
      </c>
      <c r="O353" s="27" t="n">
        <v>0.8</v>
      </c>
      <c r="P353" s="27" t="n">
        <v>57.11</v>
      </c>
      <c r="Q353" s="42">
        <f>IF(H353="","",(H353-F353)*24)</f>
        <v/>
      </c>
      <c r="R353" s="42">
        <f>IF(J353="","",(J353-H353)*24)</f>
        <v/>
      </c>
    </row>
    <row r="354" ht="15" customHeight="1" s="24">
      <c r="A354" s="27" t="n">
        <v>490993</v>
      </c>
      <c r="B354" s="27" t="inlineStr">
        <is>
          <t>PGO10490993</t>
        </is>
      </c>
      <c r="C354" s="27" t="n">
        <v>145</v>
      </c>
      <c r="D354" s="27" t="n">
        <v>1744</v>
      </c>
      <c r="E354" s="27" t="n">
        <v>262</v>
      </c>
      <c r="F354" s="41" t="n">
        <v>45647.29106923611</v>
      </c>
      <c r="G354" s="41" t="n">
        <v>45647.56073364583</v>
      </c>
      <c r="H354" s="41" t="n">
        <v>45648.76719107639</v>
      </c>
      <c r="I354" s="41" t="n">
        <v>45648.81833277778</v>
      </c>
      <c r="J354" s="41" t="n">
        <v>45652.30255150463</v>
      </c>
      <c r="K354" s="27" t="inlineStr">
        <is>
          <t>Collected</t>
        </is>
      </c>
      <c r="L354" s="27" t="inlineStr">
        <is>
          <t>Standard</t>
        </is>
      </c>
      <c r="M354" s="27" t="inlineStr">
        <is>
          <t>KwaZulu-Natal</t>
        </is>
      </c>
      <c r="N354" s="27" t="n">
        <v>53.08</v>
      </c>
      <c r="O354" s="27" t="n">
        <v>6.64</v>
      </c>
      <c r="P354" s="27" t="n">
        <v>79.39</v>
      </c>
      <c r="Q354" s="42">
        <f>IF(H354="","",(H354-F354)*24)</f>
        <v/>
      </c>
      <c r="R354" s="42">
        <f>IF(J354="","",(J354-H354)*24)</f>
        <v/>
      </c>
    </row>
    <row r="355" ht="15" customHeight="1" s="24">
      <c r="A355" s="27" t="n">
        <v>533912</v>
      </c>
      <c r="B355" s="27" t="inlineStr">
        <is>
          <t>PGO10533912</t>
        </is>
      </c>
      <c r="C355" s="27" t="n">
        <v>2</v>
      </c>
      <c r="D355" s="27" t="n">
        <v>3695</v>
      </c>
      <c r="E355" s="27" t="n">
        <v>294</v>
      </c>
      <c r="F355" s="41" t="n">
        <v>45647.79921155093</v>
      </c>
      <c r="G355" s="41" t="n">
        <v>45647.82275131944</v>
      </c>
      <c r="H355" s="41" t="n">
        <v>45648.44365439815</v>
      </c>
      <c r="I355" s="41" t="n">
        <v>45648.46949635417</v>
      </c>
      <c r="J355" s="41" t="n">
        <v>45649.89547027778</v>
      </c>
      <c r="K355" s="27" t="inlineStr">
        <is>
          <t>Collected</t>
        </is>
      </c>
      <c r="L355" s="27" t="inlineStr">
        <is>
          <t>Standard</t>
        </is>
      </c>
      <c r="M355" s="27" t="inlineStr">
        <is>
          <t>Western Cape</t>
        </is>
      </c>
      <c r="N355" s="27" t="n">
        <v>153.39</v>
      </c>
      <c r="O355" s="27" t="n">
        <v>0.88</v>
      </c>
      <c r="P355" s="27" t="n">
        <v>52.26</v>
      </c>
      <c r="Q355" s="42">
        <f>IF(H355="","",(H355-F355)*24)</f>
        <v/>
      </c>
      <c r="R355" s="42">
        <f>IF(J355="","",(J355-H355)*24)</f>
        <v/>
      </c>
    </row>
    <row r="356" ht="15" customHeight="1" s="24">
      <c r="A356" s="27" t="n">
        <v>531880</v>
      </c>
      <c r="B356" s="27" t="inlineStr">
        <is>
          <t>PGO10531880</t>
        </is>
      </c>
      <c r="C356" s="27" t="n">
        <v>1</v>
      </c>
      <c r="D356" s="27" t="n">
        <v>2747</v>
      </c>
      <c r="E356" s="27" t="n">
        <v>360</v>
      </c>
      <c r="F356" s="41" t="n">
        <v>45649.40963282408</v>
      </c>
      <c r="G356" s="41" t="n">
        <v>45649.89728821759</v>
      </c>
      <c r="H356" s="41" t="n">
        <v>45652.07409415509</v>
      </c>
      <c r="I356" s="41" t="n">
        <v>45652.08825961805</v>
      </c>
      <c r="J356" s="41" t="n">
        <v>45652.27994421296</v>
      </c>
      <c r="K356" s="27" t="inlineStr">
        <is>
          <t>Collected</t>
        </is>
      </c>
      <c r="L356" s="27" t="inlineStr">
        <is>
          <t>Standard</t>
        </is>
      </c>
      <c r="M356" s="27" t="inlineStr">
        <is>
          <t>Eastern Cape</t>
        </is>
      </c>
      <c r="N356" s="27" t="n">
        <v>498.62</v>
      </c>
      <c r="O356" s="27" t="n">
        <v>1.01</v>
      </c>
      <c r="P356" s="27" t="n">
        <v>45.45</v>
      </c>
      <c r="Q356" s="42">
        <f>IF(H356="","",(H356-F356)*24)</f>
        <v/>
      </c>
      <c r="R356" s="42">
        <f>IF(J356="","",(J356-H356)*24)</f>
        <v/>
      </c>
    </row>
    <row r="357" ht="15" customHeight="1" s="24">
      <c r="A357" s="27" t="n">
        <v>534836</v>
      </c>
      <c r="B357" s="27" t="inlineStr">
        <is>
          <t>PGO10534836</t>
        </is>
      </c>
      <c r="C357" s="27" t="n">
        <v>52</v>
      </c>
      <c r="D357" s="27" t="n">
        <v>3695</v>
      </c>
      <c r="E357" s="27" t="n">
        <v>16</v>
      </c>
      <c r="F357" s="41" t="n">
        <v>45650.591513125</v>
      </c>
      <c r="G357" s="41" t="n">
        <v>45651.02701829861</v>
      </c>
      <c r="H357" s="41" t="n">
        <v>45652.67627023148</v>
      </c>
      <c r="I357" s="41" t="n">
        <v>45652.70548755787</v>
      </c>
      <c r="J357" s="41" t="n">
        <v>45653.08588952546</v>
      </c>
      <c r="K357" s="27" t="inlineStr">
        <is>
          <t>Collected</t>
        </is>
      </c>
      <c r="L357" s="27" t="inlineStr">
        <is>
          <t>Standard</t>
        </is>
      </c>
      <c r="M357" s="27" t="inlineStr">
        <is>
          <t>Western Cape</t>
        </is>
      </c>
      <c r="N357" s="27" t="n">
        <v>65.59999999999999</v>
      </c>
      <c r="O357" s="27" t="n">
        <v>2.85</v>
      </c>
      <c r="P357" s="27" t="n">
        <v>45.75</v>
      </c>
      <c r="Q357" s="42">
        <f>IF(H357="","",(H357-F357)*24)</f>
        <v/>
      </c>
      <c r="R357" s="42">
        <f>IF(J357="","",(J357-H357)*24)</f>
        <v/>
      </c>
    </row>
    <row r="358" ht="15" customHeight="1" s="24">
      <c r="A358" s="27" t="n">
        <v>523407</v>
      </c>
      <c r="B358" s="27" t="inlineStr">
        <is>
          <t>PGO10523407</t>
        </is>
      </c>
      <c r="C358" s="27" t="n">
        <v>2</v>
      </c>
      <c r="D358" s="27" t="n">
        <v>1023</v>
      </c>
      <c r="E358" s="27" t="n">
        <v>173</v>
      </c>
      <c r="F358" s="41" t="n">
        <v>45651.5301012963</v>
      </c>
      <c r="G358" s="41" t="n">
        <v>45651.82763443287</v>
      </c>
      <c r="H358" s="41" t="n">
        <v>45652.9262233449</v>
      </c>
      <c r="I358" s="41" t="n">
        <v>45652.96663862268</v>
      </c>
      <c r="J358" s="41" t="n">
        <v>45653.63941716436</v>
      </c>
      <c r="K358" s="27" t="inlineStr">
        <is>
          <t>Collected</t>
        </is>
      </c>
      <c r="L358" s="27" t="inlineStr">
        <is>
          <t>Standard</t>
        </is>
      </c>
      <c r="M358" s="27" t="inlineStr">
        <is>
          <t>Western Cape</t>
        </is>
      </c>
      <c r="N358" s="27" t="n">
        <v>174.45</v>
      </c>
      <c r="O358" s="27" t="n">
        <v>6.23</v>
      </c>
      <c r="P358" s="27" t="n">
        <v>72.39</v>
      </c>
      <c r="Q358" s="42">
        <f>IF(H358="","",(H358-F358)*24)</f>
        <v/>
      </c>
      <c r="R358" s="42">
        <f>IF(J358="","",(J358-H358)*24)</f>
        <v/>
      </c>
    </row>
    <row r="359" ht="15" customHeight="1" s="24">
      <c r="A359" s="27" t="n">
        <v>524809</v>
      </c>
      <c r="B359" s="27" t="inlineStr">
        <is>
          <t>PGO10524809</t>
        </is>
      </c>
      <c r="C359" s="27" t="n">
        <v>41</v>
      </c>
      <c r="D359" s="27" t="n">
        <v>2809</v>
      </c>
      <c r="E359" s="27" t="n">
        <v>392</v>
      </c>
      <c r="F359" s="41" t="n">
        <v>45654.05419866898</v>
      </c>
      <c r="G359" s="41" t="n">
        <v>45654.58010594908</v>
      </c>
      <c r="H359" s="41" t="n">
        <v>45655.02375490741</v>
      </c>
      <c r="I359" s="41" t="n">
        <v>45655.04547371528</v>
      </c>
      <c r="J359" s="41" t="n">
        <v>45656.41431585648</v>
      </c>
      <c r="K359" s="27" t="inlineStr">
        <is>
          <t>Collected</t>
        </is>
      </c>
      <c r="L359" s="27" t="inlineStr">
        <is>
          <t>Express</t>
        </is>
      </c>
      <c r="M359" s="27" t="inlineStr">
        <is>
          <t>Western Cape</t>
        </is>
      </c>
      <c r="N359" s="27" t="n">
        <v>487.04</v>
      </c>
      <c r="O359" s="27" t="n">
        <v>18.02</v>
      </c>
      <c r="P359" s="27" t="n">
        <v>84.76000000000001</v>
      </c>
      <c r="Q359" s="42">
        <f>IF(H359="","",(H359-F359)*24)</f>
        <v/>
      </c>
      <c r="R359" s="42">
        <f>IF(J359="","",(J359-H359)*24)</f>
        <v/>
      </c>
    </row>
    <row r="360" ht="15" customHeight="1" s="24">
      <c r="A360" s="27" t="n">
        <v>490433</v>
      </c>
      <c r="B360" s="27" t="inlineStr">
        <is>
          <t>PGO10490433</t>
        </is>
      </c>
      <c r="C360" s="27" t="n">
        <v>22</v>
      </c>
      <c r="D360" s="27" t="n">
        <v>3156</v>
      </c>
      <c r="E360" s="27" t="n">
        <v>136</v>
      </c>
      <c r="F360" s="41" t="n">
        <v>45657.21002427083</v>
      </c>
      <c r="G360" s="41" t="n">
        <v>45657.59433569444</v>
      </c>
      <c r="H360" s="41" t="n">
        <v>45658.74010702546</v>
      </c>
      <c r="I360" s="41" t="n">
        <v>45658.74530305556</v>
      </c>
      <c r="J360" s="41" t="n">
        <v>45660.03344821759</v>
      </c>
      <c r="K360" s="27" t="inlineStr">
        <is>
          <t>Collected</t>
        </is>
      </c>
      <c r="L360" s="27" t="inlineStr">
        <is>
          <t>Standard</t>
        </is>
      </c>
      <c r="M360" s="27" t="inlineStr">
        <is>
          <t>Mpumalanga</t>
        </is>
      </c>
      <c r="N360" s="27" t="n">
        <v>823.96</v>
      </c>
      <c r="O360" s="27" t="n">
        <v>0.77</v>
      </c>
      <c r="P360" s="27" t="n">
        <v>53.54</v>
      </c>
      <c r="Q360" s="42">
        <f>IF(H360="","",(H360-F360)*24)</f>
        <v/>
      </c>
      <c r="R360" s="42">
        <f>IF(J360="","",(J360-H360)*24)</f>
        <v/>
      </c>
    </row>
    <row r="361" ht="15" customHeight="1" s="24">
      <c r="A361" s="27" t="n">
        <v>515701</v>
      </c>
      <c r="B361" s="27" t="inlineStr">
        <is>
          <t>PGO10515701</t>
        </is>
      </c>
      <c r="C361" s="27" t="n">
        <v>99</v>
      </c>
      <c r="D361" s="27" t="n">
        <v>3191</v>
      </c>
      <c r="E361" s="27" t="n">
        <v>112</v>
      </c>
      <c r="F361" s="41" t="n">
        <v>45658.31292105324</v>
      </c>
      <c r="G361" s="41" t="n">
        <v>45658.44370868056</v>
      </c>
      <c r="H361" s="41" t="n">
        <v>45660.35475361111</v>
      </c>
      <c r="I361" s="41" t="n">
        <v>45660.40211447917</v>
      </c>
      <c r="J361" s="41" t="n">
        <v>45660.64804489583</v>
      </c>
      <c r="K361" s="27" t="inlineStr">
        <is>
          <t>Collected</t>
        </is>
      </c>
      <c r="L361" s="27" t="inlineStr">
        <is>
          <t>Standard</t>
        </is>
      </c>
      <c r="M361" s="27" t="inlineStr">
        <is>
          <t>Eastern Cape</t>
        </is>
      </c>
      <c r="N361" s="27" t="n">
        <v>70.47</v>
      </c>
      <c r="O361" s="27" t="n">
        <v>5.49</v>
      </c>
      <c r="P361" s="27" t="n">
        <v>92.65000000000001</v>
      </c>
      <c r="Q361" s="42">
        <f>IF(H361="","",(H361-F361)*24)</f>
        <v/>
      </c>
      <c r="R361" s="42">
        <f>IF(J361="","",(J361-H361)*24)</f>
        <v/>
      </c>
    </row>
    <row r="362" ht="15" customHeight="1" s="24">
      <c r="A362" s="27" t="n">
        <v>497608</v>
      </c>
      <c r="B362" s="27" t="inlineStr">
        <is>
          <t>PGO10497608</t>
        </is>
      </c>
      <c r="C362" s="27" t="n">
        <v>20</v>
      </c>
      <c r="D362" s="27" t="n">
        <v>800</v>
      </c>
      <c r="E362" s="27" t="n">
        <v>63</v>
      </c>
      <c r="F362" s="41" t="n">
        <v>45658.62764515046</v>
      </c>
      <c r="G362" s="41" t="n">
        <v>45659.31672</v>
      </c>
      <c r="H362" s="41" t="n">
        <v>45661.08129775463</v>
      </c>
      <c r="I362" s="41" t="n">
        <v>45661.1210265625</v>
      </c>
      <c r="J362" s="41" t="n">
        <v>45662.52431652778</v>
      </c>
      <c r="K362" s="27" t="inlineStr">
        <is>
          <t>Collected</t>
        </is>
      </c>
      <c r="L362" s="27" t="inlineStr">
        <is>
          <t>Standard</t>
        </is>
      </c>
      <c r="M362" s="27" t="inlineStr">
        <is>
          <t>KwaZulu-Natal</t>
        </is>
      </c>
      <c r="N362" s="27" t="n">
        <v>107.43</v>
      </c>
      <c r="O362" s="27" t="n">
        <v>2.09</v>
      </c>
      <c r="P362" s="27" t="n">
        <v>57.86</v>
      </c>
      <c r="Q362" s="42">
        <f>IF(H362="","",(H362-F362)*24)</f>
        <v/>
      </c>
      <c r="R362" s="42">
        <f>IF(J362="","",(J362-H362)*24)</f>
        <v/>
      </c>
    </row>
    <row r="363" ht="15" customHeight="1" s="24">
      <c r="A363" s="27" t="n">
        <v>554705</v>
      </c>
      <c r="B363" s="27" t="inlineStr">
        <is>
          <t>PGO10554705</t>
        </is>
      </c>
      <c r="C363" s="27" t="n">
        <v>7</v>
      </c>
      <c r="D363" s="27" t="n">
        <v>650</v>
      </c>
      <c r="E363" s="27" t="n">
        <v>333</v>
      </c>
      <c r="F363" s="41" t="n">
        <v>45659.3074880787</v>
      </c>
      <c r="G363" s="41" t="n">
        <v>45659.73736104167</v>
      </c>
      <c r="H363" s="41" t="n">
        <v>45661.15750721065</v>
      </c>
      <c r="I363" s="41" t="n">
        <v>45661.17262957176</v>
      </c>
      <c r="J363" s="41" t="n">
        <v>45662.21302152778</v>
      </c>
      <c r="K363" s="27" t="inlineStr">
        <is>
          <t>Collected</t>
        </is>
      </c>
      <c r="L363" s="27" t="inlineStr">
        <is>
          <t>Express</t>
        </is>
      </c>
      <c r="M363" s="27" t="inlineStr">
        <is>
          <t>Gauteng</t>
        </is>
      </c>
      <c r="N363" s="27" t="n">
        <v>650.22</v>
      </c>
      <c r="O363" s="27" t="n">
        <v>0.9</v>
      </c>
      <c r="P363" s="27" t="n">
        <v>51.23</v>
      </c>
      <c r="Q363" s="42">
        <f>IF(H363="","",(H363-F363)*24)</f>
        <v/>
      </c>
      <c r="R363" s="42">
        <f>IF(J363="","",(J363-H363)*24)</f>
        <v/>
      </c>
    </row>
    <row r="364" ht="15" customHeight="1" s="24">
      <c r="A364" s="27" t="n">
        <v>543801</v>
      </c>
      <c r="B364" s="27" t="inlineStr">
        <is>
          <t>PGO10543801</t>
        </is>
      </c>
      <c r="C364" s="27" t="n">
        <v>2</v>
      </c>
      <c r="D364" s="27" t="n">
        <v>1948</v>
      </c>
      <c r="E364" s="27" t="n">
        <v>263</v>
      </c>
      <c r="F364" s="41" t="n">
        <v>45660.96018415509</v>
      </c>
      <c r="G364" s="41" t="n">
        <v>45661.56934530092</v>
      </c>
      <c r="H364" s="41" t="n">
        <v>45662.32134262731</v>
      </c>
      <c r="I364" s="41" t="n">
        <v>45662.32882547453</v>
      </c>
      <c r="J364" s="41" t="n">
        <v>45664.26727449074</v>
      </c>
      <c r="K364" s="27" t="inlineStr">
        <is>
          <t>Collected</t>
        </is>
      </c>
      <c r="L364" s="27" t="inlineStr">
        <is>
          <t>Standard</t>
        </is>
      </c>
      <c r="M364" s="27" t="inlineStr">
        <is>
          <t>Mpumalanga</t>
        </is>
      </c>
      <c r="N364" s="27" t="n">
        <v>175.64</v>
      </c>
      <c r="O364" s="27" t="n">
        <v>0.26</v>
      </c>
      <c r="P364" s="27" t="n">
        <v>48.06</v>
      </c>
      <c r="Q364" s="42">
        <f>IF(H364="","",(H364-F364)*24)</f>
        <v/>
      </c>
      <c r="R364" s="42">
        <f>IF(J364="","",(J364-H364)*24)</f>
        <v/>
      </c>
    </row>
    <row r="365" ht="15" customHeight="1" s="24">
      <c r="A365" s="27" t="n">
        <v>555444</v>
      </c>
      <c r="B365" s="27" t="inlineStr">
        <is>
          <t>PGO10555444</t>
        </is>
      </c>
      <c r="C365" s="27" t="n">
        <v>2</v>
      </c>
      <c r="D365" s="27" t="n">
        <v>2183</v>
      </c>
      <c r="E365" s="27" t="n">
        <v>178</v>
      </c>
      <c r="F365" s="41" t="n">
        <v>45661.66309258102</v>
      </c>
      <c r="G365" s="41" t="n">
        <v>45661.74798836806</v>
      </c>
      <c r="H365" s="41" t="n">
        <v>45662.53813520834</v>
      </c>
      <c r="I365" s="41" t="n">
        <v>45662.55832215278</v>
      </c>
      <c r="J365" s="41" t="n">
        <v>45663.87752512732</v>
      </c>
      <c r="K365" s="27" t="inlineStr">
        <is>
          <t>Collected</t>
        </is>
      </c>
      <c r="L365" s="27" t="inlineStr">
        <is>
          <t>Standard</t>
        </is>
      </c>
      <c r="M365" s="27" t="inlineStr">
        <is>
          <t>Gauteng</t>
        </is>
      </c>
      <c r="N365" s="27" t="n">
        <v>223.53</v>
      </c>
      <c r="O365" s="27" t="n">
        <v>1.03</v>
      </c>
      <c r="P365" s="27" t="n">
        <v>52.13</v>
      </c>
      <c r="Q365" s="42">
        <f>IF(H365="","",(H365-F365)*24)</f>
        <v/>
      </c>
      <c r="R365" s="42">
        <f>IF(J365="","",(J365-H365)*24)</f>
        <v/>
      </c>
    </row>
    <row r="366" ht="15" customHeight="1" s="24">
      <c r="A366" s="27" t="n">
        <v>556701</v>
      </c>
      <c r="B366" s="27" t="inlineStr">
        <is>
          <t>PGO10556701</t>
        </is>
      </c>
      <c r="C366" s="27" t="n">
        <v>142</v>
      </c>
      <c r="D366" s="27" t="n">
        <v>1403</v>
      </c>
      <c r="E366" s="27" t="n">
        <v>294</v>
      </c>
      <c r="F366" s="41" t="n">
        <v>45662.32491690973</v>
      </c>
      <c r="G366" s="41" t="n">
        <v>45662.55387967593</v>
      </c>
      <c r="H366" s="41" t="n">
        <v>45663.50342777778</v>
      </c>
      <c r="I366" s="41" t="n">
        <v>45663.53275357639</v>
      </c>
      <c r="J366" s="41" t="n">
        <v>45666.91713878472</v>
      </c>
      <c r="K366" s="27" t="inlineStr">
        <is>
          <t>Collected</t>
        </is>
      </c>
      <c r="L366" s="27" t="inlineStr">
        <is>
          <t>Standard</t>
        </is>
      </c>
      <c r="M366" s="27" t="inlineStr">
        <is>
          <t>Western Cape</t>
        </is>
      </c>
      <c r="N366" s="27" t="n">
        <v>60.01</v>
      </c>
      <c r="O366" s="27" t="n">
        <v>1.48</v>
      </c>
      <c r="P366" s="27" t="n">
        <v>53.09</v>
      </c>
      <c r="Q366" s="42">
        <f>IF(H366="","",(H366-F366)*24)</f>
        <v/>
      </c>
      <c r="R366" s="42">
        <f>IF(J366="","",(J366-H366)*24)</f>
        <v/>
      </c>
    </row>
    <row r="367" ht="15" customHeight="1" s="24">
      <c r="A367" s="27" t="n">
        <v>552897</v>
      </c>
      <c r="B367" s="27" t="inlineStr">
        <is>
          <t>PGO10552897</t>
        </is>
      </c>
      <c r="C367" s="27" t="n">
        <v>12</v>
      </c>
      <c r="D367" s="27" t="n">
        <v>3745</v>
      </c>
      <c r="E367" s="27" t="n">
        <v>225</v>
      </c>
      <c r="F367" s="41" t="n">
        <v>45663.19107167824</v>
      </c>
      <c r="G367" s="41" t="n">
        <v>45663.26788744213</v>
      </c>
      <c r="H367" s="41" t="n">
        <v>45663.95066969907</v>
      </c>
      <c r="I367" s="41" t="n">
        <v>45663.98330002314</v>
      </c>
      <c r="J367" s="41" t="n">
        <v>45664.55416314815</v>
      </c>
      <c r="K367" s="27" t="inlineStr">
        <is>
          <t>Collected</t>
        </is>
      </c>
      <c r="L367" s="27" t="inlineStr">
        <is>
          <t>Standard</t>
        </is>
      </c>
      <c r="M367" s="27" t="inlineStr">
        <is>
          <t>North West</t>
        </is>
      </c>
      <c r="N367" s="27" t="n">
        <v>322.44</v>
      </c>
      <c r="O367" s="27" t="n">
        <v>0.31</v>
      </c>
      <c r="P367" s="27" t="n">
        <v>64.98</v>
      </c>
      <c r="Q367" s="42">
        <f>IF(H367="","",(H367-F367)*24)</f>
        <v/>
      </c>
      <c r="R367" s="42">
        <f>IF(J367="","",(J367-H367)*24)</f>
        <v/>
      </c>
    </row>
    <row r="368" ht="15" customHeight="1" s="24">
      <c r="A368" s="27" t="n">
        <v>549335</v>
      </c>
      <c r="B368" s="27" t="inlineStr">
        <is>
          <t>PGO10549335</t>
        </is>
      </c>
      <c r="C368" s="27" t="n">
        <v>4</v>
      </c>
      <c r="D368" s="27" t="n">
        <v>2293</v>
      </c>
      <c r="E368" s="27" t="n">
        <v>244</v>
      </c>
      <c r="F368" s="41" t="n">
        <v>45663.81826072917</v>
      </c>
      <c r="G368" s="41" t="n">
        <v>45663.82539974537</v>
      </c>
      <c r="H368" s="41" t="n">
        <v>45664.26984324074</v>
      </c>
      <c r="I368" s="41" t="n">
        <v>45664.31139435185</v>
      </c>
      <c r="J368" s="41" t="n">
        <v>45665.988093125</v>
      </c>
      <c r="K368" s="27" t="inlineStr">
        <is>
          <t>Collected</t>
        </is>
      </c>
      <c r="L368" s="27" t="inlineStr">
        <is>
          <t>Standard</t>
        </is>
      </c>
      <c r="M368" s="27" t="inlineStr">
        <is>
          <t>Gauteng</t>
        </is>
      </c>
      <c r="N368" s="27" t="n">
        <v>749.38</v>
      </c>
      <c r="O368" s="27" t="n">
        <v>0.26</v>
      </c>
      <c r="P368" s="27" t="n">
        <v>44.72</v>
      </c>
      <c r="Q368" s="42">
        <f>IF(H368="","",(H368-F368)*24)</f>
        <v/>
      </c>
      <c r="R368" s="42">
        <f>IF(J368="","",(J368-H368)*24)</f>
        <v/>
      </c>
    </row>
    <row r="369" ht="15" customHeight="1" s="24">
      <c r="A369" s="27" t="n">
        <v>552258</v>
      </c>
      <c r="B369" s="27" t="inlineStr">
        <is>
          <t>PGO10552258</t>
        </is>
      </c>
      <c r="C369" s="27" t="n">
        <v>10</v>
      </c>
      <c r="D369" s="27" t="n">
        <v>952</v>
      </c>
      <c r="E369" s="27" t="n">
        <v>489</v>
      </c>
      <c r="F369" s="41" t="n">
        <v>45666.95820738426</v>
      </c>
      <c r="G369" s="41" t="n">
        <v>45667.18911428241</v>
      </c>
      <c r="H369" s="41" t="n">
        <v>45668.13973435185</v>
      </c>
      <c r="I369" s="41" t="n">
        <v>45668.18624226852</v>
      </c>
      <c r="J369" s="41" t="n">
        <v>45670.21391608796</v>
      </c>
      <c r="K369" s="27" t="inlineStr">
        <is>
          <t>Collected</t>
        </is>
      </c>
      <c r="L369" s="27" t="inlineStr">
        <is>
          <t>Standard</t>
        </is>
      </c>
      <c r="M369" s="27" t="inlineStr">
        <is>
          <t>Gauteng</t>
        </is>
      </c>
      <c r="N369" s="27" t="n">
        <v>705.36</v>
      </c>
      <c r="O369" s="27" t="n">
        <v>2.35</v>
      </c>
      <c r="P369" s="27" t="n">
        <v>65.56999999999999</v>
      </c>
      <c r="Q369" s="42">
        <f>IF(H369="","",(H369-F369)*24)</f>
        <v/>
      </c>
      <c r="R369" s="42">
        <f>IF(J369="","",(J369-H369)*24)</f>
        <v/>
      </c>
    </row>
    <row r="370" ht="15" customHeight="1" s="24">
      <c r="A370" s="27" t="n">
        <v>550329</v>
      </c>
      <c r="B370" s="27" t="inlineStr">
        <is>
          <t>PGO10550329</t>
        </is>
      </c>
      <c r="C370" s="27" t="n">
        <v>1</v>
      </c>
      <c r="D370" s="27" t="n">
        <v>1403</v>
      </c>
      <c r="E370" s="27" t="n">
        <v>37</v>
      </c>
      <c r="F370" s="41" t="n">
        <v>45667.13012523148</v>
      </c>
      <c r="G370" s="41" t="n">
        <v>45667.40849877315</v>
      </c>
      <c r="H370" s="41" t="n">
        <v>45667.79520288194</v>
      </c>
      <c r="I370" s="41" t="n">
        <v>45667.84591922454</v>
      </c>
      <c r="J370" s="41" t="n">
        <v>45669.07857418981</v>
      </c>
      <c r="K370" s="27" t="inlineStr">
        <is>
          <t>Collected</t>
        </is>
      </c>
      <c r="L370" s="27" t="inlineStr">
        <is>
          <t>Standard</t>
        </is>
      </c>
      <c r="M370" s="27" t="inlineStr">
        <is>
          <t>Western Cape</t>
        </is>
      </c>
      <c r="N370" s="27" t="n">
        <v>563.9400000000001</v>
      </c>
      <c r="O370" s="27" t="n">
        <v>0.1</v>
      </c>
      <c r="P370" s="27" t="n">
        <v>44.08</v>
      </c>
      <c r="Q370" s="42">
        <f>IF(H370="","",(H370-F370)*24)</f>
        <v/>
      </c>
      <c r="R370" s="42">
        <f>IF(J370="","",(J370-H370)*24)</f>
        <v/>
      </c>
    </row>
    <row r="371" ht="15" customHeight="1" s="24">
      <c r="A371" s="27" t="n">
        <v>538135</v>
      </c>
      <c r="B371" s="27" t="inlineStr">
        <is>
          <t>PGO10538135</t>
        </is>
      </c>
      <c r="C371" s="27" t="n">
        <v>19</v>
      </c>
      <c r="D371" s="27" t="n">
        <v>1563</v>
      </c>
      <c r="E371" s="27" t="n">
        <v>302</v>
      </c>
      <c r="F371" s="41" t="n">
        <v>45669.43272</v>
      </c>
      <c r="G371" s="41" t="n">
        <v>45669.4818909375</v>
      </c>
      <c r="H371" s="41" t="n">
        <v>45670.48108194445</v>
      </c>
      <c r="I371" s="41" t="n">
        <v>45670.49932085648</v>
      </c>
      <c r="J371" s="41" t="n">
        <v>45671.3491802662</v>
      </c>
      <c r="K371" s="27" t="inlineStr">
        <is>
          <t>Collected</t>
        </is>
      </c>
      <c r="L371" s="27" t="inlineStr">
        <is>
          <t>Standard</t>
        </is>
      </c>
      <c r="M371" s="27" t="inlineStr">
        <is>
          <t>Limpopo</t>
        </is>
      </c>
      <c r="N371" s="27" t="n">
        <v>187.41</v>
      </c>
      <c r="O371" s="27" t="n">
        <v>1.1</v>
      </c>
      <c r="P371" s="27" t="n">
        <v>68.22</v>
      </c>
      <c r="Q371" s="42">
        <f>IF(H371="","",(H371-F371)*24)</f>
        <v/>
      </c>
      <c r="R371" s="42">
        <f>IF(J371="","",(J371-H371)*24)</f>
        <v/>
      </c>
    </row>
    <row r="372" ht="15" customHeight="1" s="24">
      <c r="A372" s="27" t="n">
        <v>541829</v>
      </c>
      <c r="B372" s="27" t="inlineStr">
        <is>
          <t>PGO10541829</t>
        </is>
      </c>
      <c r="C372" s="27" t="n">
        <v>1</v>
      </c>
      <c r="D372" s="27" t="n">
        <v>3023</v>
      </c>
      <c r="E372" s="27" t="n">
        <v>402</v>
      </c>
      <c r="F372" s="41" t="n">
        <v>45671.90656928241</v>
      </c>
      <c r="G372" s="41" t="n">
        <v>45671.98106644676</v>
      </c>
      <c r="H372" s="41" t="n">
        <v>45672.55188864583</v>
      </c>
      <c r="I372" s="41" t="n">
        <v>45672.5741834838</v>
      </c>
      <c r="J372" s="41" t="n">
        <v>45673.02964552083</v>
      </c>
      <c r="K372" s="27" t="inlineStr">
        <is>
          <t>Collected</t>
        </is>
      </c>
      <c r="L372" s="27" t="inlineStr">
        <is>
          <t>Standard</t>
        </is>
      </c>
      <c r="M372" s="27" t="inlineStr">
        <is>
          <t>KwaZulu-Natal</t>
        </is>
      </c>
      <c r="N372" s="27" t="n">
        <v>308.48</v>
      </c>
      <c r="O372" s="27" t="n">
        <v>0.48</v>
      </c>
      <c r="P372" s="27" t="n">
        <v>44.78</v>
      </c>
      <c r="Q372" s="42">
        <f>IF(H372="","",(H372-F372)*24)</f>
        <v/>
      </c>
      <c r="R372" s="42">
        <f>IF(J372="","",(J372-H372)*24)</f>
        <v/>
      </c>
    </row>
    <row r="373" ht="15" customHeight="1" s="24">
      <c r="A373" s="27" t="n">
        <v>555094</v>
      </c>
      <c r="B373" s="27" t="inlineStr">
        <is>
          <t>PGO10555094</t>
        </is>
      </c>
      <c r="C373" s="27" t="n">
        <v>2</v>
      </c>
      <c r="D373" s="27" t="n">
        <v>2266</v>
      </c>
      <c r="E373" s="27" t="n">
        <v>185</v>
      </c>
      <c r="F373" s="41" t="n">
        <v>45672.93650327546</v>
      </c>
      <c r="G373" s="41" t="n">
        <v>45673.35693407407</v>
      </c>
      <c r="H373" s="41" t="n">
        <v>45674.65060157407</v>
      </c>
      <c r="I373" s="41" t="n">
        <v>45674.66529208334</v>
      </c>
      <c r="J373" s="41" t="n">
        <v>45675.29498733796</v>
      </c>
      <c r="K373" s="27" t="inlineStr">
        <is>
          <t>Collected</t>
        </is>
      </c>
      <c r="L373" s="27" t="inlineStr">
        <is>
          <t>Standard</t>
        </is>
      </c>
      <c r="M373" s="27" t="inlineStr">
        <is>
          <t>Limpopo</t>
        </is>
      </c>
      <c r="N373" s="27" t="n">
        <v>142.46</v>
      </c>
      <c r="O373" s="27" t="n">
        <v>0.25</v>
      </c>
      <c r="P373" s="27" t="n">
        <v>49.9</v>
      </c>
      <c r="Q373" s="42">
        <f>IF(H373="","",(H373-F373)*24)</f>
        <v/>
      </c>
      <c r="R373" s="42">
        <f>IF(J373="","",(J373-H373)*24)</f>
        <v/>
      </c>
    </row>
    <row r="374" ht="15" customHeight="1" s="24">
      <c r="A374" s="27" t="n">
        <v>536641</v>
      </c>
      <c r="B374" s="27" t="inlineStr">
        <is>
          <t>PGO10536641</t>
        </is>
      </c>
      <c r="C374" s="27" t="n">
        <v>35</v>
      </c>
      <c r="D374" s="27" t="n">
        <v>2128</v>
      </c>
      <c r="E374" s="27" t="n">
        <v>139</v>
      </c>
      <c r="F374" s="41" t="n">
        <v>45673.68317762732</v>
      </c>
      <c r="G374" s="41" t="n">
        <v>45673.71236136574</v>
      </c>
      <c r="H374" s="41" t="n">
        <v>45674.82623217592</v>
      </c>
      <c r="I374" s="41" t="n">
        <v>45674.87566070602</v>
      </c>
      <c r="J374" s="41" t="n">
        <v>45677.2061528125</v>
      </c>
      <c r="K374" s="27" t="inlineStr">
        <is>
          <t>Collected</t>
        </is>
      </c>
      <c r="L374" s="27" t="inlineStr">
        <is>
          <t>Standard</t>
        </is>
      </c>
      <c r="M374" s="27" t="inlineStr">
        <is>
          <t>Gauteng</t>
        </is>
      </c>
      <c r="N374" s="27" t="n">
        <v>367.25</v>
      </c>
      <c r="O374" s="27" t="n">
        <v>1.93</v>
      </c>
      <c r="P374" s="27" t="n">
        <v>37.98</v>
      </c>
      <c r="Q374" s="42">
        <f>IF(H374="","",(H374-F374)*24)</f>
        <v/>
      </c>
      <c r="R374" s="42">
        <f>IF(J374="","",(J374-H374)*24)</f>
        <v/>
      </c>
    </row>
    <row r="375" ht="15" customHeight="1" s="24">
      <c r="A375" s="27" t="n">
        <v>539449</v>
      </c>
      <c r="B375" s="27" t="inlineStr">
        <is>
          <t>PGO10539449</t>
        </is>
      </c>
      <c r="C375" s="27" t="n">
        <v>3</v>
      </c>
      <c r="D375" s="27" t="n">
        <v>1859</v>
      </c>
      <c r="E375" s="27" t="n">
        <v>229</v>
      </c>
      <c r="F375" s="41" t="n">
        <v>45676.3534761574</v>
      </c>
      <c r="G375" s="41" t="n">
        <v>45676.87550997685</v>
      </c>
      <c r="H375" s="41" t="n">
        <v>45677.32772945602</v>
      </c>
      <c r="I375" s="41" t="n">
        <v>45677.37444556713</v>
      </c>
      <c r="J375" s="41" t="n">
        <v>45677.5213278588</v>
      </c>
      <c r="K375" s="27" t="inlineStr">
        <is>
          <t>Collected</t>
        </is>
      </c>
      <c r="L375" s="27" t="inlineStr">
        <is>
          <t>Standard</t>
        </is>
      </c>
      <c r="M375" s="27" t="inlineStr">
        <is>
          <t>KwaZulu-Natal</t>
        </is>
      </c>
      <c r="N375" s="27" t="n">
        <v>143.02</v>
      </c>
      <c r="O375" s="27" t="n">
        <v>0.43</v>
      </c>
      <c r="P375" s="27" t="n">
        <v>39.97</v>
      </c>
      <c r="Q375" s="42">
        <f>IF(H375="","",(H375-F375)*24)</f>
        <v/>
      </c>
      <c r="R375" s="42">
        <f>IF(J375="","",(J375-H375)*24)</f>
        <v/>
      </c>
    </row>
    <row r="376" ht="15" customHeight="1" s="24">
      <c r="A376" s="27" t="n">
        <v>549299</v>
      </c>
      <c r="B376" s="27" t="inlineStr">
        <is>
          <t>PGO10549299</t>
        </is>
      </c>
      <c r="C376" s="27" t="n">
        <v>84</v>
      </c>
      <c r="D376" s="27" t="n">
        <v>2064</v>
      </c>
      <c r="E376" s="27" t="n">
        <v>444</v>
      </c>
      <c r="F376" s="41" t="n">
        <v>45676.53377922453</v>
      </c>
      <c r="G376" s="41" t="n">
        <v>45676.65967525463</v>
      </c>
      <c r="H376" s="41" t="n">
        <v>45677.06192009259</v>
      </c>
      <c r="I376" s="41" t="n">
        <v>45677.10155403935</v>
      </c>
      <c r="J376" s="41" t="n">
        <v>45678.99397447917</v>
      </c>
      <c r="K376" s="27" t="inlineStr">
        <is>
          <t>Collected</t>
        </is>
      </c>
      <c r="L376" s="27" t="inlineStr">
        <is>
          <t>Standard</t>
        </is>
      </c>
      <c r="M376" s="27" t="inlineStr">
        <is>
          <t>Gauteng</t>
        </is>
      </c>
      <c r="N376" s="27" t="n">
        <v>305.43</v>
      </c>
      <c r="O376" s="27" t="n">
        <v>1.65</v>
      </c>
      <c r="P376" s="27" t="n">
        <v>48.71</v>
      </c>
      <c r="Q376" s="42">
        <f>IF(H376="","",(H376-F376)*24)</f>
        <v/>
      </c>
      <c r="R376" s="42">
        <f>IF(J376="","",(J376-H376)*24)</f>
        <v/>
      </c>
    </row>
    <row r="377" ht="15" customHeight="1" s="24">
      <c r="A377" s="27" t="n">
        <v>552587</v>
      </c>
      <c r="B377" s="27" t="inlineStr">
        <is>
          <t>PGO10552587</t>
        </is>
      </c>
      <c r="C377" s="27" t="n">
        <v>20</v>
      </c>
      <c r="D377" s="27" t="n">
        <v>416</v>
      </c>
      <c r="E377" s="27" t="n">
        <v>327</v>
      </c>
      <c r="F377" s="41" t="n">
        <v>45679.22231315972</v>
      </c>
      <c r="G377" s="41" t="n">
        <v>45679.79708457176</v>
      </c>
      <c r="H377" s="41" t="n">
        <v>45680.58715189815</v>
      </c>
      <c r="I377" s="41" t="n">
        <v>45680.62644424768</v>
      </c>
      <c r="J377" s="41" t="n">
        <v>45681.46661056713</v>
      </c>
      <c r="K377" s="27" t="inlineStr">
        <is>
          <t>Collected</t>
        </is>
      </c>
      <c r="L377" s="27" t="inlineStr">
        <is>
          <t>Standard</t>
        </is>
      </c>
      <c r="M377" s="27" t="inlineStr">
        <is>
          <t>KwaZulu-Natal</t>
        </is>
      </c>
      <c r="N377" s="27" t="n">
        <v>515.0599999999999</v>
      </c>
      <c r="O377" s="27" t="n">
        <v>0.4</v>
      </c>
      <c r="P377" s="27" t="n">
        <v>55.97</v>
      </c>
      <c r="Q377" s="42">
        <f>IF(H377="","",(H377-F377)*24)</f>
        <v/>
      </c>
      <c r="R377" s="42">
        <f>IF(J377="","",(J377-H377)*24)</f>
        <v/>
      </c>
    </row>
    <row r="378" ht="15" customHeight="1" s="24">
      <c r="A378" s="27" t="n">
        <v>552536</v>
      </c>
      <c r="B378" s="27" t="inlineStr">
        <is>
          <t>PGO10552536</t>
        </is>
      </c>
      <c r="C378" s="27" t="n">
        <v>17</v>
      </c>
      <c r="D378" s="27" t="n">
        <v>3246</v>
      </c>
      <c r="E378" s="27" t="n">
        <v>114</v>
      </c>
      <c r="F378" s="41" t="n">
        <v>45679.46060320602</v>
      </c>
      <c r="G378" s="41" t="n">
        <v>45679.68197133102</v>
      </c>
      <c r="H378" s="41" t="n">
        <v>45680.63001878472</v>
      </c>
      <c r="I378" s="41" t="n">
        <v>45680.65401409722</v>
      </c>
      <c r="J378" s="41" t="n">
        <v>45682.83021922454</v>
      </c>
      <c r="K378" s="27" t="inlineStr">
        <is>
          <t>Collected</t>
        </is>
      </c>
      <c r="L378" s="27" t="inlineStr">
        <is>
          <t>Standard</t>
        </is>
      </c>
      <c r="M378" s="27" t="inlineStr">
        <is>
          <t>Mpumalanga</t>
        </is>
      </c>
      <c r="N378" s="27" t="n">
        <v>423.21</v>
      </c>
      <c r="O378" s="27" t="n">
        <v>2.15</v>
      </c>
      <c r="P378" s="27" t="n">
        <v>52.35</v>
      </c>
      <c r="Q378" s="42">
        <f>IF(H378="","",(H378-F378)*24)</f>
        <v/>
      </c>
      <c r="R378" s="42">
        <f>IF(J378="","",(J378-H378)*24)</f>
        <v/>
      </c>
    </row>
    <row r="379" ht="15" customHeight="1" s="24">
      <c r="A379" s="27" t="n">
        <v>542803</v>
      </c>
      <c r="B379" s="27" t="inlineStr">
        <is>
          <t>PGO10542803</t>
        </is>
      </c>
      <c r="C379" s="27" t="n">
        <v>45</v>
      </c>
      <c r="D379" s="27" t="n">
        <v>806</v>
      </c>
      <c r="E379" s="27" t="n">
        <v>298</v>
      </c>
      <c r="F379" s="41" t="n">
        <v>45680.32056190972</v>
      </c>
      <c r="G379" s="41" t="n">
        <v>45680.64764559028</v>
      </c>
      <c r="H379" s="41" t="n">
        <v>45680.95644917824</v>
      </c>
      <c r="I379" s="41" t="n">
        <v>45681.00469842592</v>
      </c>
      <c r="J379" s="41" t="n">
        <v>45681.08971037037</v>
      </c>
      <c r="K379" s="27" t="inlineStr">
        <is>
          <t>Collected</t>
        </is>
      </c>
      <c r="L379" s="27" t="inlineStr">
        <is>
          <t>Express</t>
        </is>
      </c>
      <c r="M379" s="27" t="inlineStr">
        <is>
          <t>Gauteng</t>
        </is>
      </c>
      <c r="N379" s="27" t="n">
        <v>1205.73</v>
      </c>
      <c r="O379" s="27" t="n">
        <v>0.15</v>
      </c>
      <c r="P379" s="27" t="n">
        <v>68.44</v>
      </c>
      <c r="Q379" s="42">
        <f>IF(H379="","",(H379-F379)*24)</f>
        <v/>
      </c>
      <c r="R379" s="42">
        <f>IF(J379="","",(J379-H379)*24)</f>
        <v/>
      </c>
    </row>
    <row r="380" ht="15" customHeight="1" s="24">
      <c r="A380" s="27" t="n">
        <v>548984</v>
      </c>
      <c r="B380" s="27" t="inlineStr">
        <is>
          <t>PGO10548984</t>
        </is>
      </c>
      <c r="C380" s="27" t="n">
        <v>116</v>
      </c>
      <c r="D380" s="27" t="n">
        <v>138</v>
      </c>
      <c r="E380" s="27" t="n">
        <v>278</v>
      </c>
      <c r="F380" s="41" t="n">
        <v>45680.73576451389</v>
      </c>
      <c r="G380" s="41" t="n">
        <v>45680.97230797454</v>
      </c>
      <c r="H380" s="41" t="n">
        <v>45682.06441204861</v>
      </c>
      <c r="I380" s="41" t="n">
        <v>45682.12455614583</v>
      </c>
      <c r="J380" s="41" t="n">
        <v>45682.84934325232</v>
      </c>
      <c r="K380" s="27" t="inlineStr">
        <is>
          <t>Collected</t>
        </is>
      </c>
      <c r="L380" s="27" t="inlineStr">
        <is>
          <t>Express</t>
        </is>
      </c>
      <c r="M380" s="27" t="inlineStr">
        <is>
          <t>KwaZulu-Natal</t>
        </is>
      </c>
      <c r="N380" s="27" t="n">
        <v>206.33</v>
      </c>
      <c r="O380" s="27" t="n">
        <v>1.08</v>
      </c>
      <c r="P380" s="27" t="n">
        <v>67.65000000000001</v>
      </c>
      <c r="Q380" s="42">
        <f>IF(H380="","",(H380-F380)*24)</f>
        <v/>
      </c>
      <c r="R380" s="42">
        <f>IF(J380="","",(J380-H380)*24)</f>
        <v/>
      </c>
    </row>
    <row r="381" ht="15" customHeight="1" s="24">
      <c r="A381" s="27" t="n">
        <v>555741</v>
      </c>
      <c r="B381" s="27" t="inlineStr">
        <is>
          <t>PGO10555741</t>
        </is>
      </c>
      <c r="C381" s="27" t="n">
        <v>118</v>
      </c>
      <c r="D381" s="27" t="n">
        <v>3080</v>
      </c>
      <c r="E381" s="27" t="n">
        <v>209</v>
      </c>
      <c r="F381" s="41" t="n">
        <v>45682.25586862268</v>
      </c>
      <c r="G381" s="41" t="n">
        <v>45682.68268760417</v>
      </c>
      <c r="H381" s="41" t="n">
        <v>45683.64711385417</v>
      </c>
      <c r="I381" s="41" t="n">
        <v>45683.66238998843</v>
      </c>
      <c r="J381" s="41" t="n">
        <v>45685.10037372685</v>
      </c>
      <c r="K381" s="27" t="inlineStr">
        <is>
          <t>Collected</t>
        </is>
      </c>
      <c r="L381" s="27" t="inlineStr">
        <is>
          <t>Express</t>
        </is>
      </c>
      <c r="M381" s="27" t="inlineStr">
        <is>
          <t>Western Cape</t>
        </is>
      </c>
      <c r="N381" s="27" t="n">
        <v>204.06</v>
      </c>
      <c r="O381" s="27" t="n">
        <v>1.24</v>
      </c>
      <c r="P381" s="27" t="n">
        <v>55.77</v>
      </c>
      <c r="Q381" s="42">
        <f>IF(H381="","",(H381-F381)*24)</f>
        <v/>
      </c>
      <c r="R381" s="42">
        <f>IF(J381="","",(J381-H381)*24)</f>
        <v/>
      </c>
    </row>
    <row r="382" ht="15" customHeight="1" s="24">
      <c r="A382" s="27" t="n">
        <v>550053</v>
      </c>
      <c r="B382" s="27" t="inlineStr">
        <is>
          <t>PGO10550053</t>
        </is>
      </c>
      <c r="C382" s="27" t="n">
        <v>97</v>
      </c>
      <c r="D382" s="27" t="n">
        <v>1478</v>
      </c>
      <c r="E382" s="27" t="n">
        <v>63</v>
      </c>
      <c r="F382" s="41" t="n">
        <v>45685.84591729167</v>
      </c>
      <c r="G382" s="41" t="n">
        <v>45685.92735259259</v>
      </c>
      <c r="H382" s="41" t="n">
        <v>45687.09449438658</v>
      </c>
      <c r="I382" s="41" t="n">
        <v>45687.12782371528</v>
      </c>
      <c r="J382" s="41" t="n">
        <v>45688.87398909722</v>
      </c>
      <c r="K382" s="27" t="inlineStr">
        <is>
          <t>Collected</t>
        </is>
      </c>
      <c r="L382" s="27" t="inlineStr">
        <is>
          <t>Return-to-Retailer</t>
        </is>
      </c>
      <c r="M382" s="27" t="inlineStr">
        <is>
          <t>KwaZulu-Natal</t>
        </is>
      </c>
      <c r="N382" s="27" t="n">
        <v>546.29</v>
      </c>
      <c r="O382" s="27" t="n">
        <v>1.49</v>
      </c>
      <c r="P382" s="27" t="n">
        <v>46.67</v>
      </c>
      <c r="Q382" s="42">
        <f>IF(H382="","",(H382-F382)*24)</f>
        <v/>
      </c>
      <c r="R382" s="42">
        <f>IF(J382="","",(J382-H382)*24)</f>
        <v/>
      </c>
    </row>
    <row r="383" ht="15" customHeight="1" s="24">
      <c r="A383" s="27" t="n">
        <v>543241</v>
      </c>
      <c r="B383" s="27" t="inlineStr">
        <is>
          <t>PGO10543241</t>
        </is>
      </c>
      <c r="C383" s="27" t="n">
        <v>126</v>
      </c>
      <c r="D383" s="27" t="n">
        <v>3511</v>
      </c>
      <c r="E383" s="27" t="n">
        <v>171</v>
      </c>
      <c r="F383" s="41" t="n">
        <v>45688.13918564815</v>
      </c>
      <c r="G383" s="41" t="n">
        <v>45688.25841547453</v>
      </c>
      <c r="H383" s="41" t="n">
        <v>45689.4105082176</v>
      </c>
      <c r="I383" s="41" t="n">
        <v>45689.45152474537</v>
      </c>
      <c r="J383" s="41" t="n">
        <v>45690.88087002315</v>
      </c>
      <c r="K383" s="27" t="inlineStr">
        <is>
          <t>Collected</t>
        </is>
      </c>
      <c r="L383" s="27" t="inlineStr">
        <is>
          <t>Standard</t>
        </is>
      </c>
      <c r="M383" s="27" t="inlineStr">
        <is>
          <t>Limpopo</t>
        </is>
      </c>
      <c r="N383" s="27" t="n">
        <v>615.9299999999999</v>
      </c>
      <c r="O383" s="27" t="n">
        <v>0.75</v>
      </c>
      <c r="P383" s="27" t="n">
        <v>66.23</v>
      </c>
      <c r="Q383" s="42">
        <f>IF(H383="","",(H383-F383)*24)</f>
        <v/>
      </c>
      <c r="R383" s="42">
        <f>IF(J383="","",(J383-H383)*24)</f>
        <v/>
      </c>
    </row>
    <row r="384" ht="15" customHeight="1" s="24">
      <c r="A384" s="27" t="n">
        <v>536869</v>
      </c>
      <c r="B384" s="27" t="inlineStr">
        <is>
          <t>PGO10536869</t>
        </is>
      </c>
      <c r="C384" s="27" t="n">
        <v>28</v>
      </c>
      <c r="D384" s="27" t="n">
        <v>419</v>
      </c>
      <c r="E384" s="27" t="n">
        <v>285</v>
      </c>
      <c r="F384" s="41" t="n">
        <v>45689.25011040509</v>
      </c>
      <c r="G384" s="41" t="n">
        <v>45689.4582721412</v>
      </c>
      <c r="H384" s="41" t="n">
        <v>45690.37581017361</v>
      </c>
      <c r="I384" s="41" t="n">
        <v>45690.42145168981</v>
      </c>
      <c r="J384" s="41" t="n">
        <v>45692.2734577662</v>
      </c>
      <c r="K384" s="27" t="inlineStr">
        <is>
          <t>Collected</t>
        </is>
      </c>
      <c r="L384" s="27" t="inlineStr">
        <is>
          <t>Standard</t>
        </is>
      </c>
      <c r="M384" s="27" t="inlineStr">
        <is>
          <t>North West</t>
        </is>
      </c>
      <c r="N384" s="27" t="n">
        <v>405.35</v>
      </c>
      <c r="O384" s="27" t="n">
        <v>0.53</v>
      </c>
      <c r="P384" s="27" t="n">
        <v>61.94</v>
      </c>
      <c r="Q384" s="42">
        <f>IF(H384="","",(H384-F384)*24)</f>
        <v/>
      </c>
      <c r="R384" s="42">
        <f>IF(J384="","",(J384-H384)*24)</f>
        <v/>
      </c>
    </row>
    <row r="385" ht="15" customHeight="1" s="24">
      <c r="A385" s="27" t="n">
        <v>560267</v>
      </c>
      <c r="B385" s="27" t="inlineStr">
        <is>
          <t>PGO10560267</t>
        </is>
      </c>
      <c r="C385" s="27" t="n">
        <v>6</v>
      </c>
      <c r="D385" s="27" t="n">
        <v>2302</v>
      </c>
      <c r="E385" s="27" t="n">
        <v>325</v>
      </c>
      <c r="F385" s="41" t="n">
        <v>45690.60053614583</v>
      </c>
      <c r="G385" s="41" t="n">
        <v>45690.90821946759</v>
      </c>
      <c r="H385" s="41" t="n">
        <v>45691.62996990741</v>
      </c>
      <c r="I385" s="41" t="n">
        <v>45691.63259354167</v>
      </c>
      <c r="J385" s="41" t="n">
        <v>45691.88203134259</v>
      </c>
      <c r="K385" s="27" t="inlineStr">
        <is>
          <t>Collected</t>
        </is>
      </c>
      <c r="L385" s="27" t="inlineStr">
        <is>
          <t>Standard</t>
        </is>
      </c>
      <c r="M385" s="27" t="inlineStr">
        <is>
          <t>Western Cape</t>
        </is>
      </c>
      <c r="N385" s="27" t="n">
        <v>127.34</v>
      </c>
      <c r="O385" s="27" t="n">
        <v>2.08</v>
      </c>
      <c r="P385" s="27" t="n">
        <v>40.74</v>
      </c>
      <c r="Q385" s="42">
        <f>IF(H385="","",(H385-F385)*24)</f>
        <v/>
      </c>
      <c r="R385" s="42">
        <f>IF(J385="","",(J385-H385)*24)</f>
        <v/>
      </c>
    </row>
    <row r="386" ht="15" customHeight="1" s="24">
      <c r="A386" s="27" t="n">
        <v>558919</v>
      </c>
      <c r="B386" s="27" t="inlineStr">
        <is>
          <t>PGO10558919</t>
        </is>
      </c>
      <c r="C386" s="27" t="n">
        <v>68</v>
      </c>
      <c r="D386" s="27" t="n">
        <v>750</v>
      </c>
      <c r="E386" s="27" t="n">
        <v>14</v>
      </c>
      <c r="F386" s="41" t="n">
        <v>45691.7643678588</v>
      </c>
      <c r="G386" s="41" t="n">
        <v>45691.8753097338</v>
      </c>
      <c r="H386" s="41" t="n">
        <v>45692.51602861111</v>
      </c>
      <c r="I386" s="41" t="n">
        <v>45692.5416459375</v>
      </c>
      <c r="J386" s="41" t="n">
        <v>45693.84517329861</v>
      </c>
      <c r="K386" s="27" t="inlineStr">
        <is>
          <t>Collected</t>
        </is>
      </c>
      <c r="L386" s="27" t="inlineStr">
        <is>
          <t>Standard</t>
        </is>
      </c>
      <c r="M386" s="27" t="inlineStr">
        <is>
          <t>Free State</t>
        </is>
      </c>
      <c r="N386" s="27" t="n">
        <v>214.45</v>
      </c>
      <c r="O386" s="27" t="n">
        <v>0.31</v>
      </c>
      <c r="P386" s="27" t="n">
        <v>59.66</v>
      </c>
      <c r="Q386" s="42">
        <f>IF(H386="","",(H386-F386)*24)</f>
        <v/>
      </c>
      <c r="R386" s="42">
        <f>IF(J386="","",(J386-H386)*24)</f>
        <v/>
      </c>
    </row>
    <row r="387" ht="15" customHeight="1" s="24">
      <c r="A387" s="27" t="n">
        <v>568820</v>
      </c>
      <c r="B387" s="27" t="inlineStr">
        <is>
          <t>PGO10568820</t>
        </is>
      </c>
      <c r="C387" s="27" t="n">
        <v>2</v>
      </c>
      <c r="D387" s="27" t="n">
        <v>3749</v>
      </c>
      <c r="E387" s="27" t="n">
        <v>54</v>
      </c>
      <c r="F387" s="41" t="n">
        <v>45692.33218667824</v>
      </c>
      <c r="G387" s="41" t="n">
        <v>45692.43476821759</v>
      </c>
      <c r="H387" s="41" t="n">
        <v>45693.84549037037</v>
      </c>
      <c r="I387" s="41" t="n">
        <v>45693.89794641203</v>
      </c>
      <c r="J387" s="41" t="n">
        <v>45694.07803592592</v>
      </c>
      <c r="K387" s="27" t="inlineStr">
        <is>
          <t>Collected</t>
        </is>
      </c>
      <c r="L387" s="27" t="inlineStr">
        <is>
          <t>Standard</t>
        </is>
      </c>
      <c r="M387" s="27" t="inlineStr">
        <is>
          <t>Limpopo</t>
        </is>
      </c>
      <c r="N387" s="27" t="n">
        <v>288.6</v>
      </c>
      <c r="O387" s="27" t="n">
        <v>1.26</v>
      </c>
      <c r="P387" s="27" t="n">
        <v>52.06</v>
      </c>
      <c r="Q387" s="42">
        <f>IF(H387="","",(H387-F387)*24)</f>
        <v/>
      </c>
      <c r="R387" s="42">
        <f>IF(J387="","",(J387-H387)*24)</f>
        <v/>
      </c>
    </row>
    <row r="388" ht="15" customHeight="1" s="24">
      <c r="A388" s="27" t="n">
        <v>568648</v>
      </c>
      <c r="B388" s="27" t="inlineStr">
        <is>
          <t>PGO10568648</t>
        </is>
      </c>
      <c r="C388" s="27" t="n">
        <v>1</v>
      </c>
      <c r="D388" s="27" t="n">
        <v>50</v>
      </c>
      <c r="E388" s="27" t="n">
        <v>218</v>
      </c>
      <c r="F388" s="41" t="n">
        <v>45693.87645207176</v>
      </c>
      <c r="G388" s="41" t="n">
        <v>45693.90934820602</v>
      </c>
      <c r="H388" s="41" t="n">
        <v>45694.87274665509</v>
      </c>
      <c r="I388" s="41" t="n">
        <v>45694.88284155093</v>
      </c>
      <c r="J388" s="41" t="n">
        <v>45696.00456435185</v>
      </c>
      <c r="K388" s="27" t="inlineStr">
        <is>
          <t>Collected</t>
        </is>
      </c>
      <c r="L388" s="27" t="inlineStr">
        <is>
          <t>Standard</t>
        </is>
      </c>
      <c r="M388" s="27" t="inlineStr">
        <is>
          <t>North West</t>
        </is>
      </c>
      <c r="N388" s="27" t="n">
        <v>475.64</v>
      </c>
      <c r="O388" s="27" t="n">
        <v>0.91</v>
      </c>
      <c r="P388" s="27" t="n">
        <v>45.1</v>
      </c>
      <c r="Q388" s="42">
        <f>IF(H388="","",(H388-F388)*24)</f>
        <v/>
      </c>
      <c r="R388" s="42">
        <f>IF(J388="","",(J388-H388)*24)</f>
        <v/>
      </c>
    </row>
    <row r="389" ht="15" customHeight="1" s="24">
      <c r="A389" s="27" t="n">
        <v>567494</v>
      </c>
      <c r="B389" s="27" t="inlineStr">
        <is>
          <t>PGO10567494</t>
        </is>
      </c>
      <c r="C389" s="27" t="n">
        <v>142</v>
      </c>
      <c r="D389" s="27" t="n">
        <v>722</v>
      </c>
      <c r="E389" s="27" t="n">
        <v>473</v>
      </c>
      <c r="F389" s="41" t="n">
        <v>45694.88185201389</v>
      </c>
      <c r="G389" s="41" t="n">
        <v>45695.32271954861</v>
      </c>
      <c r="H389" s="41" t="n">
        <v>45696.40244398148</v>
      </c>
      <c r="I389" s="41" t="n">
        <v>45696.44096545139</v>
      </c>
      <c r="J389" s="41" t="n">
        <v>45697.57151267361</v>
      </c>
      <c r="K389" s="27" t="inlineStr">
        <is>
          <t>Collected</t>
        </is>
      </c>
      <c r="L389" s="27" t="inlineStr">
        <is>
          <t>Standard</t>
        </is>
      </c>
      <c r="M389" s="27" t="inlineStr">
        <is>
          <t>Gauteng</t>
        </is>
      </c>
      <c r="N389" s="27" t="n">
        <v>168.85</v>
      </c>
      <c r="O389" s="27" t="n">
        <v>1.63</v>
      </c>
      <c r="P389" s="27" t="n">
        <v>56.41</v>
      </c>
      <c r="Q389" s="42">
        <f>IF(H389="","",(H389-F389)*24)</f>
        <v/>
      </c>
      <c r="R389" s="42">
        <f>IF(J389="","",(J389-H389)*24)</f>
        <v/>
      </c>
    </row>
    <row r="390" ht="15" customHeight="1" s="24">
      <c r="A390" s="27" t="n">
        <v>559321</v>
      </c>
      <c r="B390" s="27" t="inlineStr">
        <is>
          <t>PGO10559321</t>
        </is>
      </c>
      <c r="C390" s="27" t="n">
        <v>6</v>
      </c>
      <c r="D390" s="27" t="n">
        <v>2979</v>
      </c>
      <c r="E390" s="27" t="n">
        <v>56</v>
      </c>
      <c r="F390" s="41" t="n">
        <v>45695.19741043982</v>
      </c>
      <c r="G390" s="41" t="n">
        <v>45695.44016938657</v>
      </c>
      <c r="H390" s="41" t="n">
        <v>45695.97945111111</v>
      </c>
      <c r="I390" s="41" t="n">
        <v>45696.00354137731</v>
      </c>
      <c r="J390" s="41" t="n">
        <v>45697.66532199074</v>
      </c>
      <c r="K390" s="27" t="inlineStr">
        <is>
          <t>Collected</t>
        </is>
      </c>
      <c r="L390" s="27" t="inlineStr">
        <is>
          <t>Express</t>
        </is>
      </c>
      <c r="M390" s="27" t="inlineStr">
        <is>
          <t>Mpumalanga</t>
        </is>
      </c>
      <c r="N390" s="27" t="n">
        <v>113.55</v>
      </c>
      <c r="O390" s="27" t="n">
        <v>4.3</v>
      </c>
      <c r="P390" s="27" t="n">
        <v>40.92</v>
      </c>
      <c r="Q390" s="42">
        <f>IF(H390="","",(H390-F390)*24)</f>
        <v/>
      </c>
      <c r="R390" s="42">
        <f>IF(J390="","",(J390-H390)*24)</f>
        <v/>
      </c>
    </row>
    <row r="391" ht="15" customHeight="1" s="24">
      <c r="A391" s="27" t="n">
        <v>568998</v>
      </c>
      <c r="B391" s="27" t="inlineStr">
        <is>
          <t>PGO10568998</t>
        </is>
      </c>
      <c r="C391" s="27" t="n">
        <v>29</v>
      </c>
      <c r="D391" s="27" t="n">
        <v>1457</v>
      </c>
      <c r="E391" s="27" t="n">
        <v>236</v>
      </c>
      <c r="F391" s="41" t="n">
        <v>45696.07813760416</v>
      </c>
      <c r="G391" s="41" t="n">
        <v>45696.62918847222</v>
      </c>
      <c r="H391" s="41" t="n">
        <v>45697.97276711806</v>
      </c>
      <c r="I391" s="41" t="n">
        <v>45698.02659140046</v>
      </c>
      <c r="J391" s="41" t="n">
        <v>45698.64524987269</v>
      </c>
      <c r="K391" s="27" t="inlineStr">
        <is>
          <t>Collected</t>
        </is>
      </c>
      <c r="L391" s="27" t="inlineStr">
        <is>
          <t>Standard</t>
        </is>
      </c>
      <c r="M391" s="27" t="inlineStr">
        <is>
          <t>KwaZulu-Natal</t>
        </is>
      </c>
      <c r="N391" s="27" t="n">
        <v>159.52</v>
      </c>
      <c r="O391" s="27" t="n">
        <v>0.83</v>
      </c>
      <c r="P391" s="27" t="n">
        <v>66.68000000000001</v>
      </c>
      <c r="Q391" s="42">
        <f>IF(H391="","",(H391-F391)*24)</f>
        <v/>
      </c>
      <c r="R391" s="42">
        <f>IF(J391="","",(J391-H391)*24)</f>
        <v/>
      </c>
    </row>
    <row r="392" ht="15" customHeight="1" s="24">
      <c r="A392" s="27" t="n">
        <v>575782</v>
      </c>
      <c r="B392" s="27" t="inlineStr">
        <is>
          <t>PGO10575782</t>
        </is>
      </c>
      <c r="C392" s="27" t="n">
        <v>4</v>
      </c>
      <c r="D392" s="27" t="n">
        <v>632</v>
      </c>
      <c r="E392" s="27" t="n">
        <v>201</v>
      </c>
      <c r="F392" s="41" t="n">
        <v>45698.22273787037</v>
      </c>
      <c r="G392" s="41" t="n">
        <v>45698.60854090278</v>
      </c>
      <c r="H392" s="41" t="n">
        <v>45699.54048159722</v>
      </c>
      <c r="I392" s="41" t="n">
        <v>45699.56126957176</v>
      </c>
      <c r="J392" s="41" t="n">
        <v>45699.74775351852</v>
      </c>
      <c r="K392" s="27" t="inlineStr">
        <is>
          <t>Collected</t>
        </is>
      </c>
      <c r="L392" s="27" t="inlineStr">
        <is>
          <t>Standard</t>
        </is>
      </c>
      <c r="M392" s="27" t="inlineStr">
        <is>
          <t>KwaZulu-Natal</t>
        </is>
      </c>
      <c r="N392" s="27" t="n">
        <v>294.61</v>
      </c>
      <c r="O392" s="27" t="n">
        <v>0.25</v>
      </c>
      <c r="P392" s="27" t="n">
        <v>41.29</v>
      </c>
      <c r="Q392" s="42">
        <f>IF(H392="","",(H392-F392)*24)</f>
        <v/>
      </c>
      <c r="R392" s="42">
        <f>IF(J392="","",(J392-H392)*24)</f>
        <v/>
      </c>
    </row>
    <row r="393" ht="15" customHeight="1" s="24">
      <c r="A393" s="27" t="n">
        <v>571997</v>
      </c>
      <c r="B393" s="27" t="inlineStr">
        <is>
          <t>PGO10571997</t>
        </is>
      </c>
      <c r="C393" s="27" t="n">
        <v>2</v>
      </c>
      <c r="D393" s="27" t="n">
        <v>501</v>
      </c>
      <c r="E393" s="27" t="n">
        <v>39</v>
      </c>
      <c r="F393" s="41" t="n">
        <v>45699.02382435185</v>
      </c>
      <c r="G393" s="41" t="n">
        <v>45699.29298726852</v>
      </c>
      <c r="H393" s="41" t="n">
        <v>45699.87158671296</v>
      </c>
      <c r="I393" s="41" t="n">
        <v>45699.88003226852</v>
      </c>
      <c r="J393" s="41" t="n">
        <v>45699.98741230324</v>
      </c>
      <c r="K393" s="27" t="inlineStr">
        <is>
          <t>Collected</t>
        </is>
      </c>
      <c r="L393" s="27" t="inlineStr">
        <is>
          <t>Standard</t>
        </is>
      </c>
      <c r="M393" s="27" t="inlineStr">
        <is>
          <t>Gauteng</t>
        </is>
      </c>
      <c r="N393" s="27" t="n">
        <v>225.92</v>
      </c>
      <c r="O393" s="27" t="n">
        <v>0.74</v>
      </c>
      <c r="P393" s="27" t="n">
        <v>47.9</v>
      </c>
      <c r="Q393" s="42">
        <f>IF(H393="","",(H393-F393)*24)</f>
        <v/>
      </c>
      <c r="R393" s="42">
        <f>IF(J393="","",(J393-H393)*24)</f>
        <v/>
      </c>
    </row>
    <row r="394" ht="15" customHeight="1" s="24">
      <c r="A394" s="27" t="n">
        <v>564786</v>
      </c>
      <c r="B394" s="27" t="inlineStr">
        <is>
          <t>PGO10564786</t>
        </is>
      </c>
      <c r="C394" s="27" t="n">
        <v>88</v>
      </c>
      <c r="D394" s="27" t="n">
        <v>138</v>
      </c>
      <c r="E394" s="27" t="n">
        <v>35</v>
      </c>
      <c r="F394" s="41" t="n">
        <v>45699.1302009375</v>
      </c>
      <c r="G394" s="41" t="n">
        <v>45700.11164724537</v>
      </c>
      <c r="H394" s="41" t="n">
        <v>45700.76691981481</v>
      </c>
      <c r="I394" s="41" t="n">
        <v>45700.81871475695</v>
      </c>
      <c r="J394" s="41" t="n">
        <v>45701.11497105324</v>
      </c>
      <c r="K394" s="27" t="inlineStr">
        <is>
          <t>Collected</t>
        </is>
      </c>
      <c r="L394" s="27" t="inlineStr">
        <is>
          <t>Standard</t>
        </is>
      </c>
      <c r="M394" s="27" t="inlineStr">
        <is>
          <t>KwaZulu-Natal</t>
        </is>
      </c>
      <c r="N394" s="27" t="n">
        <v>262.88</v>
      </c>
      <c r="O394" s="27" t="n">
        <v>0.93</v>
      </c>
      <c r="P394" s="27" t="n">
        <v>61.17</v>
      </c>
      <c r="Q394" s="42">
        <f>IF(H394="","",(H394-F394)*24)</f>
        <v/>
      </c>
      <c r="R394" s="42">
        <f>IF(J394="","",(J394-H394)*24)</f>
        <v/>
      </c>
    </row>
    <row r="395" ht="15" customHeight="1" s="24">
      <c r="A395" s="27" t="n">
        <v>566254</v>
      </c>
      <c r="B395" s="27" t="inlineStr">
        <is>
          <t>PGO10566254</t>
        </is>
      </c>
      <c r="C395" s="27" t="n">
        <v>1</v>
      </c>
      <c r="D395" s="27" t="n">
        <v>1427</v>
      </c>
      <c r="E395" s="27" t="n">
        <v>495</v>
      </c>
      <c r="F395" s="41" t="n">
        <v>45699.18962056713</v>
      </c>
      <c r="G395" s="41" t="n">
        <v>45699.31007009259</v>
      </c>
      <c r="H395" s="41" t="n">
        <v>45699.96261721065</v>
      </c>
      <c r="I395" s="41" t="n">
        <v>45700.020591875</v>
      </c>
      <c r="J395" s="41" t="n">
        <v>45703.00354233796</v>
      </c>
      <c r="K395" s="27" t="inlineStr">
        <is>
          <t>Collected</t>
        </is>
      </c>
      <c r="L395" s="27" t="inlineStr">
        <is>
          <t>Standard</t>
        </is>
      </c>
      <c r="M395" s="27" t="inlineStr">
        <is>
          <t>KwaZulu-Natal</t>
        </is>
      </c>
      <c r="N395" s="27" t="n">
        <v>145.1</v>
      </c>
      <c r="O395" s="27" t="n">
        <v>1.26</v>
      </c>
      <c r="P395" s="27" t="n">
        <v>47.04</v>
      </c>
      <c r="Q395" s="42">
        <f>IF(H395="","",(H395-F395)*24)</f>
        <v/>
      </c>
      <c r="R395" s="42">
        <f>IF(J395="","",(J395-H395)*24)</f>
        <v/>
      </c>
    </row>
    <row r="396" ht="15" customHeight="1" s="24">
      <c r="A396" s="27" t="n">
        <v>557916</v>
      </c>
      <c r="B396" s="27" t="inlineStr">
        <is>
          <t>PGO10557916</t>
        </is>
      </c>
      <c r="C396" s="27" t="n">
        <v>77</v>
      </c>
      <c r="D396" s="27" t="n">
        <v>2138</v>
      </c>
      <c r="E396" s="27" t="n">
        <v>315</v>
      </c>
      <c r="F396" s="41" t="n">
        <v>45699.6098156713</v>
      </c>
      <c r="G396" s="41" t="n">
        <v>45699.90707365741</v>
      </c>
      <c r="H396" s="41" t="n">
        <v>45701.62595307871</v>
      </c>
      <c r="I396" s="41" t="n">
        <v>45701.63512732639</v>
      </c>
      <c r="J396" s="41" t="n">
        <v>45703.29633263889</v>
      </c>
      <c r="K396" s="27" t="inlineStr">
        <is>
          <t>Collected</t>
        </is>
      </c>
      <c r="L396" s="27" t="inlineStr">
        <is>
          <t>Standard</t>
        </is>
      </c>
      <c r="M396" s="27" t="inlineStr">
        <is>
          <t>Western Cape</t>
        </is>
      </c>
      <c r="N396" s="27" t="n">
        <v>1192.39</v>
      </c>
      <c r="O396" s="27" t="n">
        <v>0.31</v>
      </c>
      <c r="P396" s="27" t="n">
        <v>50.51</v>
      </c>
      <c r="Q396" s="42">
        <f>IF(H396="","",(H396-F396)*24)</f>
        <v/>
      </c>
      <c r="R396" s="42">
        <f>IF(J396="","",(J396-H396)*24)</f>
        <v/>
      </c>
    </row>
    <row r="397" ht="15" customHeight="1" s="24">
      <c r="A397" s="27" t="n">
        <v>580819</v>
      </c>
      <c r="B397" s="27" t="inlineStr">
        <is>
          <t>PGO10580819</t>
        </is>
      </c>
      <c r="C397" s="27" t="n">
        <v>99</v>
      </c>
      <c r="D397" s="27" t="n">
        <v>3960</v>
      </c>
      <c r="E397" s="27" t="n">
        <v>122</v>
      </c>
      <c r="F397" s="41" t="n">
        <v>45699.68685824074</v>
      </c>
      <c r="G397" s="41" t="n">
        <v>45700.05908247685</v>
      </c>
      <c r="H397" s="41" t="n">
        <v>45700.78239728009</v>
      </c>
      <c r="I397" s="41" t="n">
        <v>45700.81313819445</v>
      </c>
      <c r="J397" s="41" t="n">
        <v>45701.24347563658</v>
      </c>
      <c r="K397" s="27" t="inlineStr">
        <is>
          <t>Collected</t>
        </is>
      </c>
      <c r="L397" s="27" t="inlineStr">
        <is>
          <t>Standard</t>
        </is>
      </c>
      <c r="M397" s="27" t="inlineStr">
        <is>
          <t>North West</t>
        </is>
      </c>
      <c r="N397" s="27" t="n">
        <v>271.08</v>
      </c>
      <c r="O397" s="27" t="n">
        <v>0.28</v>
      </c>
      <c r="P397" s="27" t="n">
        <v>68.23999999999999</v>
      </c>
      <c r="Q397" s="42">
        <f>IF(H397="","",(H397-F397)*24)</f>
        <v/>
      </c>
      <c r="R397" s="42">
        <f>IF(J397="","",(J397-H397)*24)</f>
        <v/>
      </c>
    </row>
    <row r="398" ht="15" customHeight="1" s="24">
      <c r="A398" s="27" t="n">
        <v>579560</v>
      </c>
      <c r="B398" s="27" t="inlineStr">
        <is>
          <t>PGO10579560</t>
        </is>
      </c>
      <c r="C398" s="27" t="n">
        <v>136</v>
      </c>
      <c r="D398" s="27" t="n">
        <v>2701</v>
      </c>
      <c r="E398" s="27" t="n">
        <v>228</v>
      </c>
      <c r="F398" s="41" t="n">
        <v>45700.37227106481</v>
      </c>
      <c r="G398" s="41" t="n">
        <v>45700.4873630787</v>
      </c>
      <c r="H398" s="41" t="n">
        <v>45701.4207534838</v>
      </c>
      <c r="I398" s="41" t="n">
        <v>45701.43569018519</v>
      </c>
      <c r="J398" s="41" t="n">
        <v>45701.6019427662</v>
      </c>
      <c r="K398" s="27" t="inlineStr">
        <is>
          <t>Collected</t>
        </is>
      </c>
      <c r="L398" s="27" t="inlineStr">
        <is>
          <t>Standard</t>
        </is>
      </c>
      <c r="M398" s="27" t="inlineStr">
        <is>
          <t>KwaZulu-Natal</t>
        </is>
      </c>
      <c r="N398" s="27" t="n">
        <v>312.56</v>
      </c>
      <c r="O398" s="27" t="n">
        <v>0.54</v>
      </c>
      <c r="P398" s="27" t="n">
        <v>56.91</v>
      </c>
      <c r="Q398" s="42">
        <f>IF(H398="","",(H398-F398)*24)</f>
        <v/>
      </c>
      <c r="R398" s="42">
        <f>IF(J398="","",(J398-H398)*24)</f>
        <v/>
      </c>
    </row>
    <row r="399" ht="15" customHeight="1" s="24">
      <c r="A399" s="27" t="n">
        <v>569633</v>
      </c>
      <c r="B399" s="27" t="inlineStr">
        <is>
          <t>PGO10569633</t>
        </is>
      </c>
      <c r="C399" s="27" t="n">
        <v>23</v>
      </c>
      <c r="D399" s="27" t="n">
        <v>2308</v>
      </c>
      <c r="E399" s="27" t="n">
        <v>95</v>
      </c>
      <c r="F399" s="41" t="n">
        <v>45701.93257957176</v>
      </c>
      <c r="G399" s="41" t="n">
        <v>45702.10830083333</v>
      </c>
      <c r="H399" s="41" t="n">
        <v>45702.67152633102</v>
      </c>
      <c r="I399" s="41" t="n">
        <v>45702.68324803241</v>
      </c>
      <c r="J399" s="41" t="n">
        <v>45702.78084859953</v>
      </c>
      <c r="K399" s="27" t="inlineStr">
        <is>
          <t>Collected</t>
        </is>
      </c>
      <c r="L399" s="27" t="inlineStr">
        <is>
          <t>Standard</t>
        </is>
      </c>
      <c r="M399" s="27" t="inlineStr">
        <is>
          <t>Eastern Cape</t>
        </is>
      </c>
      <c r="N399" s="27" t="n">
        <v>394.64</v>
      </c>
      <c r="O399" s="27" t="n">
        <v>1</v>
      </c>
      <c r="P399" s="27" t="n">
        <v>48.57</v>
      </c>
      <c r="Q399" s="42">
        <f>IF(H399="","",(H399-F399)*24)</f>
        <v/>
      </c>
      <c r="R399" s="42">
        <f>IF(J399="","",(J399-H399)*24)</f>
        <v/>
      </c>
    </row>
    <row r="400" ht="15" customHeight="1" s="24">
      <c r="A400" s="27" t="n">
        <v>568889</v>
      </c>
      <c r="B400" s="27" t="inlineStr">
        <is>
          <t>PGO10568889</t>
        </is>
      </c>
      <c r="C400" s="27" t="n">
        <v>33</v>
      </c>
      <c r="D400" s="27" t="n">
        <v>3695</v>
      </c>
      <c r="E400" s="27" t="n">
        <v>281</v>
      </c>
      <c r="F400" s="41" t="n">
        <v>45704.65859068287</v>
      </c>
      <c r="G400" s="41" t="n">
        <v>45705.02206775463</v>
      </c>
      <c r="H400" s="41" t="n">
        <v>45706.80347802083</v>
      </c>
      <c r="I400" s="41" t="n">
        <v>45706.82595075232</v>
      </c>
      <c r="J400" s="41" t="n">
        <v>45706.9609046412</v>
      </c>
      <c r="K400" s="27" t="inlineStr">
        <is>
          <t>Collected</t>
        </is>
      </c>
      <c r="L400" s="27" t="inlineStr">
        <is>
          <t>Standard</t>
        </is>
      </c>
      <c r="M400" s="27" t="inlineStr">
        <is>
          <t>Western Cape</t>
        </is>
      </c>
      <c r="N400" s="27" t="n">
        <v>383.06</v>
      </c>
      <c r="O400" s="27" t="n">
        <v>3.11</v>
      </c>
      <c r="P400" s="27" t="n">
        <v>61.9</v>
      </c>
      <c r="Q400" s="42">
        <f>IF(H400="","",(H400-F400)*24)</f>
        <v/>
      </c>
      <c r="R400" s="42">
        <f>IF(J400="","",(J400-H400)*24)</f>
        <v/>
      </c>
    </row>
    <row r="401" ht="15" customHeight="1" s="24">
      <c r="A401" s="27" t="n">
        <v>564621</v>
      </c>
      <c r="B401" s="27" t="inlineStr">
        <is>
          <t>PGO10564621</t>
        </is>
      </c>
      <c r="C401" s="27" t="n">
        <v>147</v>
      </c>
      <c r="D401" s="27" t="n">
        <v>3736</v>
      </c>
      <c r="E401" s="27" t="n">
        <v>397</v>
      </c>
      <c r="F401" s="41" t="n">
        <v>45706.4908834838</v>
      </c>
      <c r="G401" s="41" t="n">
        <v>45706.64531114583</v>
      </c>
      <c r="H401" s="41" t="n">
        <v>45707.4962415162</v>
      </c>
      <c r="I401" s="41" t="n">
        <v>45707.5483175</v>
      </c>
      <c r="J401" s="41" t="n">
        <v>45707.93448994213</v>
      </c>
      <c r="K401" s="27" t="inlineStr">
        <is>
          <t>Collected</t>
        </is>
      </c>
      <c r="L401" s="27" t="inlineStr">
        <is>
          <t>Standard</t>
        </is>
      </c>
      <c r="M401" s="27" t="inlineStr">
        <is>
          <t>Limpopo</t>
        </is>
      </c>
      <c r="N401" s="27" t="n">
        <v>47.69</v>
      </c>
      <c r="O401" s="27" t="n">
        <v>1.16</v>
      </c>
      <c r="P401" s="27" t="n">
        <v>56.52</v>
      </c>
      <c r="Q401" s="42">
        <f>IF(H401="","",(H401-F401)*24)</f>
        <v/>
      </c>
      <c r="R401" s="42">
        <f>IF(J401="","",(J401-H401)*24)</f>
        <v/>
      </c>
    </row>
    <row r="402" ht="15" customHeight="1" s="24">
      <c r="A402" s="27" t="n">
        <v>573049</v>
      </c>
      <c r="B402" s="27" t="inlineStr">
        <is>
          <t>PGO10573049</t>
        </is>
      </c>
      <c r="C402" s="27" t="n">
        <v>3</v>
      </c>
      <c r="D402" s="27" t="n">
        <v>2922</v>
      </c>
      <c r="E402" s="27" t="n">
        <v>240</v>
      </c>
      <c r="F402" s="41" t="n">
        <v>45707.13033865741</v>
      </c>
      <c r="G402" s="41" t="n">
        <v>45707.68832425926</v>
      </c>
      <c r="H402" s="41" t="n">
        <v>45709.82712137731</v>
      </c>
      <c r="I402" s="41" t="n">
        <v>45709.85729611111</v>
      </c>
      <c r="J402" s="41" t="n">
        <v>45710.09562325232</v>
      </c>
      <c r="K402" s="27" t="inlineStr">
        <is>
          <t>Collected</t>
        </is>
      </c>
      <c r="L402" s="27" t="inlineStr">
        <is>
          <t>Express</t>
        </is>
      </c>
      <c r="M402" s="27" t="inlineStr">
        <is>
          <t>Mpumalanga</t>
        </is>
      </c>
      <c r="N402" s="27" t="n">
        <v>72.48999999999999</v>
      </c>
      <c r="O402" s="27" t="n">
        <v>0.6899999999999999</v>
      </c>
      <c r="P402" s="27" t="n">
        <v>39.53</v>
      </c>
      <c r="Q402" s="42">
        <f>IF(H402="","",(H402-F402)*24)</f>
        <v/>
      </c>
      <c r="R402" s="42">
        <f>IF(J402="","",(J402-H402)*24)</f>
        <v/>
      </c>
    </row>
    <row r="403" ht="15" customHeight="1" s="24">
      <c r="A403" s="27" t="n">
        <v>572355</v>
      </c>
      <c r="B403" s="27" t="inlineStr">
        <is>
          <t>PGO10572355</t>
        </is>
      </c>
      <c r="C403" s="27" t="n">
        <v>5</v>
      </c>
      <c r="D403" s="27" t="n">
        <v>3679</v>
      </c>
      <c r="E403" s="27" t="n">
        <v>351</v>
      </c>
      <c r="F403" s="41" t="n">
        <v>45707.17025869213</v>
      </c>
      <c r="G403" s="41" t="n">
        <v>45707.62453137732</v>
      </c>
      <c r="H403" s="41" t="n">
        <v>45708.54986282407</v>
      </c>
      <c r="I403" s="41" t="n">
        <v>45708.59581017361</v>
      </c>
      <c r="J403" s="41" t="n">
        <v>45709.92661391204</v>
      </c>
      <c r="K403" s="27" t="inlineStr">
        <is>
          <t>Collected</t>
        </is>
      </c>
      <c r="L403" s="27" t="inlineStr">
        <is>
          <t>Express</t>
        </is>
      </c>
      <c r="M403" s="27" t="inlineStr">
        <is>
          <t>Western Cape</t>
        </is>
      </c>
      <c r="N403" s="27" t="n">
        <v>336.92</v>
      </c>
      <c r="O403" s="27" t="n">
        <v>1.11</v>
      </c>
      <c r="P403" s="27" t="n">
        <v>54.44</v>
      </c>
      <c r="Q403" s="42">
        <f>IF(H403="","",(H403-F403)*24)</f>
        <v/>
      </c>
      <c r="R403" s="42">
        <f>IF(J403="","",(J403-H403)*24)</f>
        <v/>
      </c>
    </row>
    <row r="404" ht="15" customHeight="1" s="24">
      <c r="A404" s="27" t="n">
        <v>578812</v>
      </c>
      <c r="B404" s="27" t="inlineStr">
        <is>
          <t>PGO10578812</t>
        </is>
      </c>
      <c r="C404" s="27" t="n">
        <v>22</v>
      </c>
      <c r="D404" s="27" t="n">
        <v>2959</v>
      </c>
      <c r="E404" s="27" t="n">
        <v>204</v>
      </c>
      <c r="F404" s="41" t="n">
        <v>45707.25589819445</v>
      </c>
      <c r="G404" s="41" t="n">
        <v>45707.34550142361</v>
      </c>
      <c r="H404" s="41" t="n">
        <v>45709.00651490741</v>
      </c>
      <c r="I404" s="41" t="n">
        <v>45709.02943509259</v>
      </c>
      <c r="J404" s="41" t="n">
        <v>45709.59379337963</v>
      </c>
      <c r="K404" s="27" t="inlineStr">
        <is>
          <t>Collected</t>
        </is>
      </c>
      <c r="L404" s="27" t="inlineStr">
        <is>
          <t>Standard</t>
        </is>
      </c>
      <c r="M404" s="27" t="inlineStr">
        <is>
          <t>Western Cape</t>
        </is>
      </c>
      <c r="N404" s="27" t="n">
        <v>67.18000000000001</v>
      </c>
      <c r="O404" s="27" t="n">
        <v>1.13</v>
      </c>
      <c r="P404" s="27" t="n">
        <v>53.24</v>
      </c>
      <c r="Q404" s="42">
        <f>IF(H404="","",(H404-F404)*24)</f>
        <v/>
      </c>
      <c r="R404" s="42">
        <f>IF(J404="","",(J404-H404)*24)</f>
        <v/>
      </c>
    </row>
    <row r="405" ht="15" customHeight="1" s="24">
      <c r="A405" s="27" t="n">
        <v>559610</v>
      </c>
      <c r="B405" s="27" t="inlineStr">
        <is>
          <t>PGO10559610</t>
        </is>
      </c>
      <c r="C405" s="27" t="n">
        <v>1</v>
      </c>
      <c r="D405" s="27" t="n">
        <v>2368</v>
      </c>
      <c r="E405" s="27" t="n">
        <v>130</v>
      </c>
      <c r="F405" s="41" t="n">
        <v>45708.93185659722</v>
      </c>
      <c r="G405" s="41" t="n">
        <v>45709.12075504629</v>
      </c>
      <c r="H405" s="41" t="n">
        <v>45709.47915070602</v>
      </c>
      <c r="I405" s="41" t="n">
        <v>45709.4844027662</v>
      </c>
      <c r="J405" s="41" t="n">
        <v>45711.33977111111</v>
      </c>
      <c r="K405" s="27" t="inlineStr">
        <is>
          <t>Collected</t>
        </is>
      </c>
      <c r="L405" s="27" t="inlineStr">
        <is>
          <t>Express</t>
        </is>
      </c>
      <c r="M405" s="27" t="inlineStr">
        <is>
          <t>Gauteng</t>
        </is>
      </c>
      <c r="N405" s="27" t="n">
        <v>326.55</v>
      </c>
      <c r="O405" s="27" t="n">
        <v>3.67</v>
      </c>
      <c r="P405" s="27" t="n">
        <v>47.47</v>
      </c>
      <c r="Q405" s="42">
        <f>IF(H405="","",(H405-F405)*24)</f>
        <v/>
      </c>
      <c r="R405" s="42">
        <f>IF(J405="","",(J405-H405)*24)</f>
        <v/>
      </c>
    </row>
    <row r="406" ht="15" customHeight="1" s="24">
      <c r="A406" s="27" t="n">
        <v>571099</v>
      </c>
      <c r="B406" s="27" t="inlineStr">
        <is>
          <t>PGO10571099</t>
        </is>
      </c>
      <c r="C406" s="27" t="n">
        <v>5</v>
      </c>
      <c r="D406" s="27" t="n">
        <v>2031</v>
      </c>
      <c r="E406" s="27" t="n">
        <v>189</v>
      </c>
      <c r="F406" s="41" t="n">
        <v>45712.47206796296</v>
      </c>
      <c r="G406" s="41" t="n">
        <v>45712.56855819444</v>
      </c>
      <c r="H406" s="41" t="n">
        <v>45713.13919144676</v>
      </c>
      <c r="I406" s="41" t="n">
        <v>45713.19138069444</v>
      </c>
      <c r="J406" s="41" t="n">
        <v>45716.15174796296</v>
      </c>
      <c r="K406" s="27" t="inlineStr">
        <is>
          <t>Collected</t>
        </is>
      </c>
      <c r="L406" s="27" t="inlineStr">
        <is>
          <t>Standard</t>
        </is>
      </c>
      <c r="M406" s="27" t="inlineStr">
        <is>
          <t>North West</t>
        </is>
      </c>
      <c r="N406" s="27" t="n">
        <v>156.1</v>
      </c>
      <c r="O406" s="27" t="n">
        <v>0.45</v>
      </c>
      <c r="P406" s="27" t="n">
        <v>54.63</v>
      </c>
      <c r="Q406" s="42">
        <f>IF(H406="","",(H406-F406)*24)</f>
        <v/>
      </c>
      <c r="R406" s="42">
        <f>IF(J406="","",(J406-H406)*24)</f>
        <v/>
      </c>
    </row>
    <row r="407" ht="15" customHeight="1" s="24">
      <c r="A407" s="27" t="n">
        <v>563628</v>
      </c>
      <c r="B407" s="27" t="inlineStr">
        <is>
          <t>PGO10563628</t>
        </is>
      </c>
      <c r="C407" s="27" t="n">
        <v>1</v>
      </c>
      <c r="D407" s="27" t="n">
        <v>3299</v>
      </c>
      <c r="E407" s="27" t="n">
        <v>53</v>
      </c>
      <c r="F407" s="41" t="n">
        <v>45713.20153585648</v>
      </c>
      <c r="G407" s="41" t="n">
        <v>45713.53386309028</v>
      </c>
      <c r="H407" s="41" t="n">
        <v>45714.90791506945</v>
      </c>
      <c r="I407" s="41" t="n">
        <v>45714.95503280093</v>
      </c>
      <c r="J407" s="41" t="n">
        <v>45717.04192451389</v>
      </c>
      <c r="K407" s="27" t="inlineStr">
        <is>
          <t>Collected</t>
        </is>
      </c>
      <c r="L407" s="27" t="inlineStr">
        <is>
          <t>Standard</t>
        </is>
      </c>
      <c r="M407" s="27" t="inlineStr">
        <is>
          <t>Limpopo</t>
        </is>
      </c>
      <c r="N407" s="27" t="n">
        <v>119.39</v>
      </c>
      <c r="O407" s="27" t="n">
        <v>1.36</v>
      </c>
      <c r="P407" s="27" t="n">
        <v>48.36</v>
      </c>
      <c r="Q407" s="42">
        <f>IF(H407="","",(H407-F407)*24)</f>
        <v/>
      </c>
      <c r="R407" s="42">
        <f>IF(J407="","",(J407-H407)*24)</f>
        <v/>
      </c>
    </row>
    <row r="408" ht="15" customHeight="1" s="24">
      <c r="A408" s="27" t="n">
        <v>563355</v>
      </c>
      <c r="B408" s="27" t="inlineStr">
        <is>
          <t>PGO10563355</t>
        </is>
      </c>
      <c r="C408" s="27" t="n">
        <v>3</v>
      </c>
      <c r="D408" s="27" t="n">
        <v>2905</v>
      </c>
      <c r="E408" s="27" t="n">
        <v>301</v>
      </c>
      <c r="F408" s="41" t="n">
        <v>45713.55711083333</v>
      </c>
      <c r="G408" s="41" t="n">
        <v>45713.78788806713</v>
      </c>
      <c r="H408" s="41" t="n">
        <v>45714.72619126157</v>
      </c>
      <c r="I408" s="41" t="n">
        <v>45714.76314896991</v>
      </c>
      <c r="J408" s="41" t="n">
        <v>45715.62628047453</v>
      </c>
      <c r="K408" s="27" t="inlineStr">
        <is>
          <t>Collected</t>
        </is>
      </c>
      <c r="L408" s="27" t="inlineStr">
        <is>
          <t>Standard</t>
        </is>
      </c>
      <c r="M408" s="27" t="inlineStr">
        <is>
          <t>Mpumalanga</t>
        </is>
      </c>
      <c r="N408" s="27" t="n">
        <v>62</v>
      </c>
      <c r="O408" s="27" t="n">
        <v>0.75</v>
      </c>
      <c r="P408" s="27" t="n">
        <v>37.86</v>
      </c>
      <c r="Q408" s="42">
        <f>IF(H408="","",(H408-F408)*24)</f>
        <v/>
      </c>
      <c r="R408" s="42">
        <f>IF(J408="","",(J408-H408)*24)</f>
        <v/>
      </c>
    </row>
    <row r="409" ht="15" customHeight="1" s="24">
      <c r="A409" s="27" t="n">
        <v>559146</v>
      </c>
      <c r="B409" s="27" t="inlineStr">
        <is>
          <t>PGO10559146</t>
        </is>
      </c>
      <c r="C409" s="27" t="n">
        <v>1</v>
      </c>
      <c r="D409" s="27" t="n">
        <v>2596</v>
      </c>
      <c r="E409" s="27" t="n">
        <v>280</v>
      </c>
      <c r="F409" s="41" t="n">
        <v>45713.94207121528</v>
      </c>
      <c r="G409" s="41" t="n">
        <v>45714.43592266204</v>
      </c>
      <c r="H409" s="41" t="n">
        <v>45715.4364941551</v>
      </c>
      <c r="I409" s="41" t="n">
        <v>45715.49130440972</v>
      </c>
      <c r="J409" s="41" t="n">
        <v>45715.65658846065</v>
      </c>
      <c r="K409" s="27" t="inlineStr">
        <is>
          <t>Collected</t>
        </is>
      </c>
      <c r="L409" s="27" t="inlineStr">
        <is>
          <t>Standard</t>
        </is>
      </c>
      <c r="M409" s="27" t="inlineStr">
        <is>
          <t>Gauteng</t>
        </is>
      </c>
      <c r="N409" s="27" t="n">
        <v>216.29</v>
      </c>
      <c r="O409" s="27" t="n">
        <v>0.5600000000000001</v>
      </c>
      <c r="P409" s="27" t="n">
        <v>45.82</v>
      </c>
      <c r="Q409" s="42">
        <f>IF(H409="","",(H409-F409)*24)</f>
        <v/>
      </c>
      <c r="R409" s="42">
        <f>IF(J409="","",(J409-H409)*24)</f>
        <v/>
      </c>
    </row>
    <row r="410" ht="15" customHeight="1" s="24">
      <c r="A410" s="27" t="n">
        <v>608270</v>
      </c>
      <c r="B410" s="27" t="inlineStr">
        <is>
          <t>PGO10608270</t>
        </is>
      </c>
      <c r="C410" s="27" t="n">
        <v>60</v>
      </c>
      <c r="D410" s="27" t="n">
        <v>3225</v>
      </c>
      <c r="E410" s="27" t="n">
        <v>404</v>
      </c>
      <c r="F410" s="41" t="n">
        <v>45718.45958011574</v>
      </c>
      <c r="G410" s="41" t="n">
        <v>45718.65478651621</v>
      </c>
      <c r="H410" s="41" t="n">
        <v>45719.84821799769</v>
      </c>
      <c r="I410" s="41" t="n">
        <v>45719.90428728009</v>
      </c>
      <c r="J410" s="41" t="n">
        <v>45722.80942204861</v>
      </c>
      <c r="K410" s="27" t="inlineStr">
        <is>
          <t>Collected</t>
        </is>
      </c>
      <c r="L410" s="27" t="inlineStr">
        <is>
          <t>Standard</t>
        </is>
      </c>
      <c r="M410" s="27" t="inlineStr">
        <is>
          <t>North West</t>
        </is>
      </c>
      <c r="N410" s="27" t="n">
        <v>517.03</v>
      </c>
      <c r="O410" s="27" t="n">
        <v>1.54</v>
      </c>
      <c r="P410" s="27" t="n">
        <v>68.13</v>
      </c>
      <c r="Q410" s="42">
        <f>IF(H410="","",(H410-F410)*24)</f>
        <v/>
      </c>
      <c r="R410" s="42">
        <f>IF(J410="","",(J410-H410)*24)</f>
        <v/>
      </c>
    </row>
    <row r="411" ht="15" customHeight="1" s="24">
      <c r="A411" s="27" t="n">
        <v>585336</v>
      </c>
      <c r="B411" s="27" t="inlineStr">
        <is>
          <t>PGO10585336</t>
        </is>
      </c>
      <c r="C411" s="27" t="n">
        <v>11</v>
      </c>
      <c r="D411" s="27" t="n">
        <v>3695</v>
      </c>
      <c r="E411" s="27" t="n">
        <v>312</v>
      </c>
      <c r="F411" s="41" t="n">
        <v>45720.18068628472</v>
      </c>
      <c r="G411" s="41" t="n">
        <v>45720.50334130787</v>
      </c>
      <c r="H411" s="41" t="n">
        <v>45721.52584446759</v>
      </c>
      <c r="I411" s="41" t="n">
        <v>45721.53515658565</v>
      </c>
      <c r="J411" s="41" t="n">
        <v>45724.67478038195</v>
      </c>
      <c r="K411" s="27" t="inlineStr">
        <is>
          <t>Collected</t>
        </is>
      </c>
      <c r="L411" s="27" t="inlineStr">
        <is>
          <t>Standard</t>
        </is>
      </c>
      <c r="M411" s="27" t="inlineStr">
        <is>
          <t>Western Cape</t>
        </is>
      </c>
      <c r="N411" s="27" t="n">
        <v>873.71</v>
      </c>
      <c r="O411" s="27" t="n">
        <v>2.49</v>
      </c>
      <c r="P411" s="27" t="n">
        <v>64.73999999999999</v>
      </c>
      <c r="Q411" s="42">
        <f>IF(H411="","",(H411-F411)*24)</f>
        <v/>
      </c>
      <c r="R411" s="42">
        <f>IF(J411="","",(J411-H411)*24)</f>
        <v/>
      </c>
    </row>
    <row r="412" ht="15" customHeight="1" s="24">
      <c r="A412" s="27" t="n">
        <v>588793</v>
      </c>
      <c r="B412" s="27" t="inlineStr">
        <is>
          <t>PGO10588793</t>
        </is>
      </c>
      <c r="C412" s="27" t="n">
        <v>56</v>
      </c>
      <c r="D412" s="27" t="n">
        <v>974</v>
      </c>
      <c r="E412" s="27" t="n">
        <v>285</v>
      </c>
      <c r="F412" s="41" t="n">
        <v>45721.40803083334</v>
      </c>
      <c r="G412" s="41" t="n">
        <v>45721.79923244213</v>
      </c>
      <c r="H412" s="41" t="n">
        <v>45722.6416062037</v>
      </c>
      <c r="I412" s="41" t="n">
        <v>45722.6523609375</v>
      </c>
      <c r="J412" s="41" t="n">
        <v>45723.35828684028</v>
      </c>
      <c r="K412" s="27" t="inlineStr">
        <is>
          <t>Collected</t>
        </is>
      </c>
      <c r="L412" s="27" t="inlineStr">
        <is>
          <t>Standard</t>
        </is>
      </c>
      <c r="M412" s="27" t="inlineStr">
        <is>
          <t>North West</t>
        </is>
      </c>
      <c r="N412" s="27" t="n">
        <v>311.55</v>
      </c>
      <c r="O412" s="27" t="n">
        <v>0.76</v>
      </c>
      <c r="P412" s="27" t="n">
        <v>55.59</v>
      </c>
      <c r="Q412" s="42">
        <f>IF(H412="","",(H412-F412)*24)</f>
        <v/>
      </c>
      <c r="R412" s="42">
        <f>IF(J412="","",(J412-H412)*24)</f>
        <v/>
      </c>
    </row>
    <row r="413" ht="15" customHeight="1" s="24">
      <c r="A413" s="27" t="n">
        <v>598079</v>
      </c>
      <c r="B413" s="27" t="inlineStr">
        <is>
          <t>PGO10598079</t>
        </is>
      </c>
      <c r="C413" s="27" t="n">
        <v>56</v>
      </c>
      <c r="D413" s="27" t="n">
        <v>2201</v>
      </c>
      <c r="E413" s="27" t="n">
        <v>311</v>
      </c>
      <c r="F413" s="41" t="n">
        <v>45721.45854729167</v>
      </c>
      <c r="G413" s="41" t="n">
        <v>45721.60613212963</v>
      </c>
      <c r="H413" s="41" t="n">
        <v>45721.75089832176</v>
      </c>
      <c r="I413" s="41" t="n">
        <v>45721.8002412963</v>
      </c>
      <c r="J413" s="41" t="n">
        <v>45723.08189910879</v>
      </c>
      <c r="K413" s="27" t="inlineStr">
        <is>
          <t>Collected</t>
        </is>
      </c>
      <c r="L413" s="27" t="inlineStr">
        <is>
          <t>Express</t>
        </is>
      </c>
      <c r="M413" s="27" t="inlineStr">
        <is>
          <t>KwaZulu-Natal</t>
        </is>
      </c>
      <c r="N413" s="27" t="n">
        <v>736.83</v>
      </c>
      <c r="O413" s="27" t="n">
        <v>0.59</v>
      </c>
      <c r="P413" s="27" t="n">
        <v>58.44</v>
      </c>
      <c r="Q413" s="42">
        <f>IF(H413="","",(H413-F413)*24)</f>
        <v/>
      </c>
      <c r="R413" s="42">
        <f>IF(J413="","",(J413-H413)*24)</f>
        <v/>
      </c>
    </row>
    <row r="414" ht="15" customHeight="1" s="24">
      <c r="A414" s="27" t="n">
        <v>614549</v>
      </c>
      <c r="B414" s="27" t="inlineStr">
        <is>
          <t>PGO10614549</t>
        </is>
      </c>
      <c r="C414" s="27" t="n">
        <v>7</v>
      </c>
      <c r="D414" s="27" t="n">
        <v>153</v>
      </c>
      <c r="E414" s="27" t="n">
        <v>363</v>
      </c>
      <c r="F414" s="41" t="n">
        <v>45721.80172775463</v>
      </c>
      <c r="G414" s="41" t="n">
        <v>45721.90012175926</v>
      </c>
      <c r="H414" s="41" t="n">
        <v>45722.80602100695</v>
      </c>
      <c r="I414" s="41" t="n">
        <v>45722.82101099537</v>
      </c>
      <c r="J414" s="41" t="n">
        <v>45723.62037077546</v>
      </c>
      <c r="K414" s="27" t="inlineStr">
        <is>
          <t>Collected</t>
        </is>
      </c>
      <c r="L414" s="27" t="inlineStr">
        <is>
          <t>Express</t>
        </is>
      </c>
      <c r="M414" s="27" t="inlineStr">
        <is>
          <t>North West</t>
        </is>
      </c>
      <c r="N414" s="27" t="n">
        <v>197.28</v>
      </c>
      <c r="O414" s="27" t="n">
        <v>0.48</v>
      </c>
      <c r="P414" s="27" t="n">
        <v>48.95</v>
      </c>
      <c r="Q414" s="42">
        <f>IF(H414="","",(H414-F414)*24)</f>
        <v/>
      </c>
      <c r="R414" s="42">
        <f>IF(J414="","",(J414-H414)*24)</f>
        <v/>
      </c>
    </row>
    <row r="415" ht="15" customHeight="1" s="24">
      <c r="A415" s="27" t="n">
        <v>592838</v>
      </c>
      <c r="B415" s="27" t="inlineStr">
        <is>
          <t>PGO10592838</t>
        </is>
      </c>
      <c r="C415" s="27" t="n">
        <v>145</v>
      </c>
      <c r="D415" s="27" t="n">
        <v>1697</v>
      </c>
      <c r="E415" s="27" t="n">
        <v>114</v>
      </c>
      <c r="F415" s="41" t="n">
        <v>45722.06718072917</v>
      </c>
      <c r="G415" s="41" t="n">
        <v>45722.59064891204</v>
      </c>
      <c r="H415" s="41" t="n">
        <v>45723.47386888889</v>
      </c>
      <c r="I415" s="41" t="n">
        <v>45723.50431554398</v>
      </c>
      <c r="J415" s="41" t="n">
        <v>45725.08723736111</v>
      </c>
      <c r="K415" s="27" t="inlineStr">
        <is>
          <t>Collected</t>
        </is>
      </c>
      <c r="L415" s="27" t="inlineStr">
        <is>
          <t>Standard</t>
        </is>
      </c>
      <c r="M415" s="27" t="inlineStr">
        <is>
          <t>Mpumalanga</t>
        </is>
      </c>
      <c r="N415" s="27" t="n">
        <v>86.56999999999999</v>
      </c>
      <c r="O415" s="27" t="n">
        <v>1.7</v>
      </c>
      <c r="P415" s="27" t="n">
        <v>56.54</v>
      </c>
      <c r="Q415" s="42">
        <f>IF(H415="","",(H415-F415)*24)</f>
        <v/>
      </c>
      <c r="R415" s="42">
        <f>IF(J415="","",(J415-H415)*24)</f>
        <v/>
      </c>
    </row>
    <row r="416" ht="15" customHeight="1" s="24">
      <c r="A416" s="27" t="n">
        <v>596358</v>
      </c>
      <c r="B416" s="27" t="inlineStr">
        <is>
          <t>PGO10596358</t>
        </is>
      </c>
      <c r="C416" s="27" t="n">
        <v>76</v>
      </c>
      <c r="D416" s="27" t="n">
        <v>2707</v>
      </c>
      <c r="E416" s="27" t="n">
        <v>122</v>
      </c>
      <c r="F416" s="41" t="n">
        <v>45724.02441224537</v>
      </c>
      <c r="G416" s="41" t="n">
        <v>45724.16333731481</v>
      </c>
      <c r="H416" s="41" t="n">
        <v>45725.38212085648</v>
      </c>
      <c r="I416" s="41" t="n">
        <v>45725.38658356482</v>
      </c>
      <c r="J416" s="41" t="n">
        <v>45725.54743738426</v>
      </c>
      <c r="K416" s="27" t="inlineStr">
        <is>
          <t>Collected</t>
        </is>
      </c>
      <c r="L416" s="27" t="inlineStr">
        <is>
          <t>Standard</t>
        </is>
      </c>
      <c r="M416" s="27" t="inlineStr">
        <is>
          <t>North West</t>
        </is>
      </c>
      <c r="N416" s="27" t="n">
        <v>484.21</v>
      </c>
      <c r="O416" s="27" t="n">
        <v>1.48</v>
      </c>
      <c r="P416" s="27" t="n">
        <v>52.83</v>
      </c>
      <c r="Q416" s="42">
        <f>IF(H416="","",(H416-F416)*24)</f>
        <v/>
      </c>
      <c r="R416" s="42">
        <f>IF(J416="","",(J416-H416)*24)</f>
        <v/>
      </c>
    </row>
    <row r="417" ht="15" customHeight="1" s="24">
      <c r="A417" s="27" t="n">
        <v>603601</v>
      </c>
      <c r="B417" s="27" t="inlineStr">
        <is>
          <t>PGO10603601</t>
        </is>
      </c>
      <c r="C417" s="27" t="n">
        <v>92</v>
      </c>
      <c r="D417" s="27" t="n">
        <v>317</v>
      </c>
      <c r="E417" s="27" t="n">
        <v>158</v>
      </c>
      <c r="F417" s="41" t="n">
        <v>45724.68916037037</v>
      </c>
      <c r="G417" s="41" t="n">
        <v>45724.95038670139</v>
      </c>
      <c r="H417" s="41" t="n">
        <v>45726.08928969908</v>
      </c>
      <c r="I417" s="41" t="n">
        <v>45726.13109359954</v>
      </c>
      <c r="J417" s="41" t="n">
        <v>45726.63032263889</v>
      </c>
      <c r="K417" s="27" t="inlineStr">
        <is>
          <t>Collected</t>
        </is>
      </c>
      <c r="L417" s="27" t="inlineStr">
        <is>
          <t>Standard</t>
        </is>
      </c>
      <c r="M417" s="27" t="inlineStr">
        <is>
          <t>Northern Cape</t>
        </is>
      </c>
      <c r="N417" s="27" t="n">
        <v>419.92</v>
      </c>
      <c r="O417" s="27" t="n">
        <v>2.15</v>
      </c>
      <c r="P417" s="27" t="n">
        <v>58.22</v>
      </c>
      <c r="Q417" s="42">
        <f>IF(H417="","",(H417-F417)*24)</f>
        <v/>
      </c>
      <c r="R417" s="42">
        <f>IF(J417="","",(J417-H417)*24)</f>
        <v/>
      </c>
    </row>
    <row r="418" ht="15" customHeight="1" s="24">
      <c r="A418" s="27" t="n">
        <v>598709</v>
      </c>
      <c r="B418" s="27" t="inlineStr">
        <is>
          <t>PGO10598709</t>
        </is>
      </c>
      <c r="C418" s="27" t="n">
        <v>6</v>
      </c>
      <c r="D418" s="27" t="n">
        <v>957</v>
      </c>
      <c r="E418" s="27" t="n">
        <v>3</v>
      </c>
      <c r="F418" s="41" t="n">
        <v>45725.23650016203</v>
      </c>
      <c r="G418" s="41" t="n">
        <v>45725.30170675926</v>
      </c>
      <c r="H418" s="41" t="n">
        <v>45725.75505225694</v>
      </c>
      <c r="I418" s="41" t="n">
        <v>45725.77686880787</v>
      </c>
      <c r="J418" s="41" t="n">
        <v>45726.31055130787</v>
      </c>
      <c r="K418" s="27" t="inlineStr">
        <is>
          <t>Collected</t>
        </is>
      </c>
      <c r="L418" s="27" t="inlineStr">
        <is>
          <t>Standard</t>
        </is>
      </c>
      <c r="M418" s="27" t="inlineStr">
        <is>
          <t>Gauteng</t>
        </is>
      </c>
      <c r="N418" s="27" t="n">
        <v>153.64</v>
      </c>
      <c r="O418" s="27" t="n">
        <v>0.52</v>
      </c>
      <c r="P418" s="27" t="n">
        <v>40.46</v>
      </c>
      <c r="Q418" s="42">
        <f>IF(H418="","",(H418-F418)*24)</f>
        <v/>
      </c>
      <c r="R418" s="42">
        <f>IF(J418="","",(J418-H418)*24)</f>
        <v/>
      </c>
    </row>
    <row r="419" ht="15" customHeight="1" s="24">
      <c r="A419" s="27" t="n">
        <v>590852</v>
      </c>
      <c r="B419" s="27" t="inlineStr">
        <is>
          <t>PGO10590852</t>
        </is>
      </c>
      <c r="C419" s="27" t="n">
        <v>3</v>
      </c>
      <c r="D419" s="27" t="n">
        <v>1795</v>
      </c>
      <c r="E419" s="27" t="n">
        <v>48</v>
      </c>
      <c r="F419" s="41" t="n">
        <v>45726.31867753472</v>
      </c>
      <c r="G419" s="41" t="n">
        <v>45726.49995653935</v>
      </c>
      <c r="H419" s="41" t="n">
        <v>45727.25522780092</v>
      </c>
      <c r="I419" s="41" t="n">
        <v>45727.31410509259</v>
      </c>
      <c r="J419" s="41" t="n">
        <v>45727.72820200231</v>
      </c>
      <c r="K419" s="27" t="inlineStr">
        <is>
          <t>Collected</t>
        </is>
      </c>
      <c r="L419" s="27" t="inlineStr">
        <is>
          <t>Standard</t>
        </is>
      </c>
      <c r="M419" s="27" t="inlineStr">
        <is>
          <t>KwaZulu-Natal</t>
        </is>
      </c>
      <c r="N419" s="27" t="n">
        <v>423.35</v>
      </c>
      <c r="O419" s="27" t="n">
        <v>0.76</v>
      </c>
      <c r="P419" s="27" t="n">
        <v>38.58</v>
      </c>
      <c r="Q419" s="42">
        <f>IF(H419="","",(H419-F419)*24)</f>
        <v/>
      </c>
      <c r="R419" s="42">
        <f>IF(J419="","",(J419-H419)*24)</f>
        <v/>
      </c>
    </row>
    <row r="420" ht="15" customHeight="1" s="24">
      <c r="A420" s="27" t="n">
        <v>611139</v>
      </c>
      <c r="B420" s="27" t="inlineStr">
        <is>
          <t>PGO10611139</t>
        </is>
      </c>
      <c r="C420" s="27" t="n">
        <v>2</v>
      </c>
      <c r="D420" s="27" t="n">
        <v>2588</v>
      </c>
      <c r="E420" s="27" t="n">
        <v>476</v>
      </c>
      <c r="F420" s="41" t="n">
        <v>45726.70918739583</v>
      </c>
      <c r="G420" s="41" t="n">
        <v>45726.96387611111</v>
      </c>
      <c r="H420" s="41" t="n">
        <v>45727.69426453704</v>
      </c>
      <c r="I420" s="41" t="n">
        <v>45727.7534103588</v>
      </c>
      <c r="J420" s="41" t="n">
        <v>45727.92401446759</v>
      </c>
      <c r="K420" s="27" t="inlineStr">
        <is>
          <t>Collected</t>
        </is>
      </c>
      <c r="L420" s="27" t="inlineStr">
        <is>
          <t>Standard</t>
        </is>
      </c>
      <c r="M420" s="27" t="inlineStr">
        <is>
          <t>Western Cape</t>
        </is>
      </c>
      <c r="N420" s="27" t="n">
        <v>1138.68</v>
      </c>
      <c r="O420" s="27" t="n">
        <v>5.62</v>
      </c>
      <c r="P420" s="27" t="n">
        <v>67.53</v>
      </c>
      <c r="Q420" s="42">
        <f>IF(H420="","",(H420-F420)*24)</f>
        <v/>
      </c>
      <c r="R420" s="42">
        <f>IF(J420="","",(J420-H420)*24)</f>
        <v/>
      </c>
    </row>
    <row r="421" ht="15" customHeight="1" s="24">
      <c r="A421" s="27" t="n">
        <v>599437</v>
      </c>
      <c r="B421" s="27" t="inlineStr">
        <is>
          <t>PGO10599437</t>
        </is>
      </c>
      <c r="C421" s="27" t="n">
        <v>6</v>
      </c>
      <c r="D421" s="27" t="n">
        <v>2999</v>
      </c>
      <c r="E421" s="27" t="n">
        <v>45</v>
      </c>
      <c r="F421" s="41" t="n">
        <v>45727.14395206019</v>
      </c>
      <c r="G421" s="41" t="n">
        <v>45727.48920732639</v>
      </c>
      <c r="H421" s="41" t="n">
        <v>45728.33301877315</v>
      </c>
      <c r="I421" s="41" t="n">
        <v>45728.38735754629</v>
      </c>
      <c r="J421" s="41" t="n">
        <v>45730.12312890046</v>
      </c>
      <c r="K421" s="27" t="inlineStr">
        <is>
          <t>Collected</t>
        </is>
      </c>
      <c r="L421" s="27" t="inlineStr">
        <is>
          <t>Standard</t>
        </is>
      </c>
      <c r="M421" s="27" t="inlineStr">
        <is>
          <t>North West</t>
        </is>
      </c>
      <c r="N421" s="27" t="n">
        <v>1049.43</v>
      </c>
      <c r="O421" s="27" t="n">
        <v>2.01</v>
      </c>
      <c r="P421" s="27" t="n">
        <v>38.37</v>
      </c>
      <c r="Q421" s="42">
        <f>IF(H421="","",(H421-F421)*24)</f>
        <v/>
      </c>
      <c r="R421" s="42">
        <f>IF(J421="","",(J421-H421)*24)</f>
        <v/>
      </c>
    </row>
    <row r="422" ht="15" customHeight="1" s="24">
      <c r="A422" s="27" t="n">
        <v>602688</v>
      </c>
      <c r="B422" s="27" t="inlineStr">
        <is>
          <t>PGO10602688</t>
        </is>
      </c>
      <c r="C422" s="27" t="n">
        <v>8</v>
      </c>
      <c r="D422" s="27" t="n">
        <v>1909</v>
      </c>
      <c r="E422" s="27" t="n">
        <v>231</v>
      </c>
      <c r="F422" s="41" t="n">
        <v>45729.86951134259</v>
      </c>
      <c r="G422" s="41" t="n">
        <v>45730.14370315972</v>
      </c>
      <c r="H422" s="41" t="n">
        <v>45731.04108677083</v>
      </c>
      <c r="I422" s="41" t="n">
        <v>45731.09965258102</v>
      </c>
      <c r="J422" s="41" t="n">
        <v>45731.50252840278</v>
      </c>
      <c r="K422" s="27" t="inlineStr">
        <is>
          <t>Collected</t>
        </is>
      </c>
      <c r="L422" s="27" t="inlineStr">
        <is>
          <t>Standard</t>
        </is>
      </c>
      <c r="M422" s="27" t="inlineStr">
        <is>
          <t>Limpopo</t>
        </is>
      </c>
      <c r="N422" s="27" t="n">
        <v>171.94</v>
      </c>
      <c r="O422" s="27" t="n">
        <v>3.92</v>
      </c>
      <c r="P422" s="27" t="n">
        <v>56.56</v>
      </c>
      <c r="Q422" s="42">
        <f>IF(H422="","",(H422-F422)*24)</f>
        <v/>
      </c>
      <c r="R422" s="42">
        <f>IF(J422="","",(J422-H422)*24)</f>
        <v/>
      </c>
    </row>
    <row r="423" ht="15" customHeight="1" s="24">
      <c r="A423" s="27" t="n">
        <v>608201</v>
      </c>
      <c r="B423" s="27" t="inlineStr">
        <is>
          <t>PGO10608201</t>
        </is>
      </c>
      <c r="C423" s="27" t="n">
        <v>39</v>
      </c>
      <c r="D423" s="27" t="n">
        <v>611</v>
      </c>
      <c r="E423" s="27" t="n">
        <v>174</v>
      </c>
      <c r="F423" s="41" t="n">
        <v>45730.09474796296</v>
      </c>
      <c r="G423" s="41" t="n">
        <v>45730.64073107639</v>
      </c>
      <c r="H423" s="41" t="n">
        <v>45731.36620685185</v>
      </c>
      <c r="I423" s="41" t="n">
        <v>45731.37315784722</v>
      </c>
      <c r="J423" s="41" t="n">
        <v>45731.8789021875</v>
      </c>
      <c r="K423" s="27" t="inlineStr">
        <is>
          <t>Collected</t>
        </is>
      </c>
      <c r="L423" s="27" t="inlineStr">
        <is>
          <t>Standard</t>
        </is>
      </c>
      <c r="M423" s="27" t="inlineStr">
        <is>
          <t>Gauteng</t>
        </is>
      </c>
      <c r="N423" s="27" t="n">
        <v>171.37</v>
      </c>
      <c r="O423" s="27" t="n">
        <v>5.3</v>
      </c>
      <c r="P423" s="27" t="n">
        <v>83.95</v>
      </c>
      <c r="Q423" s="42">
        <f>IF(H423="","",(H423-F423)*24)</f>
        <v/>
      </c>
      <c r="R423" s="42">
        <f>IF(J423="","",(J423-H423)*24)</f>
        <v/>
      </c>
    </row>
    <row r="424" ht="15" customHeight="1" s="24">
      <c r="A424" s="27" t="n">
        <v>600024</v>
      </c>
      <c r="B424" s="27" t="inlineStr">
        <is>
          <t>PGO10600024</t>
        </is>
      </c>
      <c r="C424" s="27" t="n">
        <v>64</v>
      </c>
      <c r="D424" s="27" t="n">
        <v>1836</v>
      </c>
      <c r="E424" s="27" t="n">
        <v>193</v>
      </c>
      <c r="F424" s="41" t="n">
        <v>45730.36141947917</v>
      </c>
      <c r="G424" s="41" t="n">
        <v>45730.42503662037</v>
      </c>
      <c r="H424" s="41" t="n">
        <v>45731.21082694444</v>
      </c>
      <c r="I424" s="41" t="n">
        <v>45731.23481380787</v>
      </c>
      <c r="J424" s="41" t="n">
        <v>45733.47939458333</v>
      </c>
      <c r="K424" s="27" t="inlineStr">
        <is>
          <t>Collected</t>
        </is>
      </c>
      <c r="L424" s="27" t="inlineStr">
        <is>
          <t>Standard</t>
        </is>
      </c>
      <c r="M424" s="27" t="inlineStr">
        <is>
          <t>Western Cape</t>
        </is>
      </c>
      <c r="N424" s="27" t="n">
        <v>98.34999999999999</v>
      </c>
      <c r="O424" s="27" t="n">
        <v>0.68</v>
      </c>
      <c r="P424" s="27" t="n">
        <v>64.06999999999999</v>
      </c>
      <c r="Q424" s="42">
        <f>IF(H424="","",(H424-F424)*24)</f>
        <v/>
      </c>
      <c r="R424" s="42">
        <f>IF(J424="","",(J424-H424)*24)</f>
        <v/>
      </c>
    </row>
    <row r="425" ht="15" customHeight="1" s="24">
      <c r="A425" s="27" t="n">
        <v>614207</v>
      </c>
      <c r="B425" s="27" t="inlineStr">
        <is>
          <t>PGO10614207</t>
        </is>
      </c>
      <c r="C425" s="27" t="n">
        <v>23</v>
      </c>
      <c r="D425" s="27" t="n">
        <v>3608</v>
      </c>
      <c r="E425" s="27" t="n">
        <v>294</v>
      </c>
      <c r="F425" s="41" t="n">
        <v>45733.09250701389</v>
      </c>
      <c r="G425" s="41" t="n">
        <v>45733.29742859954</v>
      </c>
      <c r="H425" s="41" t="n">
        <v>45734.8366590625</v>
      </c>
      <c r="I425" s="41" t="n">
        <v>45734.84126162037</v>
      </c>
      <c r="J425" s="41" t="n">
        <v>45735.98659758102</v>
      </c>
      <c r="K425" s="27" t="inlineStr">
        <is>
          <t>Collected</t>
        </is>
      </c>
      <c r="L425" s="27" t="inlineStr">
        <is>
          <t>Standard</t>
        </is>
      </c>
      <c r="M425" s="27" t="inlineStr">
        <is>
          <t>Western Cape</t>
        </is>
      </c>
      <c r="N425" s="27" t="n">
        <v>133.31</v>
      </c>
      <c r="O425" s="27" t="n">
        <v>0.32</v>
      </c>
      <c r="P425" s="27" t="n">
        <v>49.32</v>
      </c>
      <c r="Q425" s="42">
        <f>IF(H425="","",(H425-F425)*24)</f>
        <v/>
      </c>
      <c r="R425" s="42">
        <f>IF(J425="","",(J425-H425)*24)</f>
        <v/>
      </c>
    </row>
    <row r="426" ht="15" customHeight="1" s="24">
      <c r="A426" s="27" t="n">
        <v>613658</v>
      </c>
      <c r="B426" s="27" t="inlineStr">
        <is>
          <t>PGO10613658</t>
        </is>
      </c>
      <c r="C426" s="27" t="n">
        <v>112</v>
      </c>
      <c r="D426" s="27" t="n">
        <v>2989</v>
      </c>
      <c r="E426" s="27" t="n">
        <v>236</v>
      </c>
      <c r="F426" s="41" t="n">
        <v>45733.21074462963</v>
      </c>
      <c r="G426" s="41" t="n">
        <v>45733.66191864583</v>
      </c>
      <c r="H426" s="41" t="n">
        <v>45734.70266424768</v>
      </c>
      <c r="I426" s="41" t="n">
        <v>45734.72035603009</v>
      </c>
      <c r="J426" s="41" t="n">
        <v>45735.25979899306</v>
      </c>
      <c r="K426" s="27" t="inlineStr">
        <is>
          <t>Collected</t>
        </is>
      </c>
      <c r="L426" s="27" t="inlineStr">
        <is>
          <t>Standard</t>
        </is>
      </c>
      <c r="M426" s="27" t="inlineStr">
        <is>
          <t>KwaZulu-Natal</t>
        </is>
      </c>
      <c r="N426" s="27" t="n">
        <v>238.57</v>
      </c>
      <c r="O426" s="27" t="n">
        <v>0.25</v>
      </c>
      <c r="P426" s="27" t="n">
        <v>56.36</v>
      </c>
      <c r="Q426" s="42">
        <f>IF(H426="","",(H426-F426)*24)</f>
        <v/>
      </c>
      <c r="R426" s="42">
        <f>IF(J426="","",(J426-H426)*24)</f>
        <v/>
      </c>
    </row>
    <row r="427" ht="15" customHeight="1" s="24">
      <c r="A427" s="27" t="n">
        <v>585810</v>
      </c>
      <c r="B427" s="27" t="inlineStr">
        <is>
          <t>PGO10585810</t>
        </is>
      </c>
      <c r="C427" s="27" t="n">
        <v>4</v>
      </c>
      <c r="D427" s="27" t="n">
        <v>228</v>
      </c>
      <c r="E427" s="27" t="n">
        <v>26</v>
      </c>
      <c r="F427" s="41" t="n">
        <v>45736.88788972222</v>
      </c>
      <c r="G427" s="41" t="n">
        <v>45736.96141579861</v>
      </c>
      <c r="H427" s="41" t="n">
        <v>45738.28577537037</v>
      </c>
      <c r="I427" s="41" t="n">
        <v>45738.28972427083</v>
      </c>
      <c r="J427" s="41" t="n">
        <v>45739.7010241551</v>
      </c>
      <c r="K427" s="27" t="inlineStr">
        <is>
          <t>Collected</t>
        </is>
      </c>
      <c r="L427" s="27" t="inlineStr">
        <is>
          <t>Standard</t>
        </is>
      </c>
      <c r="M427" s="27" t="inlineStr">
        <is>
          <t>Free State</t>
        </is>
      </c>
      <c r="N427" s="27" t="n">
        <v>412.73</v>
      </c>
      <c r="O427" s="27" t="n">
        <v>1.49</v>
      </c>
      <c r="P427" s="27" t="n">
        <v>44.1</v>
      </c>
      <c r="Q427" s="42">
        <f>IF(H427="","",(H427-F427)*24)</f>
        <v/>
      </c>
      <c r="R427" s="42">
        <f>IF(J427="","",(J427-H427)*24)</f>
        <v/>
      </c>
    </row>
    <row r="428" ht="15" customHeight="1" s="24">
      <c r="A428" s="27" t="n">
        <v>583526</v>
      </c>
      <c r="B428" s="27" t="inlineStr">
        <is>
          <t>PGO10583526</t>
        </is>
      </c>
      <c r="C428" s="27" t="n">
        <v>14</v>
      </c>
      <c r="D428" s="27" t="n">
        <v>2399</v>
      </c>
      <c r="E428" s="27" t="n">
        <v>373</v>
      </c>
      <c r="F428" s="41" t="n">
        <v>45737.13186271991</v>
      </c>
      <c r="G428" s="41" t="n">
        <v>45737.21974408565</v>
      </c>
      <c r="H428" s="41" t="n">
        <v>45737.74408644676</v>
      </c>
      <c r="I428" s="41" t="n">
        <v>45737.7646875</v>
      </c>
      <c r="J428" s="41" t="n">
        <v>45740.25723501157</v>
      </c>
      <c r="K428" s="27" t="inlineStr">
        <is>
          <t>Collected</t>
        </is>
      </c>
      <c r="L428" s="27" t="inlineStr">
        <is>
          <t>Express</t>
        </is>
      </c>
      <c r="M428" s="27" t="inlineStr">
        <is>
          <t>Gauteng</t>
        </is>
      </c>
      <c r="N428" s="27" t="n">
        <v>796.72</v>
      </c>
      <c r="O428" s="27" t="n">
        <v>1.39</v>
      </c>
      <c r="P428" s="27" t="n">
        <v>66.22</v>
      </c>
      <c r="Q428" s="42">
        <f>IF(H428="","",(H428-F428)*24)</f>
        <v/>
      </c>
      <c r="R428" s="42">
        <f>IF(J428="","",(J428-H428)*24)</f>
        <v/>
      </c>
    </row>
    <row r="429" ht="15" customHeight="1" s="24">
      <c r="A429" s="27" t="n">
        <v>603355</v>
      </c>
      <c r="B429" s="27" t="inlineStr">
        <is>
          <t>PGO10603355</t>
        </is>
      </c>
      <c r="C429" s="27" t="n">
        <v>35</v>
      </c>
      <c r="D429" s="27" t="n">
        <v>2925</v>
      </c>
      <c r="E429" s="27" t="n">
        <v>2</v>
      </c>
      <c r="F429" s="41" t="n">
        <v>45737.86478827546</v>
      </c>
      <c r="G429" s="41" t="n">
        <v>45738.17841445602</v>
      </c>
      <c r="H429" s="41" t="n">
        <v>45739.85240332176</v>
      </c>
      <c r="I429" s="41" t="n">
        <v>45739.89093053241</v>
      </c>
      <c r="J429" s="41" t="n">
        <v>45744.44695416667</v>
      </c>
      <c r="K429" s="27" t="inlineStr">
        <is>
          <t>Collected</t>
        </is>
      </c>
      <c r="L429" s="27" t="inlineStr">
        <is>
          <t>Standard</t>
        </is>
      </c>
      <c r="M429" s="27" t="inlineStr">
        <is>
          <t>Limpopo</t>
        </is>
      </c>
      <c r="N429" s="27" t="n">
        <v>248.9</v>
      </c>
      <c r="O429" s="27" t="n">
        <v>0.77</v>
      </c>
      <c r="P429" s="27" t="n">
        <v>40.35</v>
      </c>
      <c r="Q429" s="42">
        <f>IF(H429="","",(H429-F429)*24)</f>
        <v/>
      </c>
      <c r="R429" s="42">
        <f>IF(J429="","",(J429-H429)*24)</f>
        <v/>
      </c>
    </row>
    <row r="430" ht="15" customHeight="1" s="24">
      <c r="A430" s="27" t="n">
        <v>610115</v>
      </c>
      <c r="B430" s="27" t="inlineStr">
        <is>
          <t>PGO10610115</t>
        </is>
      </c>
      <c r="C430" s="27" t="n">
        <v>1</v>
      </c>
      <c r="D430" s="27" t="n">
        <v>2203</v>
      </c>
      <c r="E430" s="27" t="n">
        <v>73</v>
      </c>
      <c r="F430" s="41" t="n">
        <v>45738.12987273148</v>
      </c>
      <c r="G430" s="41" t="n">
        <v>45738.24285972222</v>
      </c>
      <c r="H430" s="41" t="n">
        <v>45739.30948047453</v>
      </c>
      <c r="I430" s="41" t="n">
        <v>45739.36954259259</v>
      </c>
      <c r="J430" s="41" t="n">
        <v>45741.20771631945</v>
      </c>
      <c r="K430" s="27" t="inlineStr">
        <is>
          <t>Collected</t>
        </is>
      </c>
      <c r="L430" s="27" t="inlineStr">
        <is>
          <t>Return-to-Retailer</t>
        </is>
      </c>
      <c r="M430" s="27" t="inlineStr">
        <is>
          <t>KwaZulu-Natal</t>
        </is>
      </c>
      <c r="N430" s="27" t="n">
        <v>209.83</v>
      </c>
      <c r="O430" s="27" t="n">
        <v>0.85</v>
      </c>
      <c r="P430" s="27" t="n">
        <v>45.49</v>
      </c>
      <c r="Q430" s="42">
        <f>IF(H430="","",(H430-F430)*24)</f>
        <v/>
      </c>
      <c r="R430" s="42">
        <f>IF(J430="","",(J430-H430)*24)</f>
        <v/>
      </c>
    </row>
    <row r="431" ht="15" customHeight="1" s="24">
      <c r="A431" s="27" t="n">
        <v>601332</v>
      </c>
      <c r="B431" s="27" t="inlineStr">
        <is>
          <t>PGO10601332</t>
        </is>
      </c>
      <c r="C431" s="27" t="n">
        <v>5</v>
      </c>
      <c r="D431" s="27" t="n">
        <v>553</v>
      </c>
      <c r="E431" s="27" t="n">
        <v>472</v>
      </c>
      <c r="F431" s="41" t="n">
        <v>45738.22295803241</v>
      </c>
      <c r="G431" s="41" t="n">
        <v>45738.52828043982</v>
      </c>
      <c r="H431" s="41" t="n">
        <v>45740.59628788194</v>
      </c>
      <c r="I431" s="41" t="n">
        <v>45740.65155957176</v>
      </c>
      <c r="J431" s="41" t="n">
        <v>45740.69610033565</v>
      </c>
      <c r="K431" s="27" t="inlineStr">
        <is>
          <t>Collected</t>
        </is>
      </c>
      <c r="L431" s="27" t="inlineStr">
        <is>
          <t>Return-to-Retailer</t>
        </is>
      </c>
      <c r="M431" s="27" t="inlineStr">
        <is>
          <t>KwaZulu-Natal</t>
        </is>
      </c>
      <c r="N431" s="27" t="n">
        <v>605.86</v>
      </c>
      <c r="O431" s="27" t="n">
        <v>0.96</v>
      </c>
      <c r="P431" s="27" t="n">
        <v>55.29</v>
      </c>
      <c r="Q431" s="42">
        <f>IF(H431="","",(H431-F431)*24)</f>
        <v/>
      </c>
      <c r="R431" s="42">
        <f>IF(J431="","",(J431-H431)*24)</f>
        <v/>
      </c>
    </row>
    <row r="432" ht="15" customHeight="1" s="24">
      <c r="A432" s="27" t="n">
        <v>595069</v>
      </c>
      <c r="B432" s="27" t="inlineStr">
        <is>
          <t>PGO10595069</t>
        </is>
      </c>
      <c r="C432" s="27" t="n">
        <v>22</v>
      </c>
      <c r="D432" s="27" t="n">
        <v>161</v>
      </c>
      <c r="E432" s="27" t="n">
        <v>431</v>
      </c>
      <c r="F432" s="41" t="n">
        <v>45744.17623579861</v>
      </c>
      <c r="G432" s="41" t="n">
        <v>45744.30287224537</v>
      </c>
      <c r="H432" s="41" t="n">
        <v>45745.40666122685</v>
      </c>
      <c r="I432" s="41" t="n">
        <v>45745.45551443287</v>
      </c>
      <c r="J432" s="41" t="n">
        <v>45746.7266928125</v>
      </c>
      <c r="K432" s="27" t="inlineStr">
        <is>
          <t>Collected</t>
        </is>
      </c>
      <c r="L432" s="27" t="inlineStr">
        <is>
          <t>Standard</t>
        </is>
      </c>
      <c r="M432" s="27" t="inlineStr">
        <is>
          <t>Mpumalanga</t>
        </is>
      </c>
      <c r="N432" s="27" t="n">
        <v>350.44</v>
      </c>
      <c r="O432" s="27" t="n">
        <v>0.52</v>
      </c>
      <c r="P432" s="27" t="n">
        <v>52.03</v>
      </c>
      <c r="Q432" s="42">
        <f>IF(H432="","",(H432-F432)*24)</f>
        <v/>
      </c>
      <c r="R432" s="42">
        <f>IF(J432="","",(J432-H432)*24)</f>
        <v/>
      </c>
    </row>
    <row r="433" ht="15" customHeight="1" s="24">
      <c r="A433" s="27" t="n">
        <v>583947</v>
      </c>
      <c r="B433" s="27" t="inlineStr">
        <is>
          <t>PGO10583947</t>
        </is>
      </c>
      <c r="C433" s="27" t="n">
        <v>107</v>
      </c>
      <c r="D433" s="27" t="n">
        <v>2044</v>
      </c>
      <c r="E433" s="27" t="n">
        <v>55</v>
      </c>
      <c r="F433" s="41" t="n">
        <v>45744.52143165509</v>
      </c>
      <c r="G433" s="41" t="n">
        <v>45744.61677552083</v>
      </c>
      <c r="H433" s="41" t="n">
        <v>45745.62547043982</v>
      </c>
      <c r="I433" s="41" t="n">
        <v>45745.66909461805</v>
      </c>
      <c r="J433" s="41" t="n">
        <v>45745.78194311343</v>
      </c>
      <c r="K433" s="27" t="inlineStr">
        <is>
          <t>Collected</t>
        </is>
      </c>
      <c r="L433" s="27" t="inlineStr">
        <is>
          <t>Standard</t>
        </is>
      </c>
      <c r="M433" s="27" t="inlineStr">
        <is>
          <t>Gauteng</t>
        </is>
      </c>
      <c r="N433" s="27" t="n">
        <v>260.41</v>
      </c>
      <c r="O433" s="27" t="n">
        <v>0.88</v>
      </c>
      <c r="P433" s="27" t="n">
        <v>54.21</v>
      </c>
      <c r="Q433" s="42">
        <f>IF(H433="","",(H433-F433)*24)</f>
        <v/>
      </c>
      <c r="R433" s="42">
        <f>IF(J433="","",(J433-H433)*24)</f>
        <v/>
      </c>
    </row>
    <row r="434" ht="15" customHeight="1" s="24">
      <c r="A434" s="27" t="n">
        <v>600376</v>
      </c>
      <c r="B434" s="27" t="inlineStr">
        <is>
          <t>PGO10600376</t>
        </is>
      </c>
      <c r="C434" s="27" t="n">
        <v>118</v>
      </c>
      <c r="D434" s="27" t="n">
        <v>835</v>
      </c>
      <c r="E434" s="27" t="n">
        <v>411</v>
      </c>
      <c r="F434" s="41" t="n">
        <v>45744.58518583333</v>
      </c>
      <c r="G434" s="41" t="n">
        <v>45744.7307887037</v>
      </c>
      <c r="H434" s="41" t="n">
        <v>45746.69220082176</v>
      </c>
      <c r="I434" s="41" t="n">
        <v>45746.72103799768</v>
      </c>
      <c r="J434" s="41" t="n">
        <v>45749.2863771875</v>
      </c>
      <c r="K434" s="27" t="inlineStr">
        <is>
          <t>Collected</t>
        </is>
      </c>
      <c r="L434" s="27" t="inlineStr">
        <is>
          <t>Return-to-Retailer</t>
        </is>
      </c>
      <c r="M434" s="27" t="inlineStr">
        <is>
          <t>KwaZulu-Natal</t>
        </is>
      </c>
      <c r="N434" s="27" t="n">
        <v>954.49</v>
      </c>
      <c r="O434" s="27" t="n">
        <v>0.96</v>
      </c>
      <c r="P434" s="27" t="n">
        <v>54.73</v>
      </c>
      <c r="Q434" s="42">
        <f>IF(H434="","",(H434-F434)*24)</f>
        <v/>
      </c>
      <c r="R434" s="42">
        <f>IF(J434="","",(J434-H434)*24)</f>
        <v/>
      </c>
    </row>
    <row r="435" ht="15" customHeight="1" s="24">
      <c r="A435" s="27" t="n">
        <v>612982</v>
      </c>
      <c r="B435" s="27" t="inlineStr">
        <is>
          <t>PGO10612982</t>
        </is>
      </c>
      <c r="C435" s="27" t="n">
        <v>18</v>
      </c>
      <c r="D435" s="27" t="n">
        <v>3285</v>
      </c>
      <c r="E435" s="27" t="n">
        <v>108</v>
      </c>
      <c r="F435" s="41" t="n">
        <v>45745.25938239583</v>
      </c>
      <c r="G435" s="41" t="n">
        <v>45745.37946753472</v>
      </c>
      <c r="H435" s="41" t="n">
        <v>45746.29124016203</v>
      </c>
      <c r="I435" s="41" t="n">
        <v>45746.33009622685</v>
      </c>
      <c r="J435" s="41" t="n">
        <v>45748.98712096065</v>
      </c>
      <c r="K435" s="27" t="inlineStr">
        <is>
          <t>Collected</t>
        </is>
      </c>
      <c r="L435" s="27" t="inlineStr">
        <is>
          <t>Standard</t>
        </is>
      </c>
      <c r="M435" s="27" t="inlineStr">
        <is>
          <t>North West</t>
        </is>
      </c>
      <c r="N435" s="27" t="n">
        <v>153.96</v>
      </c>
      <c r="O435" s="27" t="n">
        <v>1.74</v>
      </c>
      <c r="P435" s="27" t="n">
        <v>46.24</v>
      </c>
      <c r="Q435" s="42">
        <f>IF(H435="","",(H435-F435)*24)</f>
        <v/>
      </c>
      <c r="R435" s="42">
        <f>IF(J435="","",(J435-H435)*24)</f>
        <v/>
      </c>
    </row>
    <row r="436" ht="15" customHeight="1" s="24">
      <c r="A436" s="27" t="n">
        <v>587335</v>
      </c>
      <c r="B436" s="27" t="inlineStr">
        <is>
          <t>PGO10587335</t>
        </is>
      </c>
      <c r="C436" s="27" t="n">
        <v>25</v>
      </c>
      <c r="D436" s="27" t="n">
        <v>2842</v>
      </c>
      <c r="E436" s="27" t="n">
        <v>392</v>
      </c>
      <c r="F436" s="41" t="n">
        <v>45745.93072336805</v>
      </c>
      <c r="G436" s="41" t="n">
        <v>45746.31884070602</v>
      </c>
      <c r="H436" s="41" t="n">
        <v>45747.16674550926</v>
      </c>
      <c r="I436" s="41" t="n">
        <v>45747.16935283565</v>
      </c>
      <c r="J436" s="41" t="n">
        <v>45748.22860650463</v>
      </c>
      <c r="K436" s="27" t="inlineStr">
        <is>
          <t>Collected</t>
        </is>
      </c>
      <c r="L436" s="27" t="inlineStr">
        <is>
          <t>Standard</t>
        </is>
      </c>
      <c r="M436" s="27" t="inlineStr">
        <is>
          <t>Western Cape</t>
        </is>
      </c>
      <c r="N436" s="27" t="n">
        <v>116.23</v>
      </c>
      <c r="O436" s="27" t="n">
        <v>0.68</v>
      </c>
      <c r="P436" s="27" t="n">
        <v>63.25</v>
      </c>
      <c r="Q436" s="42">
        <f>IF(H436="","",(H436-F436)*24)</f>
        <v/>
      </c>
      <c r="R436" s="42">
        <f>IF(J436="","",(J436-H436)*24)</f>
        <v/>
      </c>
    </row>
    <row r="437" ht="15" customHeight="1" s="24">
      <c r="A437" s="27" t="n">
        <v>584188</v>
      </c>
      <c r="B437" s="27" t="inlineStr">
        <is>
          <t>PGO10584188</t>
        </is>
      </c>
      <c r="C437" s="27" t="n">
        <v>14</v>
      </c>
      <c r="D437" s="27" t="n">
        <v>3055</v>
      </c>
      <c r="E437" s="27" t="n">
        <v>151</v>
      </c>
      <c r="F437" s="41" t="n">
        <v>45746.04958554398</v>
      </c>
      <c r="G437" s="41" t="n">
        <v>45746.18838479167</v>
      </c>
      <c r="H437" s="41" t="n">
        <v>45746.99846975695</v>
      </c>
      <c r="I437" s="41" t="n">
        <v>45747.00683885417</v>
      </c>
      <c r="J437" s="41" t="n">
        <v>45748.12400002315</v>
      </c>
      <c r="K437" s="27" t="inlineStr">
        <is>
          <t>Collected</t>
        </is>
      </c>
      <c r="L437" s="27" t="inlineStr">
        <is>
          <t>Standard</t>
        </is>
      </c>
      <c r="M437" s="27" t="inlineStr">
        <is>
          <t>Free State</t>
        </is>
      </c>
      <c r="N437" s="27" t="n">
        <v>205.43</v>
      </c>
      <c r="O437" s="27" t="n">
        <v>1.39</v>
      </c>
      <c r="P437" s="27" t="n">
        <v>67.37</v>
      </c>
      <c r="Q437" s="42">
        <f>IF(H437="","",(H437-F437)*24)</f>
        <v/>
      </c>
      <c r="R437" s="42">
        <f>IF(J437="","",(J437-H437)*24)</f>
        <v/>
      </c>
    </row>
    <row r="438" ht="15" customHeight="1" s="24">
      <c r="A438" s="27" t="n">
        <v>585026</v>
      </c>
      <c r="B438" s="27" t="inlineStr">
        <is>
          <t>PGO10585026</t>
        </is>
      </c>
      <c r="C438" s="27" t="n">
        <v>35</v>
      </c>
      <c r="D438" s="27" t="n">
        <v>411</v>
      </c>
      <c r="E438" s="27" t="n">
        <v>301</v>
      </c>
      <c r="F438" s="41" t="n">
        <v>45746.34272096065</v>
      </c>
      <c r="G438" s="41" t="n">
        <v>45746.38978324074</v>
      </c>
      <c r="H438" s="41" t="n">
        <v>45746.76816759259</v>
      </c>
      <c r="I438" s="41" t="n">
        <v>45746.77094636574</v>
      </c>
      <c r="J438" s="41" t="n">
        <v>45747.8575774537</v>
      </c>
      <c r="K438" s="27" t="inlineStr">
        <is>
          <t>Collected</t>
        </is>
      </c>
      <c r="L438" s="27" t="inlineStr">
        <is>
          <t>Standard</t>
        </is>
      </c>
      <c r="M438" s="27" t="inlineStr">
        <is>
          <t>Mpumalanga</t>
        </is>
      </c>
      <c r="N438" s="27" t="n">
        <v>1522.76</v>
      </c>
      <c r="O438" s="27" t="n">
        <v>1.09</v>
      </c>
      <c r="P438" s="27" t="n">
        <v>37.29</v>
      </c>
      <c r="Q438" s="42">
        <f>IF(H438="","",(H438-F438)*24)</f>
        <v/>
      </c>
      <c r="R438" s="42">
        <f>IF(J438="","",(J438-H438)*24)</f>
        <v/>
      </c>
    </row>
    <row r="439" ht="15" customHeight="1" s="24">
      <c r="A439" s="27" t="n">
        <v>596081</v>
      </c>
      <c r="B439" s="27" t="inlineStr">
        <is>
          <t>PGO10596081</t>
        </is>
      </c>
      <c r="C439" s="27" t="n">
        <v>1</v>
      </c>
      <c r="D439" s="27" t="n">
        <v>2473</v>
      </c>
      <c r="E439" s="27" t="n">
        <v>389</v>
      </c>
      <c r="F439" s="41" t="n">
        <v>45746.64857041667</v>
      </c>
      <c r="G439" s="41" t="n">
        <v>45746.9009465162</v>
      </c>
      <c r="H439" s="41" t="n">
        <v>45747.51684473379</v>
      </c>
      <c r="I439" s="41" t="n">
        <v>45747.53076533565</v>
      </c>
      <c r="J439" s="41" t="n">
        <v>45747.6684427662</v>
      </c>
      <c r="K439" s="27" t="inlineStr">
        <is>
          <t>Collected</t>
        </is>
      </c>
      <c r="L439" s="27" t="inlineStr">
        <is>
          <t>Standard</t>
        </is>
      </c>
      <c r="M439" s="27" t="inlineStr">
        <is>
          <t>Mpumalanga</t>
        </is>
      </c>
      <c r="N439" s="27" t="n">
        <v>1000.05</v>
      </c>
      <c r="O439" s="27" t="n">
        <v>0.46</v>
      </c>
      <c r="P439" s="27" t="n">
        <v>44.19</v>
      </c>
      <c r="Q439" s="42">
        <f>IF(H439="","",(H439-F439)*24)</f>
        <v/>
      </c>
      <c r="R439" s="42">
        <f>IF(J439="","",(J439-H439)*24)</f>
        <v/>
      </c>
    </row>
    <row r="440" ht="15" customHeight="1" s="24">
      <c r="A440" s="27" t="n">
        <v>641781</v>
      </c>
      <c r="B440" s="27" t="inlineStr">
        <is>
          <t>PGO10641781</t>
        </is>
      </c>
      <c r="C440" s="27" t="n">
        <v>24</v>
      </c>
      <c r="D440" s="27" t="n">
        <v>3614</v>
      </c>
      <c r="E440" s="27" t="n">
        <v>380</v>
      </c>
      <c r="F440" s="41" t="n">
        <v>45750.60006418981</v>
      </c>
      <c r="G440" s="41" t="n">
        <v>45750.67367914352</v>
      </c>
      <c r="H440" s="41" t="n">
        <v>45750.90633751157</v>
      </c>
      <c r="I440" s="41" t="n">
        <v>45750.94801877315</v>
      </c>
      <c r="J440" s="41" t="n">
        <v>45753.72808173611</v>
      </c>
      <c r="K440" s="27" t="inlineStr">
        <is>
          <t>Collected</t>
        </is>
      </c>
      <c r="L440" s="27" t="inlineStr">
        <is>
          <t>Standard</t>
        </is>
      </c>
      <c r="M440" s="27" t="inlineStr">
        <is>
          <t>Mpumalanga</t>
        </is>
      </c>
      <c r="N440" s="27" t="n">
        <v>49.18</v>
      </c>
      <c r="O440" s="27" t="n">
        <v>1.05</v>
      </c>
      <c r="P440" s="27" t="n">
        <v>65.67</v>
      </c>
      <c r="Q440" s="42">
        <f>IF(H440="","",(H440-F440)*24)</f>
        <v/>
      </c>
      <c r="R440" s="42">
        <f>IF(J440="","",(J440-H440)*24)</f>
        <v/>
      </c>
    </row>
    <row r="441" ht="15" customHeight="1" s="24">
      <c r="A441" s="27" t="n">
        <v>643489</v>
      </c>
      <c r="B441" s="27" t="inlineStr">
        <is>
          <t>PGO10643489</t>
        </is>
      </c>
      <c r="C441" s="27" t="n">
        <v>56</v>
      </c>
      <c r="D441" s="27" t="n">
        <v>657</v>
      </c>
      <c r="E441" s="27" t="n">
        <v>462</v>
      </c>
      <c r="F441" s="41" t="n">
        <v>45751.248336875</v>
      </c>
      <c r="G441" s="41" t="n">
        <v>45751.60408728009</v>
      </c>
      <c r="H441" s="41" t="n">
        <v>45752.45590818287</v>
      </c>
      <c r="I441" s="41" t="n">
        <v>45752.49324196759</v>
      </c>
      <c r="J441" s="41" t="n">
        <v>45754.65849799768</v>
      </c>
      <c r="K441" s="27" t="inlineStr">
        <is>
          <t>Collected</t>
        </is>
      </c>
      <c r="L441" s="27" t="inlineStr">
        <is>
          <t>Standard</t>
        </is>
      </c>
      <c r="M441" s="27" t="inlineStr">
        <is>
          <t>Western Cape</t>
        </is>
      </c>
      <c r="N441" s="27" t="n">
        <v>529.13</v>
      </c>
      <c r="O441" s="27" t="n">
        <v>1.52</v>
      </c>
      <c r="P441" s="27" t="n">
        <v>56.04</v>
      </c>
      <c r="Q441" s="42">
        <f>IF(H441="","",(H441-F441)*24)</f>
        <v/>
      </c>
      <c r="R441" s="42">
        <f>IF(J441="","",(J441-H441)*24)</f>
        <v/>
      </c>
    </row>
    <row r="442" ht="15" customHeight="1" s="24">
      <c r="A442" s="27" t="n">
        <v>639670</v>
      </c>
      <c r="B442" s="27" t="inlineStr">
        <is>
          <t>PGO10639670</t>
        </is>
      </c>
      <c r="C442" s="27" t="n">
        <v>137</v>
      </c>
      <c r="D442" s="27" t="n">
        <v>3885</v>
      </c>
      <c r="E442" s="27" t="n">
        <v>200</v>
      </c>
      <c r="F442" s="41" t="n">
        <v>45752.09891462963</v>
      </c>
      <c r="G442" s="41" t="n">
        <v>45752.16888652778</v>
      </c>
      <c r="H442" s="41" t="n">
        <v>45752.77293982639</v>
      </c>
      <c r="I442" s="41" t="n">
        <v>45752.77885961805</v>
      </c>
      <c r="J442" s="41" t="n">
        <v>45753.37364533565</v>
      </c>
      <c r="K442" s="27" t="inlineStr">
        <is>
          <t>Collected</t>
        </is>
      </c>
      <c r="L442" s="27" t="inlineStr">
        <is>
          <t>Standard</t>
        </is>
      </c>
      <c r="M442" s="27" t="inlineStr">
        <is>
          <t>Limpopo</t>
        </is>
      </c>
      <c r="N442" s="27" t="n">
        <v>666.29</v>
      </c>
      <c r="O442" s="27" t="n">
        <v>1.37</v>
      </c>
      <c r="P442" s="27" t="n">
        <v>73.84</v>
      </c>
      <c r="Q442" s="42">
        <f>IF(H442="","",(H442-F442)*24)</f>
        <v/>
      </c>
      <c r="R442" s="42">
        <f>IF(J442="","",(J442-H442)*24)</f>
        <v/>
      </c>
    </row>
    <row r="443" ht="15" customHeight="1" s="24">
      <c r="A443" s="27" t="n">
        <v>628970</v>
      </c>
      <c r="B443" s="27" t="inlineStr">
        <is>
          <t>PGO10628970</t>
        </is>
      </c>
      <c r="C443" s="27" t="n">
        <v>46</v>
      </c>
      <c r="D443" s="27" t="n">
        <v>1852</v>
      </c>
      <c r="E443" s="27" t="n">
        <v>240</v>
      </c>
      <c r="F443" s="41" t="n">
        <v>45754.53434034722</v>
      </c>
      <c r="G443" s="41" t="n">
        <v>45754.82352115741</v>
      </c>
      <c r="H443" s="41" t="n">
        <v>45755.16445510417</v>
      </c>
      <c r="I443" s="41" t="n">
        <v>45755.17187756945</v>
      </c>
      <c r="J443" s="41" t="n">
        <v>45758.38885554398</v>
      </c>
      <c r="K443" s="27" t="inlineStr">
        <is>
          <t>Collected</t>
        </is>
      </c>
      <c r="L443" s="27" t="inlineStr">
        <is>
          <t>Standard</t>
        </is>
      </c>
      <c r="M443" s="27" t="inlineStr">
        <is>
          <t>Mpumalanga</t>
        </is>
      </c>
      <c r="N443" s="27" t="n">
        <v>79.02</v>
      </c>
      <c r="O443" s="27" t="n">
        <v>2.8</v>
      </c>
      <c r="P443" s="27" t="n">
        <v>58.45</v>
      </c>
      <c r="Q443" s="42">
        <f>IF(H443="","",(H443-F443)*24)</f>
        <v/>
      </c>
      <c r="R443" s="42">
        <f>IF(J443="","",(J443-H443)*24)</f>
        <v/>
      </c>
    </row>
    <row r="444" ht="15" customHeight="1" s="24">
      <c r="A444" s="27" t="n">
        <v>616589</v>
      </c>
      <c r="B444" s="27" t="inlineStr">
        <is>
          <t>PGO10616589</t>
        </is>
      </c>
      <c r="C444" s="27" t="n">
        <v>47</v>
      </c>
      <c r="D444" s="27" t="n">
        <v>1183</v>
      </c>
      <c r="E444" s="27" t="n">
        <v>495</v>
      </c>
      <c r="F444" s="41" t="n">
        <v>45754.90845107639</v>
      </c>
      <c r="G444" s="41" t="n">
        <v>45755.78115929398</v>
      </c>
      <c r="H444" s="41" t="n">
        <v>45756.18849251157</v>
      </c>
      <c r="I444" s="41" t="n">
        <v>45756.19064689815</v>
      </c>
      <c r="J444" s="41" t="n">
        <v>45756.96419291667</v>
      </c>
      <c r="K444" s="27" t="inlineStr">
        <is>
          <t>Collected</t>
        </is>
      </c>
      <c r="L444" s="27" t="inlineStr">
        <is>
          <t>Standard</t>
        </is>
      </c>
      <c r="M444" s="27" t="inlineStr">
        <is>
          <t>KwaZulu-Natal</t>
        </is>
      </c>
      <c r="N444" s="27" t="n">
        <v>108.21</v>
      </c>
      <c r="O444" s="27" t="n">
        <v>2.27</v>
      </c>
      <c r="P444" s="27" t="n">
        <v>48.4</v>
      </c>
      <c r="Q444" s="42">
        <f>IF(H444="","",(H444-F444)*24)</f>
        <v/>
      </c>
      <c r="R444" s="42">
        <f>IF(J444="","",(J444-H444)*24)</f>
        <v/>
      </c>
    </row>
    <row r="445" ht="15" customHeight="1" s="24">
      <c r="A445" s="27" t="n">
        <v>645075</v>
      </c>
      <c r="B445" s="27" t="inlineStr">
        <is>
          <t>PGO10645075</t>
        </is>
      </c>
      <c r="C445" s="27" t="n">
        <v>1</v>
      </c>
      <c r="D445" s="27" t="n">
        <v>2303</v>
      </c>
      <c r="E445" s="27" t="n">
        <v>278</v>
      </c>
      <c r="F445" s="41" t="n">
        <v>45755.50894778935</v>
      </c>
      <c r="G445" s="41" t="n">
        <v>45755.76813361111</v>
      </c>
      <c r="H445" s="41" t="n">
        <v>45756.56665418982</v>
      </c>
      <c r="I445" s="41" t="n">
        <v>45756.58889604166</v>
      </c>
      <c r="J445" s="41" t="n">
        <v>45757.6140341088</v>
      </c>
      <c r="K445" s="27" t="inlineStr">
        <is>
          <t>Collected</t>
        </is>
      </c>
      <c r="L445" s="27" t="inlineStr">
        <is>
          <t>Standard</t>
        </is>
      </c>
      <c r="M445" s="27" t="inlineStr">
        <is>
          <t>KwaZulu-Natal</t>
        </is>
      </c>
      <c r="N445" s="27" t="n">
        <v>253.29</v>
      </c>
      <c r="O445" s="27" t="n">
        <v>3.06</v>
      </c>
      <c r="P445" s="27" t="n">
        <v>47</v>
      </c>
      <c r="Q445" s="42">
        <f>IF(H445="","",(H445-F445)*24)</f>
        <v/>
      </c>
      <c r="R445" s="42">
        <f>IF(J445="","",(J445-H445)*24)</f>
        <v/>
      </c>
    </row>
    <row r="446" ht="15" customHeight="1" s="24">
      <c r="A446" s="27" t="n">
        <v>641105</v>
      </c>
      <c r="B446" s="27" t="inlineStr">
        <is>
          <t>PGO10641105</t>
        </is>
      </c>
      <c r="C446" s="27" t="n">
        <v>6</v>
      </c>
      <c r="D446" s="27" t="n">
        <v>3224</v>
      </c>
      <c r="E446" s="27" t="n">
        <v>147</v>
      </c>
      <c r="F446" s="41" t="n">
        <v>45755.8465092824</v>
      </c>
      <c r="G446" s="41" t="n">
        <v>45756.03026747685</v>
      </c>
      <c r="H446" s="41" t="n">
        <v>45757.0726665162</v>
      </c>
      <c r="I446" s="41" t="n">
        <v>45757.07837777778</v>
      </c>
      <c r="J446" s="41" t="n">
        <v>45759.69119878472</v>
      </c>
      <c r="K446" s="27" t="inlineStr">
        <is>
          <t>Collected</t>
        </is>
      </c>
      <c r="L446" s="27" t="inlineStr">
        <is>
          <t>Express</t>
        </is>
      </c>
      <c r="M446" s="27" t="inlineStr">
        <is>
          <t>Mpumalanga</t>
        </is>
      </c>
      <c r="N446" s="27" t="n">
        <v>3239.21</v>
      </c>
      <c r="O446" s="27" t="n">
        <v>4.73</v>
      </c>
      <c r="P446" s="27" t="n">
        <v>40.97</v>
      </c>
      <c r="Q446" s="42">
        <f>IF(H446="","",(H446-F446)*24)</f>
        <v/>
      </c>
      <c r="R446" s="42">
        <f>IF(J446="","",(J446-H446)*24)</f>
        <v/>
      </c>
    </row>
    <row r="447" ht="15" customHeight="1" s="24">
      <c r="A447" s="27" t="n">
        <v>632859</v>
      </c>
      <c r="B447" s="27" t="inlineStr">
        <is>
          <t>PGO10632859</t>
        </is>
      </c>
      <c r="C447" s="27" t="n">
        <v>3</v>
      </c>
      <c r="D447" s="27" t="n">
        <v>1007</v>
      </c>
      <c r="E447" s="27" t="n">
        <v>305</v>
      </c>
      <c r="F447" s="41" t="n">
        <v>45758.93355962963</v>
      </c>
      <c r="G447" s="41" t="n">
        <v>45759.27600702547</v>
      </c>
      <c r="H447" s="41" t="n">
        <v>45760.03572903935</v>
      </c>
      <c r="I447" s="41" t="n">
        <v>45760.0731387037</v>
      </c>
      <c r="J447" s="41" t="n">
        <v>45761.77118407407</v>
      </c>
      <c r="K447" s="27" t="inlineStr">
        <is>
          <t>Collected</t>
        </is>
      </c>
      <c r="L447" s="27" t="inlineStr">
        <is>
          <t>Standard</t>
        </is>
      </c>
      <c r="M447" s="27" t="inlineStr">
        <is>
          <t>KwaZulu-Natal</t>
        </is>
      </c>
      <c r="N447" s="27" t="n">
        <v>771.41</v>
      </c>
      <c r="O447" s="27" t="n">
        <v>2.72</v>
      </c>
      <c r="P447" s="27" t="n">
        <v>39.59</v>
      </c>
      <c r="Q447" s="42">
        <f>IF(H447="","",(H447-F447)*24)</f>
        <v/>
      </c>
      <c r="R447" s="42">
        <f>IF(J447="","",(J447-H447)*24)</f>
        <v/>
      </c>
    </row>
    <row r="448" ht="15" customHeight="1" s="24">
      <c r="A448" s="27" t="n">
        <v>639207</v>
      </c>
      <c r="B448" s="27" t="inlineStr">
        <is>
          <t>PGO10639207</t>
        </is>
      </c>
      <c r="C448" s="27" t="n">
        <v>31</v>
      </c>
      <c r="D448" s="27" t="n">
        <v>2046</v>
      </c>
      <c r="E448" s="27" t="n">
        <v>74</v>
      </c>
      <c r="F448" s="41" t="n">
        <v>45760.66592488426</v>
      </c>
      <c r="G448" s="41" t="n">
        <v>45760.77148651621</v>
      </c>
      <c r="H448" s="41" t="n">
        <v>45761.30031368056</v>
      </c>
      <c r="I448" s="41" t="n">
        <v>45761.34346053241</v>
      </c>
      <c r="J448" s="41" t="n">
        <v>45763.26061853009</v>
      </c>
      <c r="K448" s="27" t="inlineStr">
        <is>
          <t>Collected</t>
        </is>
      </c>
      <c r="L448" s="27" t="inlineStr">
        <is>
          <t>Standard</t>
        </is>
      </c>
      <c r="M448" s="27" t="inlineStr">
        <is>
          <t>Eastern Cape</t>
        </is>
      </c>
      <c r="N448" s="27" t="n">
        <v>114.28</v>
      </c>
      <c r="O448" s="27" t="n">
        <v>0.88</v>
      </c>
      <c r="P448" s="27" t="n">
        <v>57.06</v>
      </c>
      <c r="Q448" s="42">
        <f>IF(H448="","",(H448-F448)*24)</f>
        <v/>
      </c>
      <c r="R448" s="42">
        <f>IF(J448="","",(J448-H448)*24)</f>
        <v/>
      </c>
    </row>
    <row r="449" ht="15" customHeight="1" s="24">
      <c r="A449" s="27" t="n">
        <v>629653</v>
      </c>
      <c r="B449" s="27" t="inlineStr">
        <is>
          <t>PGO10629653</t>
        </is>
      </c>
      <c r="C449" s="27" t="n">
        <v>1</v>
      </c>
      <c r="D449" s="27" t="n">
        <v>1537</v>
      </c>
      <c r="E449" s="27" t="n">
        <v>276</v>
      </c>
      <c r="F449" s="41" t="n">
        <v>45761.34241804398</v>
      </c>
      <c r="G449" s="41" t="n">
        <v>45761.5482574537</v>
      </c>
      <c r="H449" s="41" t="n">
        <v>45762.44012782408</v>
      </c>
      <c r="I449" s="41" t="n">
        <v>45762.45638751157</v>
      </c>
      <c r="J449" s="41" t="n">
        <v>45763.55352733796</v>
      </c>
      <c r="K449" s="27" t="inlineStr">
        <is>
          <t>Collected</t>
        </is>
      </c>
      <c r="L449" s="27" t="inlineStr">
        <is>
          <t>Standard</t>
        </is>
      </c>
      <c r="M449" s="27" t="inlineStr">
        <is>
          <t>Gauteng</t>
        </is>
      </c>
      <c r="N449" s="27" t="n">
        <v>296.6</v>
      </c>
      <c r="O449" s="27" t="n">
        <v>0.35</v>
      </c>
      <c r="P449" s="27" t="n">
        <v>48.49</v>
      </c>
      <c r="Q449" s="42">
        <f>IF(H449="","",(H449-F449)*24)</f>
        <v/>
      </c>
      <c r="R449" s="42">
        <f>IF(J449="","",(J449-H449)*24)</f>
        <v/>
      </c>
    </row>
    <row r="450" ht="15" customHeight="1" s="24">
      <c r="A450" s="27" t="n">
        <v>629695</v>
      </c>
      <c r="B450" s="27" t="inlineStr">
        <is>
          <t>PGO10629695</t>
        </is>
      </c>
      <c r="C450" s="27" t="n">
        <v>20</v>
      </c>
      <c r="D450" s="27" t="n">
        <v>1234</v>
      </c>
      <c r="E450" s="27" t="n">
        <v>94</v>
      </c>
      <c r="F450" s="41" t="n">
        <v>45762.12480341435</v>
      </c>
      <c r="G450" s="41" t="n">
        <v>45762.19210474537</v>
      </c>
      <c r="H450" s="41" t="n">
        <v>45763.98976747685</v>
      </c>
      <c r="I450" s="41" t="n">
        <v>45764.02420711805</v>
      </c>
      <c r="J450" s="41" t="n">
        <v>45764.63366787037</v>
      </c>
      <c r="K450" s="27" t="inlineStr">
        <is>
          <t>Collected</t>
        </is>
      </c>
      <c r="L450" s="27" t="inlineStr">
        <is>
          <t>Standard</t>
        </is>
      </c>
      <c r="M450" s="27" t="inlineStr">
        <is>
          <t>KwaZulu-Natal</t>
        </is>
      </c>
      <c r="N450" s="27" t="n">
        <v>153.91</v>
      </c>
      <c r="O450" s="27" t="n">
        <v>2.94</v>
      </c>
      <c r="P450" s="27" t="n">
        <v>55.81</v>
      </c>
      <c r="Q450" s="42">
        <f>IF(H450="","",(H450-F450)*24)</f>
        <v/>
      </c>
      <c r="R450" s="42">
        <f>IF(J450="","",(J450-H450)*24)</f>
        <v/>
      </c>
    </row>
    <row r="451" ht="15" customHeight="1" s="24">
      <c r="A451" s="27" t="n">
        <v>632489</v>
      </c>
      <c r="B451" s="27" t="inlineStr">
        <is>
          <t>PGO10632489</t>
        </is>
      </c>
      <c r="C451" s="27" t="n">
        <v>1</v>
      </c>
      <c r="D451" s="27" t="n">
        <v>1342</v>
      </c>
      <c r="E451" s="27" t="n">
        <v>84</v>
      </c>
      <c r="F451" s="41" t="n">
        <v>45766.07132226852</v>
      </c>
      <c r="G451" s="41" t="n">
        <v>45766.9168884375</v>
      </c>
      <c r="H451" s="41" t="n">
        <v>45767.89652733797</v>
      </c>
      <c r="I451" s="41" t="n">
        <v>45767.94565958333</v>
      </c>
      <c r="J451" s="41" t="n">
        <v>45768.66701395834</v>
      </c>
      <c r="K451" s="27" t="inlineStr">
        <is>
          <t>Collected</t>
        </is>
      </c>
      <c r="L451" s="27" t="inlineStr">
        <is>
          <t>Standard</t>
        </is>
      </c>
      <c r="M451" s="27" t="inlineStr">
        <is>
          <t>North West</t>
        </is>
      </c>
      <c r="N451" s="27" t="n">
        <v>480.54</v>
      </c>
      <c r="O451" s="27" t="n">
        <v>1.95</v>
      </c>
      <c r="P451" s="27" t="n">
        <v>47.88</v>
      </c>
      <c r="Q451" s="42">
        <f>IF(H451="","",(H451-F451)*24)</f>
        <v/>
      </c>
      <c r="R451" s="42">
        <f>IF(J451="","",(J451-H451)*24)</f>
        <v/>
      </c>
    </row>
    <row r="452" ht="15" customHeight="1" s="24">
      <c r="A452" s="27" t="n">
        <v>636789</v>
      </c>
      <c r="B452" s="27" t="inlineStr">
        <is>
          <t>PGO10636789</t>
        </is>
      </c>
      <c r="C452" s="27" t="n">
        <v>3</v>
      </c>
      <c r="D452" s="27" t="n">
        <v>2405</v>
      </c>
      <c r="E452" s="27" t="n">
        <v>179</v>
      </c>
      <c r="F452" s="41" t="n">
        <v>45773.98509181713</v>
      </c>
      <c r="G452" s="41" t="n">
        <v>45774.30019092593</v>
      </c>
      <c r="H452" s="41" t="n">
        <v>45775.27798987269</v>
      </c>
      <c r="I452" s="41" t="n">
        <v>45775.30275818287</v>
      </c>
      <c r="J452" s="41" t="n">
        <v>45777.97966388889</v>
      </c>
      <c r="K452" s="27" t="inlineStr">
        <is>
          <t>Collected</t>
        </is>
      </c>
      <c r="L452" s="27" t="inlineStr">
        <is>
          <t>Standard</t>
        </is>
      </c>
      <c r="M452" s="27" t="inlineStr">
        <is>
          <t>Limpopo</t>
        </is>
      </c>
      <c r="N452" s="27" t="n">
        <v>1055.81</v>
      </c>
      <c r="O452" s="27" t="n">
        <v>0.38</v>
      </c>
      <c r="P452" s="27" t="n">
        <v>39.45</v>
      </c>
      <c r="Q452" s="42">
        <f>IF(H452="","",(H452-F452)*24)</f>
        <v/>
      </c>
      <c r="R452" s="42">
        <f>IF(J452="","",(J452-H452)*24)</f>
        <v/>
      </c>
    </row>
    <row r="453" ht="15" customHeight="1" s="24">
      <c r="A453" s="27" t="n">
        <v>616976</v>
      </c>
      <c r="B453" s="27" t="inlineStr">
        <is>
          <t>PGO10616976</t>
        </is>
      </c>
      <c r="C453" s="27" t="n">
        <v>125</v>
      </c>
      <c r="D453" s="27" t="n">
        <v>1076</v>
      </c>
      <c r="E453" s="27" t="n">
        <v>414</v>
      </c>
      <c r="F453" s="41" t="n">
        <v>45774.75978828704</v>
      </c>
      <c r="G453" s="41" t="n">
        <v>45775.22573695602</v>
      </c>
      <c r="H453" s="41" t="n">
        <v>45776.01133738426</v>
      </c>
      <c r="I453" s="41" t="n">
        <v>45776.06993158565</v>
      </c>
      <c r="J453" s="41" t="n">
        <v>45778.41090086805</v>
      </c>
      <c r="K453" s="27" t="inlineStr">
        <is>
          <t>Collected</t>
        </is>
      </c>
      <c r="L453" s="27" t="inlineStr">
        <is>
          <t>Standard</t>
        </is>
      </c>
      <c r="M453" s="27" t="inlineStr">
        <is>
          <t>Limpopo</t>
        </is>
      </c>
      <c r="N453" s="27" t="n">
        <v>702.83</v>
      </c>
      <c r="O453" s="27" t="n">
        <v>1.31</v>
      </c>
      <c r="P453" s="27" t="n">
        <v>73.78</v>
      </c>
      <c r="Q453" s="42">
        <f>IF(H453="","",(H453-F453)*24)</f>
        <v/>
      </c>
      <c r="R453" s="42">
        <f>IF(J453="","",(J453-H453)*24)</f>
        <v/>
      </c>
    </row>
    <row r="454" ht="15" customHeight="1" s="24">
      <c r="A454" s="27" t="n">
        <v>637475</v>
      </c>
      <c r="B454" s="27" t="inlineStr">
        <is>
          <t>PGO10637475</t>
        </is>
      </c>
      <c r="C454" s="27" t="n">
        <v>8</v>
      </c>
      <c r="D454" s="27" t="n">
        <v>3111</v>
      </c>
      <c r="E454" s="27" t="n">
        <v>447</v>
      </c>
      <c r="F454" s="41" t="n">
        <v>45777.94223373842</v>
      </c>
      <c r="G454" s="41" t="n">
        <v>45778.00788402778</v>
      </c>
      <c r="H454" s="41" t="n">
        <v>45779.28077862268</v>
      </c>
      <c r="I454" s="41" t="n">
        <v>45779.32483001157</v>
      </c>
      <c r="J454" s="41" t="n">
        <v>45779.35119665509</v>
      </c>
      <c r="K454" s="27" t="inlineStr">
        <is>
          <t>Collected</t>
        </is>
      </c>
      <c r="L454" s="27" t="inlineStr">
        <is>
          <t>Standard</t>
        </is>
      </c>
      <c r="M454" s="27" t="inlineStr">
        <is>
          <t>Mpumalanga</t>
        </is>
      </c>
      <c r="N454" s="27" t="n">
        <v>192.51</v>
      </c>
      <c r="O454" s="27" t="n">
        <v>1.91</v>
      </c>
      <c r="P454" s="27" t="n">
        <v>58.9</v>
      </c>
      <c r="Q454" s="42">
        <f>IF(H454="","",(H454-F454)*24)</f>
        <v/>
      </c>
      <c r="R454" s="42">
        <f>IF(J454="","",(J454-H454)*24)</f>
        <v/>
      </c>
    </row>
    <row r="455" ht="15" customHeight="1" s="24">
      <c r="A455" s="27" t="n">
        <v>627531</v>
      </c>
      <c r="B455" s="27" t="inlineStr">
        <is>
          <t>PGO10627531</t>
        </is>
      </c>
      <c r="C455" s="27" t="n">
        <v>143</v>
      </c>
      <c r="D455" s="27" t="n">
        <v>600</v>
      </c>
      <c r="E455" s="27" t="n">
        <v>256</v>
      </c>
      <c r="F455" s="41" t="n">
        <v>45778.31520164352</v>
      </c>
      <c r="G455" s="41" t="n">
        <v>45778.42494194445</v>
      </c>
      <c r="H455" s="41" t="n">
        <v>45779.24314106481</v>
      </c>
      <c r="I455" s="41" t="n">
        <v>45779.24569203704</v>
      </c>
      <c r="J455" s="41" t="n">
        <v>45781.03102733797</v>
      </c>
      <c r="K455" s="27" t="inlineStr">
        <is>
          <t>Collected</t>
        </is>
      </c>
      <c r="L455" s="27" t="inlineStr">
        <is>
          <t>Standard</t>
        </is>
      </c>
      <c r="M455" s="27" t="inlineStr">
        <is>
          <t>Free State</t>
        </is>
      </c>
      <c r="N455" s="27" t="n">
        <v>206.08</v>
      </c>
      <c r="O455" s="27" t="n">
        <v>0.51</v>
      </c>
      <c r="P455" s="27" t="n">
        <v>56.14</v>
      </c>
      <c r="Q455" s="42">
        <f>IF(H455="","",(H455-F455)*24)</f>
        <v/>
      </c>
      <c r="R455" s="42">
        <f>IF(J455="","",(J455-H455)*24)</f>
        <v/>
      </c>
    </row>
    <row r="456" ht="15" customHeight="1" s="24">
      <c r="A456" s="27" t="n">
        <v>667828</v>
      </c>
      <c r="B456" s="27" t="inlineStr">
        <is>
          <t>PGO10667828</t>
        </is>
      </c>
      <c r="C456" s="27" t="n">
        <v>6</v>
      </c>
      <c r="D456" s="27" t="n">
        <v>3262</v>
      </c>
      <c r="E456" s="27" t="n">
        <v>140</v>
      </c>
      <c r="F456" s="41" t="n">
        <v>45779.70297032408</v>
      </c>
      <c r="G456" s="41" t="n">
        <v>45779.73501436342</v>
      </c>
      <c r="H456" s="41" t="n">
        <v>45780.64360342592</v>
      </c>
      <c r="I456" s="41" t="n">
        <v>45780.70012836806</v>
      </c>
      <c r="J456" s="41" t="n">
        <v>45781.20239853009</v>
      </c>
      <c r="K456" s="27" t="inlineStr">
        <is>
          <t>Collected</t>
        </is>
      </c>
      <c r="L456" s="27" t="inlineStr">
        <is>
          <t>Express</t>
        </is>
      </c>
      <c r="M456" s="27" t="inlineStr">
        <is>
          <t>Western Cape</t>
        </is>
      </c>
      <c r="N456" s="27" t="n">
        <v>259.68</v>
      </c>
      <c r="O456" s="27" t="n">
        <v>3.13</v>
      </c>
      <c r="P456" s="27" t="n">
        <v>38.54</v>
      </c>
      <c r="Q456" s="42">
        <f>IF(H456="","",(H456-F456)*24)</f>
        <v/>
      </c>
      <c r="R456" s="42">
        <f>IF(J456="","",(J456-H456)*24)</f>
        <v/>
      </c>
    </row>
    <row r="457" ht="15" customHeight="1" s="24">
      <c r="A457" s="27" t="n">
        <v>659051</v>
      </c>
      <c r="B457" s="27" t="inlineStr">
        <is>
          <t>PGO10659051</t>
        </is>
      </c>
      <c r="C457" s="27" t="n">
        <v>2</v>
      </c>
      <c r="D457" s="27" t="n">
        <v>3883</v>
      </c>
      <c r="E457" s="27" t="n">
        <v>176</v>
      </c>
      <c r="F457" s="41" t="n">
        <v>45780.43394033565</v>
      </c>
      <c r="G457" s="41" t="n">
        <v>45780.51495261574</v>
      </c>
      <c r="H457" s="41" t="n">
        <v>45781.04450119213</v>
      </c>
      <c r="I457" s="41" t="n">
        <v>45781.04747111111</v>
      </c>
      <c r="J457" s="41" t="n">
        <v>45781.24028653935</v>
      </c>
      <c r="K457" s="27" t="inlineStr">
        <is>
          <t>Collected</t>
        </is>
      </c>
      <c r="L457" s="27" t="inlineStr">
        <is>
          <t>Standard</t>
        </is>
      </c>
      <c r="M457" s="27" t="inlineStr">
        <is>
          <t>Northern Cape</t>
        </is>
      </c>
      <c r="N457" s="27" t="n">
        <v>353.43</v>
      </c>
      <c r="O457" s="27" t="n">
        <v>0.32</v>
      </c>
      <c r="P457" s="27" t="n">
        <v>51.56</v>
      </c>
      <c r="Q457" s="42">
        <f>IF(H457="","",(H457-F457)*24)</f>
        <v/>
      </c>
      <c r="R457" s="42">
        <f>IF(J457="","",(J457-H457)*24)</f>
        <v/>
      </c>
    </row>
    <row r="458" ht="15" customHeight="1" s="24">
      <c r="A458" s="27" t="n">
        <v>674944</v>
      </c>
      <c r="B458" s="27" t="inlineStr">
        <is>
          <t>PGO10674944</t>
        </is>
      </c>
      <c r="C458" s="27" t="n">
        <v>22</v>
      </c>
      <c r="D458" s="27" t="n">
        <v>620</v>
      </c>
      <c r="E458" s="27" t="n">
        <v>49</v>
      </c>
      <c r="F458" s="41" t="n">
        <v>45780.65992841435</v>
      </c>
      <c r="G458" s="41" t="n">
        <v>45781.11451758102</v>
      </c>
      <c r="H458" s="41" t="n">
        <v>45782.43796215278</v>
      </c>
      <c r="I458" s="41" t="n">
        <v>45782.47251690972</v>
      </c>
      <c r="J458" s="41" t="n">
        <v>45784.45023100694</v>
      </c>
      <c r="K458" s="27" t="inlineStr">
        <is>
          <t>Collected</t>
        </is>
      </c>
      <c r="L458" s="27" t="inlineStr">
        <is>
          <t>Standard</t>
        </is>
      </c>
      <c r="M458" s="27" t="inlineStr">
        <is>
          <t>Eastern Cape</t>
        </is>
      </c>
      <c r="N458" s="27" t="n">
        <v>1959.25</v>
      </c>
      <c r="O458" s="27" t="n">
        <v>0.83</v>
      </c>
      <c r="P458" s="27" t="n">
        <v>53.93</v>
      </c>
      <c r="Q458" s="42">
        <f>IF(H458="","",(H458-F458)*24)</f>
        <v/>
      </c>
      <c r="R458" s="42">
        <f>IF(J458="","",(J458-H458)*24)</f>
        <v/>
      </c>
    </row>
    <row r="459" ht="15" customHeight="1" s="24">
      <c r="A459" s="27" t="n">
        <v>665698</v>
      </c>
      <c r="B459" s="27" t="inlineStr">
        <is>
          <t>PGO10665698</t>
        </is>
      </c>
      <c r="C459" s="27" t="n">
        <v>128</v>
      </c>
      <c r="D459" s="27" t="n">
        <v>2810</v>
      </c>
      <c r="E459" s="27" t="n">
        <v>237</v>
      </c>
      <c r="F459" s="41" t="n">
        <v>45782.43170351852</v>
      </c>
      <c r="G459" s="41" t="n">
        <v>45782.55152292824</v>
      </c>
      <c r="H459" s="41" t="n">
        <v>45783.37071512731</v>
      </c>
      <c r="I459" s="41" t="n">
        <v>45783.37692431713</v>
      </c>
      <c r="J459" s="41" t="n">
        <v>45783.7540347338</v>
      </c>
      <c r="K459" s="27" t="inlineStr">
        <is>
          <t>Collected</t>
        </is>
      </c>
      <c r="L459" s="27" t="inlineStr">
        <is>
          <t>Standard</t>
        </is>
      </c>
      <c r="M459" s="27" t="inlineStr">
        <is>
          <t>KwaZulu-Natal</t>
        </is>
      </c>
      <c r="N459" s="27" t="n">
        <v>707.58</v>
      </c>
      <c r="O459" s="27" t="n">
        <v>1.66</v>
      </c>
      <c r="P459" s="27" t="n">
        <v>64.64</v>
      </c>
      <c r="Q459" s="42">
        <f>IF(H459="","",(H459-F459)*24)</f>
        <v/>
      </c>
      <c r="R459" s="42">
        <f>IF(J459="","",(J459-H459)*24)</f>
        <v/>
      </c>
    </row>
    <row r="460" ht="15" customHeight="1" s="24">
      <c r="A460" s="27" t="n">
        <v>656022</v>
      </c>
      <c r="B460" s="27" t="inlineStr">
        <is>
          <t>PGO10656022</t>
        </is>
      </c>
      <c r="C460" s="27" t="n">
        <v>7</v>
      </c>
      <c r="D460" s="27" t="n">
        <v>3</v>
      </c>
      <c r="E460" s="27" t="n">
        <v>137</v>
      </c>
      <c r="F460" s="41" t="n">
        <v>45782.78426945602</v>
      </c>
      <c r="G460" s="41" t="n">
        <v>45782.88727189815</v>
      </c>
      <c r="H460" s="41" t="n">
        <v>45783.43569261574</v>
      </c>
      <c r="I460" s="41" t="n">
        <v>45783.45771922453</v>
      </c>
      <c r="J460" s="41" t="n">
        <v>45787.51990195602</v>
      </c>
      <c r="K460" s="27" t="inlineStr">
        <is>
          <t>Collected</t>
        </is>
      </c>
      <c r="L460" s="27" t="inlineStr">
        <is>
          <t>Standard</t>
        </is>
      </c>
      <c r="M460" s="27" t="inlineStr">
        <is>
          <t>Mpumalanga</t>
        </is>
      </c>
      <c r="N460" s="27" t="n">
        <v>540.23</v>
      </c>
      <c r="O460" s="27" t="n">
        <v>4.04</v>
      </c>
      <c r="P460" s="27" t="n">
        <v>47.36</v>
      </c>
      <c r="Q460" s="42">
        <f>IF(H460="","",(H460-F460)*24)</f>
        <v/>
      </c>
      <c r="R460" s="42">
        <f>IF(J460="","",(J460-H460)*24)</f>
        <v/>
      </c>
    </row>
    <row r="461" ht="15" customHeight="1" s="24">
      <c r="A461" s="27" t="n">
        <v>653519</v>
      </c>
      <c r="B461" s="27" t="inlineStr">
        <is>
          <t>PGO10653519</t>
        </is>
      </c>
      <c r="C461" s="27" t="n">
        <v>58</v>
      </c>
      <c r="D461" s="27" t="n">
        <v>2271</v>
      </c>
      <c r="E461" s="27" t="n">
        <v>61</v>
      </c>
      <c r="F461" s="41" t="n">
        <v>45785.04683633102</v>
      </c>
      <c r="G461" s="41" t="n">
        <v>45785.27547893518</v>
      </c>
      <c r="H461" s="41" t="n">
        <v>45786.48329233797</v>
      </c>
      <c r="I461" s="41" t="n">
        <v>45786.49667910879</v>
      </c>
      <c r="J461" s="41" t="n">
        <v>45787.79435474537</v>
      </c>
      <c r="K461" s="27" t="inlineStr">
        <is>
          <t>Collected</t>
        </is>
      </c>
      <c r="L461" s="27" t="inlineStr">
        <is>
          <t>Standard</t>
        </is>
      </c>
      <c r="M461" s="27" t="inlineStr">
        <is>
          <t>Eastern Cape</t>
        </is>
      </c>
      <c r="N461" s="27" t="n">
        <v>178.68</v>
      </c>
      <c r="O461" s="27" t="n">
        <v>1.61</v>
      </c>
      <c r="P461" s="27" t="n">
        <v>42.57</v>
      </c>
      <c r="Q461" s="42">
        <f>IF(H461="","",(H461-F461)*24)</f>
        <v/>
      </c>
      <c r="R461" s="42">
        <f>IF(J461="","",(J461-H461)*24)</f>
        <v/>
      </c>
    </row>
    <row r="462" ht="15" customHeight="1" s="24">
      <c r="A462" s="27" t="n">
        <v>658184</v>
      </c>
      <c r="B462" s="27" t="inlineStr">
        <is>
          <t>PGO10658184</t>
        </is>
      </c>
      <c r="C462" s="27" t="n">
        <v>5</v>
      </c>
      <c r="D462" s="27" t="n">
        <v>1718</v>
      </c>
      <c r="E462" s="27" t="n">
        <v>393</v>
      </c>
      <c r="F462" s="41" t="n">
        <v>45785.59951123843</v>
      </c>
      <c r="G462" s="41" t="n">
        <v>45785.69069083333</v>
      </c>
      <c r="H462" s="41" t="n">
        <v>45786.42492601852</v>
      </c>
      <c r="I462" s="41" t="n">
        <v>45786.47411634259</v>
      </c>
      <c r="J462" s="41" t="n">
        <v>45786.60273811343</v>
      </c>
      <c r="K462" s="27" t="inlineStr">
        <is>
          <t>Collected</t>
        </is>
      </c>
      <c r="L462" s="27" t="inlineStr">
        <is>
          <t>Standard</t>
        </is>
      </c>
      <c r="M462" s="27" t="inlineStr">
        <is>
          <t>Gauteng</t>
        </is>
      </c>
      <c r="N462" s="27" t="n">
        <v>454.31</v>
      </c>
      <c r="O462" s="27" t="n">
        <v>1.02</v>
      </c>
      <c r="P462" s="27" t="n">
        <v>59.45</v>
      </c>
      <c r="Q462" s="42">
        <f>IF(H462="","",(H462-F462)*24)</f>
        <v/>
      </c>
      <c r="R462" s="42">
        <f>IF(J462="","",(J462-H462)*24)</f>
        <v/>
      </c>
    </row>
    <row r="463" ht="15" customHeight="1" s="24">
      <c r="A463" s="27" t="n">
        <v>674787</v>
      </c>
      <c r="B463" s="27" t="inlineStr">
        <is>
          <t>PGO10674787</t>
        </is>
      </c>
      <c r="C463" s="27" t="n">
        <v>105</v>
      </c>
      <c r="D463" s="27" t="n">
        <v>1696</v>
      </c>
      <c r="E463" s="27" t="n">
        <v>349</v>
      </c>
      <c r="F463" s="41" t="n">
        <v>45787.42386105324</v>
      </c>
      <c r="G463" s="41" t="n">
        <v>45787.58703771991</v>
      </c>
      <c r="H463" s="41" t="n">
        <v>45788.11807194445</v>
      </c>
      <c r="I463" s="41" t="n">
        <v>45788.17569783565</v>
      </c>
      <c r="J463" s="41" t="n">
        <v>45788.48753061343</v>
      </c>
      <c r="K463" s="27" t="inlineStr">
        <is>
          <t>Collected</t>
        </is>
      </c>
      <c r="L463" s="27" t="inlineStr">
        <is>
          <t>Standard</t>
        </is>
      </c>
      <c r="M463" s="27" t="inlineStr">
        <is>
          <t>Gauteng</t>
        </is>
      </c>
      <c r="N463" s="27" t="n">
        <v>288.56</v>
      </c>
      <c r="O463" s="27" t="n">
        <v>1.69</v>
      </c>
      <c r="P463" s="27" t="n">
        <v>55.36</v>
      </c>
      <c r="Q463" s="42">
        <f>IF(H463="","",(H463-F463)*24)</f>
        <v/>
      </c>
      <c r="R463" s="42">
        <f>IF(J463="","",(J463-H463)*24)</f>
        <v/>
      </c>
    </row>
    <row r="464" ht="15" customHeight="1" s="24">
      <c r="A464" s="27" t="n">
        <v>676079</v>
      </c>
      <c r="B464" s="27" t="inlineStr">
        <is>
          <t>PGO10676079</t>
        </is>
      </c>
      <c r="C464" s="27" t="n">
        <v>14</v>
      </c>
      <c r="D464" s="27" t="n">
        <v>600</v>
      </c>
      <c r="E464" s="27" t="n">
        <v>134</v>
      </c>
      <c r="F464" s="41" t="n">
        <v>45788.95563960648</v>
      </c>
      <c r="G464" s="41" t="n">
        <v>45789.71598578704</v>
      </c>
      <c r="H464" s="41" t="n">
        <v>45790.08209268519</v>
      </c>
      <c r="I464" s="41" t="n">
        <v>45790.09418298611</v>
      </c>
      <c r="J464" s="41" t="n">
        <v>45792.26084547454</v>
      </c>
      <c r="K464" s="27" t="inlineStr">
        <is>
          <t>Collected</t>
        </is>
      </c>
      <c r="L464" s="27" t="inlineStr">
        <is>
          <t>Standard</t>
        </is>
      </c>
      <c r="M464" s="27" t="inlineStr">
        <is>
          <t>Free State</t>
        </is>
      </c>
      <c r="N464" s="27" t="n">
        <v>405.94</v>
      </c>
      <c r="O464" s="27" t="n">
        <v>4.99</v>
      </c>
      <c r="P464" s="27" t="n">
        <v>68.84999999999999</v>
      </c>
      <c r="Q464" s="42">
        <f>IF(H464="","",(H464-F464)*24)</f>
        <v/>
      </c>
      <c r="R464" s="42">
        <f>IF(J464="","",(J464-H464)*24)</f>
        <v/>
      </c>
    </row>
    <row r="465" ht="15" customHeight="1" s="24">
      <c r="A465" s="27" t="n">
        <v>660518</v>
      </c>
      <c r="B465" s="27" t="inlineStr">
        <is>
          <t>PGO10660518</t>
        </is>
      </c>
      <c r="C465" s="27" t="n">
        <v>66</v>
      </c>
      <c r="D465" s="27" t="n">
        <v>2567</v>
      </c>
      <c r="E465" s="27" t="n">
        <v>412</v>
      </c>
      <c r="F465" s="41" t="n">
        <v>45789.26515297453</v>
      </c>
      <c r="G465" s="41" t="n">
        <v>45789.49049387732</v>
      </c>
      <c r="H465" s="41" t="n">
        <v>45789.98501034722</v>
      </c>
      <c r="I465" s="41" t="n">
        <v>45790.04250012732</v>
      </c>
      <c r="J465" s="41" t="n">
        <v>45793.16773949074</v>
      </c>
      <c r="K465" s="27" t="inlineStr">
        <is>
          <t>Collected</t>
        </is>
      </c>
      <c r="L465" s="27" t="inlineStr">
        <is>
          <t>Express</t>
        </is>
      </c>
      <c r="M465" s="27" t="inlineStr">
        <is>
          <t>KwaZulu-Natal</t>
        </is>
      </c>
      <c r="N465" s="27" t="n">
        <v>313.99</v>
      </c>
      <c r="O465" s="27" t="n">
        <v>2.53</v>
      </c>
      <c r="P465" s="27" t="n">
        <v>57.21</v>
      </c>
      <c r="Q465" s="42">
        <f>IF(H465="","",(H465-F465)*24)</f>
        <v/>
      </c>
      <c r="R465" s="42">
        <f>IF(J465="","",(J465-H465)*24)</f>
        <v/>
      </c>
    </row>
    <row r="466" ht="15" customHeight="1" s="24">
      <c r="A466" s="27" t="n">
        <v>654218</v>
      </c>
      <c r="B466" s="27" t="inlineStr">
        <is>
          <t>PGO10654218</t>
        </is>
      </c>
      <c r="C466" s="27" t="n">
        <v>2</v>
      </c>
      <c r="D466" s="27" t="n">
        <v>141</v>
      </c>
      <c r="E466" s="27" t="n">
        <v>373</v>
      </c>
      <c r="F466" s="41" t="n">
        <v>45789.45613795139</v>
      </c>
      <c r="G466" s="41" t="n">
        <v>45789.6743922801</v>
      </c>
      <c r="H466" s="41" t="n">
        <v>45790.33825841435</v>
      </c>
      <c r="I466" s="41" t="n">
        <v>45790.38078486111</v>
      </c>
      <c r="J466" s="41" t="n">
        <v>45792.70858945602</v>
      </c>
      <c r="K466" s="27" t="inlineStr">
        <is>
          <t>Collected</t>
        </is>
      </c>
      <c r="L466" s="27" t="inlineStr">
        <is>
          <t>Standard</t>
        </is>
      </c>
      <c r="M466" s="27" t="inlineStr">
        <is>
          <t>Gauteng</t>
        </is>
      </c>
      <c r="N466" s="27" t="n">
        <v>330.94</v>
      </c>
      <c r="O466" s="27" t="n">
        <v>0.64</v>
      </c>
      <c r="P466" s="27" t="n">
        <v>50.68</v>
      </c>
      <c r="Q466" s="42">
        <f>IF(H466="","",(H466-F466)*24)</f>
        <v/>
      </c>
      <c r="R466" s="42">
        <f>IF(J466="","",(J466-H466)*24)</f>
        <v/>
      </c>
    </row>
    <row r="467" ht="15" customHeight="1" s="24">
      <c r="A467" s="27" t="n">
        <v>673921</v>
      </c>
      <c r="B467" s="27" t="inlineStr">
        <is>
          <t>PGO10673921</t>
        </is>
      </c>
      <c r="C467" s="27" t="n">
        <v>46</v>
      </c>
      <c r="D467" s="27" t="n">
        <v>3872</v>
      </c>
      <c r="E467" s="27" t="n">
        <v>487</v>
      </c>
      <c r="F467" s="41" t="n">
        <v>45789.68711106481</v>
      </c>
      <c r="G467" s="41" t="n">
        <v>45789.78026039352</v>
      </c>
      <c r="H467" s="41" t="n">
        <v>45790.17995471065</v>
      </c>
      <c r="I467" s="41" t="n">
        <v>45790.19798864584</v>
      </c>
      <c r="J467" s="41" t="n">
        <v>45790.91289326389</v>
      </c>
      <c r="K467" s="27" t="inlineStr">
        <is>
          <t>Collected</t>
        </is>
      </c>
      <c r="L467" s="27" t="inlineStr">
        <is>
          <t>Standard</t>
        </is>
      </c>
      <c r="M467" s="27" t="inlineStr">
        <is>
          <t>Gauteng</t>
        </is>
      </c>
      <c r="N467" s="27" t="n">
        <v>206.77</v>
      </c>
      <c r="O467" s="27" t="n">
        <v>1.02</v>
      </c>
      <c r="P467" s="27" t="n">
        <v>54.89</v>
      </c>
      <c r="Q467" s="42">
        <f>IF(H467="","",(H467-F467)*24)</f>
        <v/>
      </c>
      <c r="R467" s="42">
        <f>IF(J467="","",(J467-H467)*24)</f>
        <v/>
      </c>
    </row>
    <row r="468" ht="15" customHeight="1" s="24">
      <c r="A468" s="27" t="n">
        <v>659811</v>
      </c>
      <c r="B468" s="27" t="inlineStr">
        <is>
          <t>PGO10659811</t>
        </is>
      </c>
      <c r="C468" s="27" t="n">
        <v>1</v>
      </c>
      <c r="D468" s="27" t="n">
        <v>225</v>
      </c>
      <c r="E468" s="27" t="n">
        <v>47</v>
      </c>
      <c r="F468" s="41" t="n">
        <v>45789.85386788195</v>
      </c>
      <c r="G468" s="41" t="n">
        <v>45789.92177664352</v>
      </c>
      <c r="H468" s="41" t="n">
        <v>45790.7984891551</v>
      </c>
      <c r="I468" s="41" t="n">
        <v>45790.82745622685</v>
      </c>
      <c r="J468" s="41" t="n">
        <v>45792.13214740741</v>
      </c>
      <c r="K468" s="27" t="inlineStr">
        <is>
          <t>Collected</t>
        </is>
      </c>
      <c r="L468" s="27" t="inlineStr">
        <is>
          <t>Standard</t>
        </is>
      </c>
      <c r="M468" s="27" t="inlineStr">
        <is>
          <t>Gauteng</t>
        </is>
      </c>
      <c r="N468" s="27" t="n">
        <v>100.08</v>
      </c>
      <c r="O468" s="27" t="n">
        <v>0.78</v>
      </c>
      <c r="P468" s="27" t="n">
        <v>46.24</v>
      </c>
      <c r="Q468" s="42">
        <f>IF(H468="","",(H468-F468)*24)</f>
        <v/>
      </c>
      <c r="R468" s="42">
        <f>IF(J468="","",(J468-H468)*24)</f>
        <v/>
      </c>
    </row>
    <row r="469" ht="15" customHeight="1" s="24">
      <c r="A469" s="27" t="n">
        <v>673551</v>
      </c>
      <c r="B469" s="27" t="inlineStr">
        <is>
          <t>PGO10673551</t>
        </is>
      </c>
      <c r="C469" s="27" t="n">
        <v>17</v>
      </c>
      <c r="D469" s="27" t="n">
        <v>3346</v>
      </c>
      <c r="E469" s="27" t="n">
        <v>260</v>
      </c>
      <c r="F469" s="41" t="n">
        <v>45789.99582335648</v>
      </c>
      <c r="G469" s="41" t="n">
        <v>45790.46266300926</v>
      </c>
      <c r="H469" s="41" t="n">
        <v>45791.58815144676</v>
      </c>
      <c r="I469" s="41" t="n">
        <v>45791.64340386574</v>
      </c>
      <c r="J469" s="41" t="n">
        <v>45792.59153008102</v>
      </c>
      <c r="K469" s="27" t="inlineStr">
        <is>
          <t>Collected</t>
        </is>
      </c>
      <c r="L469" s="27" t="inlineStr">
        <is>
          <t>Express</t>
        </is>
      </c>
      <c r="M469" s="27" t="inlineStr">
        <is>
          <t>Eastern Cape</t>
        </is>
      </c>
      <c r="N469" s="27" t="n">
        <v>303.81</v>
      </c>
      <c r="O469" s="27" t="n">
        <v>3.32</v>
      </c>
      <c r="P469" s="27" t="n">
        <v>55.66</v>
      </c>
      <c r="Q469" s="42">
        <f>IF(H469="","",(H469-F469)*24)</f>
        <v/>
      </c>
      <c r="R469" s="42">
        <f>IF(J469="","",(J469-H469)*24)</f>
        <v/>
      </c>
    </row>
    <row r="470" ht="15" customHeight="1" s="24">
      <c r="A470" s="27" t="n">
        <v>653360</v>
      </c>
      <c r="B470" s="27" t="inlineStr">
        <is>
          <t>PGO10653360</t>
        </is>
      </c>
      <c r="C470" s="27" t="n">
        <v>5</v>
      </c>
      <c r="D470" s="27" t="n">
        <v>3156</v>
      </c>
      <c r="E470" s="27" t="n">
        <v>263</v>
      </c>
      <c r="F470" s="41" t="n">
        <v>45790.06224165509</v>
      </c>
      <c r="G470" s="41" t="n">
        <v>45790.27321490741</v>
      </c>
      <c r="H470" s="41" t="n">
        <v>45791.78996303241</v>
      </c>
      <c r="I470" s="41" t="n">
        <v>45791.84142729166</v>
      </c>
      <c r="J470" s="41" t="n">
        <v>45794.61294827546</v>
      </c>
      <c r="K470" s="27" t="inlineStr">
        <is>
          <t>Collected</t>
        </is>
      </c>
      <c r="L470" s="27" t="inlineStr">
        <is>
          <t>Standard</t>
        </is>
      </c>
      <c r="M470" s="27" t="inlineStr">
        <is>
          <t>Mpumalanga</t>
        </is>
      </c>
      <c r="N470" s="27" t="n">
        <v>131.83</v>
      </c>
      <c r="O470" s="27" t="n">
        <v>0.48</v>
      </c>
      <c r="P470" s="27" t="n">
        <v>56.71</v>
      </c>
      <c r="Q470" s="42">
        <f>IF(H470="","",(H470-F470)*24)</f>
        <v/>
      </c>
      <c r="R470" s="42">
        <f>IF(J470="","",(J470-H470)*24)</f>
        <v/>
      </c>
    </row>
    <row r="471" ht="15" customHeight="1" s="24">
      <c r="A471" s="27" t="n">
        <v>664201</v>
      </c>
      <c r="B471" s="27" t="inlineStr">
        <is>
          <t>PGO10664201</t>
        </is>
      </c>
      <c r="C471" s="27" t="n">
        <v>26</v>
      </c>
      <c r="D471" s="27" t="n">
        <v>203</v>
      </c>
      <c r="E471" s="27" t="n">
        <v>34</v>
      </c>
      <c r="F471" s="41" t="n">
        <v>45791.98031358796</v>
      </c>
      <c r="G471" s="41" t="n">
        <v>45792.18987893518</v>
      </c>
      <c r="H471" s="41" t="n">
        <v>45794.04720479167</v>
      </c>
      <c r="I471" s="41" t="n">
        <v>45794.09453884259</v>
      </c>
      <c r="J471" s="41" t="n">
        <v>45796.29482229167</v>
      </c>
      <c r="K471" s="27" t="inlineStr">
        <is>
          <t>Collected</t>
        </is>
      </c>
      <c r="L471" s="27" t="inlineStr">
        <is>
          <t>Return-to-Retailer</t>
        </is>
      </c>
      <c r="M471" s="27" t="inlineStr">
        <is>
          <t>Mpumalanga</t>
        </is>
      </c>
      <c r="N471" s="27" t="n">
        <v>157.16</v>
      </c>
      <c r="O471" s="27" t="n">
        <v>0.8100000000000001</v>
      </c>
      <c r="P471" s="27" t="n">
        <v>54.83</v>
      </c>
      <c r="Q471" s="42">
        <f>IF(H471="","",(H471-F471)*24)</f>
        <v/>
      </c>
      <c r="R471" s="42">
        <f>IF(J471="","",(J471-H471)*24)</f>
        <v/>
      </c>
    </row>
    <row r="472" ht="15" customHeight="1" s="24">
      <c r="A472" s="27" t="n">
        <v>671755</v>
      </c>
      <c r="B472" s="27" t="inlineStr">
        <is>
          <t>PGO10671755</t>
        </is>
      </c>
      <c r="C472" s="27" t="n">
        <v>6</v>
      </c>
      <c r="D472" s="27" t="n">
        <v>1058</v>
      </c>
      <c r="E472" s="27" t="n">
        <v>297</v>
      </c>
      <c r="F472" s="41" t="n">
        <v>45792.36021221065</v>
      </c>
      <c r="G472" s="41" t="n">
        <v>45792.42956144676</v>
      </c>
      <c r="H472" s="41" t="n">
        <v>45793.65416362268</v>
      </c>
      <c r="I472" s="41" t="n">
        <v>45793.68045778935</v>
      </c>
      <c r="J472" s="41" t="n">
        <v>45794.35334020833</v>
      </c>
      <c r="K472" s="27" t="inlineStr">
        <is>
          <t>Collected</t>
        </is>
      </c>
      <c r="L472" s="27" t="inlineStr">
        <is>
          <t>Standard</t>
        </is>
      </c>
      <c r="M472" s="27" t="inlineStr">
        <is>
          <t>Gauteng</t>
        </is>
      </c>
      <c r="N472" s="27" t="n">
        <v>82.95</v>
      </c>
      <c r="O472" s="27" t="n">
        <v>0.85</v>
      </c>
      <c r="P472" s="27" t="n">
        <v>39.82</v>
      </c>
      <c r="Q472" s="42">
        <f>IF(H472="","",(H472-F472)*24)</f>
        <v/>
      </c>
      <c r="R472" s="42">
        <f>IF(J472="","",(J472-H472)*24)</f>
        <v/>
      </c>
    </row>
    <row r="473" ht="15" customHeight="1" s="24">
      <c r="A473" s="27" t="n">
        <v>667222</v>
      </c>
      <c r="B473" s="27" t="inlineStr">
        <is>
          <t>PGO10667222</t>
        </is>
      </c>
      <c r="C473" s="27" t="n">
        <v>11</v>
      </c>
      <c r="D473" s="27" t="n">
        <v>1297</v>
      </c>
      <c r="E473" s="27" t="n">
        <v>260</v>
      </c>
      <c r="F473" s="41" t="n">
        <v>45792.69041493056</v>
      </c>
      <c r="G473" s="41" t="n">
        <v>45792.76770446759</v>
      </c>
      <c r="H473" s="41" t="n">
        <v>45793.59797893518</v>
      </c>
      <c r="I473" s="41" t="n">
        <v>45793.64109799769</v>
      </c>
      <c r="J473" s="41" t="n">
        <v>45798.33920056713</v>
      </c>
      <c r="K473" s="27" t="inlineStr">
        <is>
          <t>Collected</t>
        </is>
      </c>
      <c r="L473" s="27" t="inlineStr">
        <is>
          <t>Express</t>
        </is>
      </c>
      <c r="M473" s="27" t="inlineStr">
        <is>
          <t>Eastern Cape</t>
        </is>
      </c>
      <c r="N473" s="27" t="n">
        <v>247.41</v>
      </c>
      <c r="O473" s="27" t="n">
        <v>0.83</v>
      </c>
      <c r="P473" s="27" t="n">
        <v>65.23</v>
      </c>
      <c r="Q473" s="42">
        <f>IF(H473="","",(H473-F473)*24)</f>
        <v/>
      </c>
      <c r="R473" s="42">
        <f>IF(J473="","",(J473-H473)*24)</f>
        <v/>
      </c>
    </row>
    <row r="474" ht="15" customHeight="1" s="24">
      <c r="A474" s="27" t="n">
        <v>664737</v>
      </c>
      <c r="B474" s="27" t="inlineStr">
        <is>
          <t>PGO10664737</t>
        </is>
      </c>
      <c r="C474" s="27" t="n">
        <v>39</v>
      </c>
      <c r="D474" s="27" t="n">
        <v>3324</v>
      </c>
      <c r="E474" s="27" t="n">
        <v>455</v>
      </c>
      <c r="F474" s="41" t="n">
        <v>45793.03306086805</v>
      </c>
      <c r="G474" s="41" t="n">
        <v>45793.68639258102</v>
      </c>
      <c r="H474" s="41" t="n">
        <v>45794.4989365162</v>
      </c>
      <c r="I474" s="41" t="n">
        <v>45794.52681519676</v>
      </c>
      <c r="J474" s="41" t="n">
        <v>45797.07207576389</v>
      </c>
      <c r="K474" s="27" t="inlineStr">
        <is>
          <t>Collected</t>
        </is>
      </c>
      <c r="L474" s="27" t="inlineStr">
        <is>
          <t>Standard</t>
        </is>
      </c>
      <c r="M474" s="27" t="inlineStr">
        <is>
          <t>Western Cape</t>
        </is>
      </c>
      <c r="N474" s="27" t="n">
        <v>568.23</v>
      </c>
      <c r="O474" s="27" t="n">
        <v>0.36</v>
      </c>
      <c r="P474" s="27" t="n">
        <v>56.76</v>
      </c>
      <c r="Q474" s="42">
        <f>IF(H474="","",(H474-F474)*24)</f>
        <v/>
      </c>
      <c r="R474" s="42">
        <f>IF(J474="","",(J474-H474)*24)</f>
        <v/>
      </c>
    </row>
    <row r="475" ht="15" customHeight="1" s="24">
      <c r="A475" s="27" t="n">
        <v>660654</v>
      </c>
      <c r="B475" s="27" t="inlineStr">
        <is>
          <t>PGO10660654</t>
        </is>
      </c>
      <c r="C475" s="27" t="n">
        <v>142</v>
      </c>
      <c r="D475" s="27" t="n">
        <v>3854</v>
      </c>
      <c r="E475" s="27" t="n">
        <v>180</v>
      </c>
      <c r="F475" s="41" t="n">
        <v>45794.0792583912</v>
      </c>
      <c r="G475" s="41" t="n">
        <v>45794.14739636574</v>
      </c>
      <c r="H475" s="41" t="n">
        <v>45794.531026875</v>
      </c>
      <c r="I475" s="41" t="n">
        <v>45794.54878423611</v>
      </c>
      <c r="J475" s="41" t="n">
        <v>45797.09552680555</v>
      </c>
      <c r="K475" s="27" t="inlineStr">
        <is>
          <t>Collected</t>
        </is>
      </c>
      <c r="L475" s="27" t="inlineStr">
        <is>
          <t>Standard</t>
        </is>
      </c>
      <c r="M475" s="27" t="inlineStr">
        <is>
          <t>KwaZulu-Natal</t>
        </is>
      </c>
      <c r="N475" s="27" t="n">
        <v>170.05</v>
      </c>
      <c r="O475" s="27" t="n">
        <v>1.91</v>
      </c>
      <c r="P475" s="27" t="n">
        <v>54.84</v>
      </c>
      <c r="Q475" s="42">
        <f>IF(H475="","",(H475-F475)*24)</f>
        <v/>
      </c>
      <c r="R475" s="42">
        <f>IF(J475="","",(J475-H475)*24)</f>
        <v/>
      </c>
    </row>
    <row r="476" ht="15" customHeight="1" s="24">
      <c r="A476" s="27" t="n">
        <v>661200</v>
      </c>
      <c r="B476" s="27" t="inlineStr">
        <is>
          <t>PGO10661200</t>
        </is>
      </c>
      <c r="C476" s="27" t="n">
        <v>2</v>
      </c>
      <c r="D476" s="27" t="n">
        <v>1163</v>
      </c>
      <c r="E476" s="27" t="n">
        <v>294</v>
      </c>
      <c r="F476" s="41" t="n">
        <v>45794.84719888889</v>
      </c>
      <c r="G476" s="41" t="n">
        <v>45795.11639284722</v>
      </c>
      <c r="H476" s="41" t="n">
        <v>45796.01184769676</v>
      </c>
      <c r="I476" s="41" t="n">
        <v>45796.02347710648</v>
      </c>
      <c r="J476" s="41" t="n">
        <v>45797.35548891204</v>
      </c>
      <c r="K476" s="27" t="inlineStr">
        <is>
          <t>Collected</t>
        </is>
      </c>
      <c r="L476" s="27" t="inlineStr">
        <is>
          <t>Standard</t>
        </is>
      </c>
      <c r="M476" s="27" t="inlineStr">
        <is>
          <t>Western Cape</t>
        </is>
      </c>
      <c r="N476" s="27" t="n">
        <v>1007.2</v>
      </c>
      <c r="O476" s="27" t="n">
        <v>3.86</v>
      </c>
      <c r="P476" s="27" t="n">
        <v>50.72</v>
      </c>
      <c r="Q476" s="42">
        <f>IF(H476="","",(H476-F476)*24)</f>
        <v/>
      </c>
      <c r="R476" s="42">
        <f>IF(J476="","",(J476-H476)*24)</f>
        <v/>
      </c>
    </row>
    <row r="477" ht="15" customHeight="1" s="24">
      <c r="A477" s="27" t="n">
        <v>658908</v>
      </c>
      <c r="B477" s="27" t="inlineStr">
        <is>
          <t>PGO10658908</t>
        </is>
      </c>
      <c r="C477" s="27" t="n">
        <v>8</v>
      </c>
      <c r="D477" s="27" t="n">
        <v>1428</v>
      </c>
      <c r="E477" s="27" t="n">
        <v>301</v>
      </c>
      <c r="F477" s="41" t="n">
        <v>45796.06093049768</v>
      </c>
      <c r="G477" s="41" t="n">
        <v>45796.34377277778</v>
      </c>
      <c r="H477" s="41" t="n">
        <v>45796.95775064815</v>
      </c>
      <c r="I477" s="41" t="n">
        <v>45797.01051175926</v>
      </c>
      <c r="J477" s="41" t="n">
        <v>45798.85894848379</v>
      </c>
      <c r="K477" s="27" t="inlineStr">
        <is>
          <t>Collected</t>
        </is>
      </c>
      <c r="L477" s="27" t="inlineStr">
        <is>
          <t>Standard</t>
        </is>
      </c>
      <c r="M477" s="27" t="inlineStr">
        <is>
          <t>Mpumalanga</t>
        </is>
      </c>
      <c r="N477" s="27" t="n">
        <v>76.87</v>
      </c>
      <c r="O477" s="27" t="n">
        <v>1.29</v>
      </c>
      <c r="P477" s="27" t="n">
        <v>54.27</v>
      </c>
      <c r="Q477" s="42">
        <f>IF(H477="","",(H477-F477)*24)</f>
        <v/>
      </c>
      <c r="R477" s="42">
        <f>IF(J477="","",(J477-H477)*24)</f>
        <v/>
      </c>
    </row>
    <row r="478" ht="15" customHeight="1" s="24">
      <c r="A478" s="27" t="n">
        <v>650845</v>
      </c>
      <c r="B478" s="27" t="inlineStr">
        <is>
          <t>PGO10650845</t>
        </is>
      </c>
      <c r="C478" s="27" t="n">
        <v>18</v>
      </c>
      <c r="D478" s="27" t="n">
        <v>3314</v>
      </c>
      <c r="E478" s="27" t="n">
        <v>69</v>
      </c>
      <c r="F478" s="41" t="n">
        <v>45797.72503975694</v>
      </c>
      <c r="G478" s="41" t="n">
        <v>45797.88202158565</v>
      </c>
      <c r="H478" s="41" t="n">
        <v>45798.86405725694</v>
      </c>
      <c r="I478" s="41" t="n">
        <v>45798.88218469908</v>
      </c>
      <c r="J478" s="41" t="n">
        <v>45801.3802290625</v>
      </c>
      <c r="K478" s="27" t="inlineStr">
        <is>
          <t>Collected</t>
        </is>
      </c>
      <c r="L478" s="27" t="inlineStr">
        <is>
          <t>Standard</t>
        </is>
      </c>
      <c r="M478" s="27" t="inlineStr">
        <is>
          <t>Gauteng</t>
        </is>
      </c>
      <c r="N478" s="27" t="n">
        <v>339.17</v>
      </c>
      <c r="O478" s="27" t="n">
        <v>2.77</v>
      </c>
      <c r="P478" s="27" t="n">
        <v>46.61</v>
      </c>
      <c r="Q478" s="42">
        <f>IF(H478="","",(H478-F478)*24)</f>
        <v/>
      </c>
      <c r="R478" s="42">
        <f>IF(J478="","",(J478-H478)*24)</f>
        <v/>
      </c>
    </row>
    <row r="479" ht="15" customHeight="1" s="24">
      <c r="A479" s="27" t="n">
        <v>670460</v>
      </c>
      <c r="B479" s="27" t="inlineStr">
        <is>
          <t>PGO10670460</t>
        </is>
      </c>
      <c r="C479" s="27" t="n">
        <v>14</v>
      </c>
      <c r="D479" s="27" t="n">
        <v>608</v>
      </c>
      <c r="E479" s="27" t="n">
        <v>111</v>
      </c>
      <c r="F479" s="41" t="n">
        <v>45801.36443303241</v>
      </c>
      <c r="G479" s="41" t="n">
        <v>45801.41896899306</v>
      </c>
      <c r="H479" s="41" t="n">
        <v>45802.06333989583</v>
      </c>
      <c r="I479" s="41" t="n">
        <v>45802.1133431713</v>
      </c>
      <c r="J479" s="41" t="n">
        <v>45804.13816969907</v>
      </c>
      <c r="K479" s="27" t="inlineStr">
        <is>
          <t>Collected</t>
        </is>
      </c>
      <c r="L479" s="27" t="inlineStr">
        <is>
          <t>Standard</t>
        </is>
      </c>
      <c r="M479" s="27" t="inlineStr">
        <is>
          <t>KwaZulu-Natal</t>
        </is>
      </c>
      <c r="N479" s="27" t="n">
        <v>117.29</v>
      </c>
      <c r="O479" s="27" t="n">
        <v>0.74</v>
      </c>
      <c r="P479" s="27" t="n">
        <v>68.76000000000001</v>
      </c>
      <c r="Q479" s="42">
        <f>IF(H479="","",(H479-F479)*24)</f>
        <v/>
      </c>
      <c r="R479" s="42">
        <f>IF(J479="","",(J479-H479)*24)</f>
        <v/>
      </c>
    </row>
    <row r="480" ht="15" customHeight="1" s="24">
      <c r="A480" s="27" t="n">
        <v>676308</v>
      </c>
      <c r="B480" s="27" t="inlineStr">
        <is>
          <t>PGO10676308</t>
        </is>
      </c>
      <c r="C480" s="27" t="n">
        <v>2</v>
      </c>
      <c r="D480" s="27" t="n">
        <v>3716</v>
      </c>
      <c r="E480" s="27" t="n">
        <v>258</v>
      </c>
      <c r="F480" s="41" t="n">
        <v>45803.10730123843</v>
      </c>
      <c r="G480" s="41" t="n">
        <v>45803.2913197801</v>
      </c>
      <c r="H480" s="41" t="n">
        <v>45804.25499059028</v>
      </c>
      <c r="I480" s="41" t="n">
        <v>45804.26988822917</v>
      </c>
      <c r="J480" s="41" t="n">
        <v>45806.9270205787</v>
      </c>
      <c r="K480" s="27" t="inlineStr">
        <is>
          <t>Collected</t>
        </is>
      </c>
      <c r="L480" s="27" t="inlineStr">
        <is>
          <t>Standard</t>
        </is>
      </c>
      <c r="M480" s="27" t="inlineStr">
        <is>
          <t>Gauteng</t>
        </is>
      </c>
      <c r="N480" s="27" t="n">
        <v>531.1</v>
      </c>
      <c r="O480" s="27" t="n">
        <v>1.36</v>
      </c>
      <c r="P480" s="27" t="n">
        <v>48.69</v>
      </c>
      <c r="Q480" s="42">
        <f>IF(H480="","",(H480-F480)*24)</f>
        <v/>
      </c>
      <c r="R480" s="42">
        <f>IF(J480="","",(J480-H480)*24)</f>
        <v/>
      </c>
    </row>
    <row r="481" ht="15" customHeight="1" s="24">
      <c r="A481" s="27" t="n">
        <v>666817</v>
      </c>
      <c r="B481" s="27" t="inlineStr">
        <is>
          <t>PGO10666817</t>
        </is>
      </c>
      <c r="C481" s="27" t="n">
        <v>1</v>
      </c>
      <c r="D481" s="27" t="n">
        <v>1557</v>
      </c>
      <c r="E481" s="27" t="n">
        <v>278</v>
      </c>
      <c r="F481" s="41" t="n">
        <v>45803.48217541667</v>
      </c>
      <c r="G481" s="41" t="n">
        <v>45803.49443734954</v>
      </c>
      <c r="H481" s="41" t="n">
        <v>45804.88276269676</v>
      </c>
      <c r="I481" s="41" t="n">
        <v>45804.89295833333</v>
      </c>
      <c r="J481" s="41" t="n">
        <v>45806.00949537037</v>
      </c>
      <c r="K481" s="27" t="inlineStr">
        <is>
          <t>Collected</t>
        </is>
      </c>
      <c r="L481" s="27" t="inlineStr">
        <is>
          <t>Standard</t>
        </is>
      </c>
      <c r="M481" s="27" t="inlineStr">
        <is>
          <t>KwaZulu-Natal</t>
        </is>
      </c>
      <c r="N481" s="27" t="n">
        <v>212.94</v>
      </c>
      <c r="O481" s="27" t="n">
        <v>7.68</v>
      </c>
      <c r="P481" s="27" t="n">
        <v>65.86</v>
      </c>
      <c r="Q481" s="42">
        <f>IF(H481="","",(H481-F481)*24)</f>
        <v/>
      </c>
      <c r="R481" s="42">
        <f>IF(J481="","",(J481-H481)*24)</f>
        <v/>
      </c>
    </row>
    <row r="482" ht="15" customHeight="1" s="24">
      <c r="A482" s="27" t="n">
        <v>670210</v>
      </c>
      <c r="B482" s="27" t="inlineStr">
        <is>
          <t>PGO10670210</t>
        </is>
      </c>
      <c r="C482" s="27" t="n">
        <v>1</v>
      </c>
      <c r="D482" s="27" t="n">
        <v>596</v>
      </c>
      <c r="E482" s="27" t="n">
        <v>407</v>
      </c>
      <c r="F482" s="41" t="n">
        <v>45804.31016556713</v>
      </c>
      <c r="G482" s="41" t="n">
        <v>45804.59913645833</v>
      </c>
      <c r="H482" s="41" t="n">
        <v>45804.95806568287</v>
      </c>
      <c r="I482" s="41" t="n">
        <v>45805.00770533565</v>
      </c>
      <c r="J482" s="41" t="n">
        <v>45807.12230309028</v>
      </c>
      <c r="K482" s="27" t="inlineStr">
        <is>
          <t>Collected</t>
        </is>
      </c>
      <c r="L482" s="27" t="inlineStr">
        <is>
          <t>Standard</t>
        </is>
      </c>
      <c r="M482" s="27" t="inlineStr">
        <is>
          <t>Northern Cape</t>
        </is>
      </c>
      <c r="N482" s="27" t="n">
        <v>727.75</v>
      </c>
      <c r="O482" s="27" t="n">
        <v>0.74</v>
      </c>
      <c r="P482" s="27" t="n">
        <v>44.36</v>
      </c>
      <c r="Q482" s="42">
        <f>IF(H482="","",(H482-F482)*24)</f>
        <v/>
      </c>
      <c r="R482" s="42">
        <f>IF(J482="","",(J482-H482)*24)</f>
        <v/>
      </c>
    </row>
    <row r="483" ht="15" customHeight="1" s="24">
      <c r="A483" s="27" t="n">
        <v>661759</v>
      </c>
      <c r="B483" s="27" t="inlineStr">
        <is>
          <t>PGO10661759</t>
        </is>
      </c>
      <c r="C483" s="27" t="n">
        <v>11</v>
      </c>
      <c r="D483" s="27" t="n">
        <v>3131</v>
      </c>
      <c r="E483" s="27" t="n">
        <v>466</v>
      </c>
      <c r="F483" s="41" t="n">
        <v>45804.51046767361</v>
      </c>
      <c r="G483" s="41" t="n">
        <v>45804.7021859838</v>
      </c>
      <c r="H483" s="41" t="n">
        <v>45805.79868988426</v>
      </c>
      <c r="I483" s="41" t="n">
        <v>45805.82307677083</v>
      </c>
      <c r="J483" s="41" t="n">
        <v>45806.18870490741</v>
      </c>
      <c r="K483" s="27" t="inlineStr">
        <is>
          <t>Collected</t>
        </is>
      </c>
      <c r="L483" s="27" t="inlineStr">
        <is>
          <t>Standard</t>
        </is>
      </c>
      <c r="M483" s="27" t="inlineStr">
        <is>
          <t>Western Cape</t>
        </is>
      </c>
      <c r="N483" s="27" t="n">
        <v>154.88</v>
      </c>
      <c r="O483" s="27" t="n">
        <v>0.63</v>
      </c>
      <c r="P483" s="27" t="n">
        <v>65.86</v>
      </c>
      <c r="Q483" s="42">
        <f>IF(H483="","",(H483-F483)*24)</f>
        <v/>
      </c>
      <c r="R483" s="42">
        <f>IF(J483="","",(J483-H483)*24)</f>
        <v/>
      </c>
    </row>
    <row r="484" ht="15" customHeight="1" s="24">
      <c r="A484" s="27" t="n">
        <v>655928</v>
      </c>
      <c r="B484" s="27" t="inlineStr">
        <is>
          <t>PGO10655928</t>
        </is>
      </c>
      <c r="C484" s="27" t="n">
        <v>2</v>
      </c>
      <c r="D484" s="27" t="n">
        <v>2450</v>
      </c>
      <c r="E484" s="27" t="n">
        <v>355</v>
      </c>
      <c r="F484" s="41" t="n">
        <v>45805.57344440973</v>
      </c>
      <c r="G484" s="41" t="n">
        <v>45805.92236119213</v>
      </c>
      <c r="H484" s="41" t="n">
        <v>45806.66921983796</v>
      </c>
      <c r="I484" s="41" t="n">
        <v>45806.67269412037</v>
      </c>
      <c r="J484" s="41" t="n">
        <v>45807.64656482639</v>
      </c>
      <c r="K484" s="27" t="inlineStr">
        <is>
          <t>Collected</t>
        </is>
      </c>
      <c r="L484" s="27" t="inlineStr">
        <is>
          <t>Standard</t>
        </is>
      </c>
      <c r="M484" s="27" t="inlineStr">
        <is>
          <t>Eastern Cape</t>
        </is>
      </c>
      <c r="N484" s="27" t="n">
        <v>1814.14</v>
      </c>
      <c r="O484" s="27" t="n">
        <v>3.52</v>
      </c>
      <c r="P484" s="27" t="n">
        <v>47.85</v>
      </c>
      <c r="Q484" s="42">
        <f>IF(H484="","",(H484-F484)*24)</f>
        <v/>
      </c>
      <c r="R484" s="42">
        <f>IF(J484="","",(J484-H484)*24)</f>
        <v/>
      </c>
    </row>
    <row r="485" ht="15" customHeight="1" s="24">
      <c r="A485" s="27" t="n">
        <v>650987</v>
      </c>
      <c r="B485" s="27" t="inlineStr">
        <is>
          <t>PGO10650987</t>
        </is>
      </c>
      <c r="C485" s="27" t="n">
        <v>3</v>
      </c>
      <c r="D485" s="27" t="n">
        <v>1168</v>
      </c>
      <c r="E485" s="27" t="n">
        <v>134</v>
      </c>
      <c r="F485" s="41" t="n">
        <v>45807.3833902199</v>
      </c>
      <c r="G485" s="41" t="n">
        <v>45807.77960626157</v>
      </c>
      <c r="H485" s="41" t="n">
        <v>45809.04405269676</v>
      </c>
      <c r="I485" s="41" t="n">
        <v>45809.07390376157</v>
      </c>
      <c r="J485" s="41" t="n">
        <v>45811.88273151621</v>
      </c>
      <c r="K485" s="27" t="inlineStr">
        <is>
          <t>Collected</t>
        </is>
      </c>
      <c r="L485" s="27" t="inlineStr">
        <is>
          <t>Standard</t>
        </is>
      </c>
      <c r="M485" s="27" t="inlineStr">
        <is>
          <t>Free State</t>
        </is>
      </c>
      <c r="N485" s="27" t="n">
        <v>745.71</v>
      </c>
      <c r="O485" s="27" t="n">
        <v>4.68</v>
      </c>
      <c r="P485" s="27" t="n">
        <v>40.64</v>
      </c>
      <c r="Q485" s="42">
        <f>IF(H485="","",(H485-F485)*24)</f>
        <v/>
      </c>
      <c r="R485" s="42">
        <f>IF(J485="","",(J485-H485)*24)</f>
        <v/>
      </c>
    </row>
    <row r="486" ht="15" customHeight="1" s="24">
      <c r="A486" s="27" t="n">
        <v>695840</v>
      </c>
      <c r="B486" s="27" t="inlineStr">
        <is>
          <t>PGO10695840</t>
        </is>
      </c>
      <c r="C486" s="27" t="n">
        <v>7</v>
      </c>
      <c r="D486" s="27" t="n">
        <v>2826</v>
      </c>
      <c r="E486" s="27" t="n">
        <v>67</v>
      </c>
      <c r="F486" s="41" t="n">
        <v>45810.81358311343</v>
      </c>
      <c r="G486" s="41" t="n">
        <v>45811.17541737269</v>
      </c>
      <c r="H486" s="41" t="n">
        <v>45812.33994196759</v>
      </c>
      <c r="I486" s="41" t="n">
        <v>45812.3713899537</v>
      </c>
      <c r="J486" s="41" t="n">
        <v>45814.34265109953</v>
      </c>
      <c r="K486" s="27" t="inlineStr">
        <is>
          <t>Collected</t>
        </is>
      </c>
      <c r="L486" s="27" t="inlineStr">
        <is>
          <t>Express</t>
        </is>
      </c>
      <c r="M486" s="27" t="inlineStr">
        <is>
          <t>Western Cape</t>
        </is>
      </c>
      <c r="N486" s="27" t="n">
        <v>162.6</v>
      </c>
      <c r="O486" s="27" t="n">
        <v>4.17</v>
      </c>
      <c r="P486" s="27" t="n">
        <v>47.56</v>
      </c>
      <c r="Q486" s="42">
        <f>IF(H486="","",(H486-F486)*24)</f>
        <v/>
      </c>
      <c r="R486" s="42">
        <f>IF(J486="","",(J486-H486)*24)</f>
        <v/>
      </c>
    </row>
    <row r="487" ht="15" customHeight="1" s="24">
      <c r="A487" s="27" t="n">
        <v>706808</v>
      </c>
      <c r="B487" s="27" t="inlineStr">
        <is>
          <t>PGO10706808</t>
        </is>
      </c>
      <c r="C487" s="27" t="n">
        <v>40</v>
      </c>
      <c r="D487" s="27" t="n">
        <v>800</v>
      </c>
      <c r="E487" s="27" t="n">
        <v>86</v>
      </c>
      <c r="F487" s="41" t="n">
        <v>45815.24558658565</v>
      </c>
      <c r="G487" s="41" t="n">
        <v>45815.40589438657</v>
      </c>
      <c r="H487" s="41" t="n">
        <v>45816.4918925</v>
      </c>
      <c r="I487" s="41" t="n">
        <v>45816.50925008102</v>
      </c>
      <c r="J487" s="41" t="n">
        <v>45816.6292130787</v>
      </c>
      <c r="K487" s="27" t="inlineStr">
        <is>
          <t>Collected</t>
        </is>
      </c>
      <c r="L487" s="27" t="inlineStr">
        <is>
          <t>Standard</t>
        </is>
      </c>
      <c r="M487" s="27" t="inlineStr">
        <is>
          <t>KwaZulu-Natal</t>
        </is>
      </c>
      <c r="N487" s="27" t="n">
        <v>200.57</v>
      </c>
      <c r="O487" s="27" t="n">
        <v>1.03</v>
      </c>
      <c r="P487" s="27" t="n">
        <v>59.72</v>
      </c>
      <c r="Q487" s="42">
        <f>IF(H487="","",(H487-F487)*24)</f>
        <v/>
      </c>
      <c r="R487" s="42">
        <f>IF(J487="","",(J487-H487)*24)</f>
        <v/>
      </c>
    </row>
    <row r="488" ht="15" customHeight="1" s="24">
      <c r="A488" s="27" t="n">
        <v>688537</v>
      </c>
      <c r="B488" s="27" t="inlineStr">
        <is>
          <t>PGO10688537</t>
        </is>
      </c>
      <c r="C488" s="27" t="n">
        <v>9</v>
      </c>
      <c r="D488" s="27" t="n">
        <v>3156</v>
      </c>
      <c r="E488" s="27" t="n">
        <v>34</v>
      </c>
      <c r="F488" s="41" t="n">
        <v>45817.96284746528</v>
      </c>
      <c r="G488" s="41" t="n">
        <v>45818.02380836805</v>
      </c>
      <c r="H488" s="41" t="n">
        <v>45819.03020236111</v>
      </c>
      <c r="I488" s="41" t="n">
        <v>45819.05105186343</v>
      </c>
      <c r="J488" s="41" t="n">
        <v>45820.62005519676</v>
      </c>
      <c r="K488" s="27" t="inlineStr">
        <is>
          <t>Collected</t>
        </is>
      </c>
      <c r="L488" s="27" t="inlineStr">
        <is>
          <t>Standard</t>
        </is>
      </c>
      <c r="M488" s="27" t="inlineStr">
        <is>
          <t>Mpumalanga</t>
        </is>
      </c>
      <c r="N488" s="27" t="n">
        <v>662.21</v>
      </c>
      <c r="O488" s="27" t="n">
        <v>3.14</v>
      </c>
      <c r="P488" s="27" t="n">
        <v>55.3</v>
      </c>
      <c r="Q488" s="42">
        <f>IF(H488="","",(H488-F488)*24)</f>
        <v/>
      </c>
      <c r="R488" s="42">
        <f>IF(J488="","",(J488-H488)*24)</f>
        <v/>
      </c>
    </row>
    <row r="489" ht="15" customHeight="1" s="24">
      <c r="A489" s="27" t="n">
        <v>687344</v>
      </c>
      <c r="B489" s="27" t="inlineStr">
        <is>
          <t>PGO10687344</t>
        </is>
      </c>
      <c r="C489" s="27" t="n">
        <v>5</v>
      </c>
      <c r="D489" s="27" t="n">
        <v>1906</v>
      </c>
      <c r="E489" s="27" t="n">
        <v>499</v>
      </c>
      <c r="F489" s="41" t="n">
        <v>45821.57095106482</v>
      </c>
      <c r="G489" s="41" t="n">
        <v>45822.06605800926</v>
      </c>
      <c r="H489" s="41" t="n">
        <v>45823.01388494213</v>
      </c>
      <c r="I489" s="41" t="n">
        <v>45823.07312134259</v>
      </c>
      <c r="J489" s="41" t="n">
        <v>45824.41298398149</v>
      </c>
      <c r="K489" s="27" t="inlineStr">
        <is>
          <t>Collected</t>
        </is>
      </c>
      <c r="L489" s="27" t="inlineStr">
        <is>
          <t>Standard</t>
        </is>
      </c>
      <c r="M489" s="27" t="inlineStr">
        <is>
          <t>Northern Cape</t>
        </is>
      </c>
      <c r="N489" s="27" t="n">
        <v>24.92</v>
      </c>
      <c r="O489" s="27" t="n">
        <v>0.77</v>
      </c>
      <c r="P489" s="27" t="n">
        <v>56.58</v>
      </c>
      <c r="Q489" s="42">
        <f>IF(H489="","",(H489-F489)*24)</f>
        <v/>
      </c>
      <c r="R489" s="42">
        <f>IF(J489="","",(J489-H489)*24)</f>
        <v/>
      </c>
    </row>
    <row r="490" ht="15" customHeight="1" s="24">
      <c r="A490" s="27" t="n">
        <v>696378</v>
      </c>
      <c r="B490" s="27" t="inlineStr">
        <is>
          <t>PGO10696378</t>
        </is>
      </c>
      <c r="C490" s="27" t="n">
        <v>6</v>
      </c>
      <c r="D490" s="27" t="n">
        <v>2174</v>
      </c>
      <c r="E490" s="27" t="n">
        <v>21</v>
      </c>
      <c r="F490" s="41" t="n">
        <v>45822.20453940972</v>
      </c>
      <c r="G490" s="41" t="n">
        <v>45822.36901957176</v>
      </c>
      <c r="H490" s="41" t="n">
        <v>45823.57661931713</v>
      </c>
      <c r="I490" s="41" t="n">
        <v>45823.63395157408</v>
      </c>
      <c r="J490" s="41" t="n">
        <v>45825.08532645833</v>
      </c>
      <c r="K490" s="27" t="inlineStr">
        <is>
          <t>Collected</t>
        </is>
      </c>
      <c r="L490" s="27" t="inlineStr">
        <is>
          <t>Return-to-Retailer</t>
        </is>
      </c>
      <c r="M490" s="27" t="inlineStr">
        <is>
          <t>KwaZulu-Natal</t>
        </is>
      </c>
      <c r="N490" s="27" t="n">
        <v>875.66</v>
      </c>
      <c r="O490" s="27" t="n">
        <v>0.73</v>
      </c>
      <c r="P490" s="27" t="n">
        <v>38.63</v>
      </c>
      <c r="Q490" s="42">
        <f>IF(H490="","",(H490-F490)*24)</f>
        <v/>
      </c>
      <c r="R490" s="42">
        <f>IF(J490="","",(J490-H490)*24)</f>
        <v/>
      </c>
    </row>
    <row r="491" ht="15" customHeight="1" s="24">
      <c r="A491" s="27" t="n">
        <v>696582</v>
      </c>
      <c r="B491" s="27" t="inlineStr">
        <is>
          <t>PGO10696582</t>
        </is>
      </c>
      <c r="C491" s="27" t="n">
        <v>2</v>
      </c>
      <c r="D491" s="27" t="n">
        <v>2785</v>
      </c>
      <c r="E491" s="27" t="n">
        <v>57</v>
      </c>
      <c r="F491" s="41" t="n">
        <v>45824.25877731481</v>
      </c>
      <c r="G491" s="41" t="n">
        <v>45824.30771482639</v>
      </c>
      <c r="H491" s="41" t="n">
        <v>45824.91520680556</v>
      </c>
      <c r="I491" s="41" t="n">
        <v>45824.95245918982</v>
      </c>
      <c r="J491" s="41" t="n">
        <v>45827.42697628473</v>
      </c>
      <c r="K491" s="27" t="inlineStr">
        <is>
          <t>Collected</t>
        </is>
      </c>
      <c r="L491" s="27" t="inlineStr">
        <is>
          <t>Return-to-Retailer</t>
        </is>
      </c>
      <c r="M491" s="27" t="inlineStr">
        <is>
          <t>KwaZulu-Natal</t>
        </is>
      </c>
      <c r="N491" s="27" t="n">
        <v>565.6</v>
      </c>
      <c r="O491" s="27" t="n">
        <v>0.38</v>
      </c>
      <c r="P491" s="27" t="n">
        <v>49.99</v>
      </c>
      <c r="Q491" s="42">
        <f>IF(H491="","",(H491-F491)*24)</f>
        <v/>
      </c>
      <c r="R491" s="42">
        <f>IF(J491="","",(J491-H491)*24)</f>
        <v/>
      </c>
    </row>
    <row r="492" ht="15" customHeight="1" s="24">
      <c r="A492" s="27" t="n">
        <v>700418</v>
      </c>
      <c r="B492" s="27" t="inlineStr">
        <is>
          <t>PGO10700418</t>
        </is>
      </c>
      <c r="C492" s="27" t="n">
        <v>1</v>
      </c>
      <c r="D492" s="27" t="n">
        <v>2169</v>
      </c>
      <c r="E492" s="27" t="n">
        <v>62</v>
      </c>
      <c r="F492" s="41" t="n">
        <v>45826.82127517361</v>
      </c>
      <c r="G492" s="41" t="n">
        <v>45827.30164002315</v>
      </c>
      <c r="H492" s="41" t="n">
        <v>45828.72706075232</v>
      </c>
      <c r="I492" s="41" t="n">
        <v>45828.78161292824</v>
      </c>
      <c r="J492" s="41" t="n">
        <v>45829.6359946875</v>
      </c>
      <c r="K492" s="27" t="inlineStr">
        <is>
          <t>Collected</t>
        </is>
      </c>
      <c r="L492" s="27" t="inlineStr">
        <is>
          <t>Standard</t>
        </is>
      </c>
      <c r="M492" s="27" t="inlineStr">
        <is>
          <t>Western Cape</t>
        </is>
      </c>
      <c r="N492" s="27" t="n">
        <v>138.91</v>
      </c>
      <c r="O492" s="27" t="n">
        <v>0.47</v>
      </c>
      <c r="P492" s="27" t="n">
        <v>44.43</v>
      </c>
      <c r="Q492" s="42">
        <f>IF(H492="","",(H492-F492)*24)</f>
        <v/>
      </c>
      <c r="R492" s="42">
        <f>IF(J492="","",(J492-H492)*24)</f>
        <v/>
      </c>
    </row>
    <row r="493" ht="15" customHeight="1" s="24">
      <c r="A493" s="27" t="n">
        <v>698068</v>
      </c>
      <c r="B493" s="27" t="inlineStr">
        <is>
          <t>PGO10698068</t>
        </is>
      </c>
      <c r="C493" s="27" t="n">
        <v>10</v>
      </c>
      <c r="D493" s="27" t="n">
        <v>264</v>
      </c>
      <c r="E493" s="27" t="n">
        <v>34</v>
      </c>
      <c r="F493" s="41" t="n">
        <v>45827.12903103009</v>
      </c>
      <c r="G493" s="41" t="n">
        <v>45827.26635761574</v>
      </c>
      <c r="H493" s="41" t="n">
        <v>45828.22052410879</v>
      </c>
      <c r="I493" s="41" t="n">
        <v>45828.25331609954</v>
      </c>
      <c r="J493" s="41" t="n">
        <v>45831.82607592593</v>
      </c>
      <c r="K493" s="27" t="inlineStr">
        <is>
          <t>Collected</t>
        </is>
      </c>
      <c r="L493" s="27" t="inlineStr">
        <is>
          <t>Standard</t>
        </is>
      </c>
      <c r="M493" s="27" t="inlineStr">
        <is>
          <t>Mpumalanga</t>
        </is>
      </c>
      <c r="N493" s="27" t="n">
        <v>266.83</v>
      </c>
      <c r="O493" s="27" t="n">
        <v>1.7</v>
      </c>
      <c r="P493" s="27" t="n">
        <v>61.77</v>
      </c>
      <c r="Q493" s="42">
        <f>IF(H493="","",(H493-F493)*24)</f>
        <v/>
      </c>
      <c r="R493" s="42">
        <f>IF(J493="","",(J493-H493)*24)</f>
        <v/>
      </c>
    </row>
    <row r="494" ht="15" customHeight="1" s="24">
      <c r="A494" s="27" t="n">
        <v>686311</v>
      </c>
      <c r="B494" s="27" t="inlineStr">
        <is>
          <t>PGO10686311</t>
        </is>
      </c>
      <c r="C494" s="27" t="n">
        <v>5</v>
      </c>
      <c r="D494" s="27" t="n">
        <v>3292</v>
      </c>
      <c r="E494" s="27" t="n">
        <v>12</v>
      </c>
      <c r="F494" s="41" t="n">
        <v>45827.78413664352</v>
      </c>
      <c r="G494" s="41" t="n">
        <v>45828.10212070602</v>
      </c>
      <c r="H494" s="41" t="n">
        <v>45829.10077516203</v>
      </c>
      <c r="I494" s="41" t="n">
        <v>45829.15598403935</v>
      </c>
      <c r="J494" s="41" t="n">
        <v>45831.96939851851</v>
      </c>
      <c r="K494" s="27" t="inlineStr">
        <is>
          <t>Collected</t>
        </is>
      </c>
      <c r="L494" s="27" t="inlineStr">
        <is>
          <t>Standard</t>
        </is>
      </c>
      <c r="M494" s="27" t="inlineStr">
        <is>
          <t>Eastern Cape</t>
        </is>
      </c>
      <c r="N494" s="27" t="n">
        <v>252.32</v>
      </c>
      <c r="O494" s="27" t="n">
        <v>0.2</v>
      </c>
      <c r="P494" s="27" t="n">
        <v>58.09</v>
      </c>
      <c r="Q494" s="42">
        <f>IF(H494="","",(H494-F494)*24)</f>
        <v/>
      </c>
      <c r="R494" s="42">
        <f>IF(J494="","",(J494-H494)*24)</f>
        <v/>
      </c>
    </row>
    <row r="495" ht="15" customHeight="1" s="24">
      <c r="A495" s="27" t="n">
        <v>699292</v>
      </c>
      <c r="B495" s="27" t="inlineStr">
        <is>
          <t>PGO10699292</t>
        </is>
      </c>
      <c r="C495" s="27" t="n">
        <v>2</v>
      </c>
      <c r="D495" s="27" t="n">
        <v>1614</v>
      </c>
      <c r="E495" s="27" t="n">
        <v>297</v>
      </c>
      <c r="F495" s="41" t="n">
        <v>45828.02064814815</v>
      </c>
      <c r="G495" s="41" t="n">
        <v>45828.44056887731</v>
      </c>
      <c r="H495" s="41" t="n">
        <v>45829.06243443287</v>
      </c>
      <c r="I495" s="41" t="n">
        <v>45829.09105543981</v>
      </c>
      <c r="J495" s="41" t="n">
        <v>45831.76993247685</v>
      </c>
      <c r="K495" s="27" t="inlineStr">
        <is>
          <t>Collected</t>
        </is>
      </c>
      <c r="L495" s="27" t="inlineStr">
        <is>
          <t>Standard</t>
        </is>
      </c>
      <c r="M495" s="27" t="inlineStr">
        <is>
          <t>Gauteng</t>
        </is>
      </c>
      <c r="N495" s="27" t="n">
        <v>299.85</v>
      </c>
      <c r="O495" s="27" t="n">
        <v>1.52</v>
      </c>
      <c r="P495" s="27" t="n">
        <v>48.38</v>
      </c>
      <c r="Q495" s="42">
        <f>IF(H495="","",(H495-F495)*24)</f>
        <v/>
      </c>
      <c r="R495" s="42">
        <f>IF(J495="","",(J495-H495)*24)</f>
        <v/>
      </c>
    </row>
    <row r="496" ht="15" customHeight="1" s="24">
      <c r="A496" s="27" t="n">
        <v>688023</v>
      </c>
      <c r="B496" s="27" t="inlineStr">
        <is>
          <t>PGO10688023</t>
        </is>
      </c>
      <c r="C496" s="27" t="n">
        <v>4</v>
      </c>
      <c r="D496" s="27" t="n">
        <v>244</v>
      </c>
      <c r="E496" s="27" t="n">
        <v>322</v>
      </c>
      <c r="F496" s="41" t="n">
        <v>45828.55219952546</v>
      </c>
      <c r="G496" s="41" t="n">
        <v>45829.03064118056</v>
      </c>
      <c r="H496" s="41" t="n">
        <v>45829.60330510417</v>
      </c>
      <c r="I496" s="41" t="n">
        <v>45829.62495033564</v>
      </c>
      <c r="J496" s="41" t="n">
        <v>45831.85668730324</v>
      </c>
      <c r="K496" s="27" t="inlineStr">
        <is>
          <t>Collected</t>
        </is>
      </c>
      <c r="L496" s="27" t="inlineStr">
        <is>
          <t>Standard</t>
        </is>
      </c>
      <c r="M496" s="27" t="inlineStr">
        <is>
          <t>Gauteng</t>
        </is>
      </c>
      <c r="N496" s="27" t="n">
        <v>922.71</v>
      </c>
      <c r="O496" s="27" t="n">
        <v>1.57</v>
      </c>
      <c r="P496" s="27" t="n">
        <v>42.51</v>
      </c>
      <c r="Q496" s="42">
        <f>IF(H496="","",(H496-F496)*24)</f>
        <v/>
      </c>
      <c r="R496" s="42">
        <f>IF(J496="","",(J496-H496)*24)</f>
        <v/>
      </c>
    </row>
    <row r="497" ht="15" customHeight="1" s="24">
      <c r="A497" s="27" t="n">
        <v>688106</v>
      </c>
      <c r="B497" s="27" t="inlineStr">
        <is>
          <t>PGO10688106</t>
        </is>
      </c>
      <c r="C497" s="27" t="n">
        <v>1</v>
      </c>
      <c r="D497" s="27" t="n">
        <v>3695</v>
      </c>
      <c r="E497" s="27" t="n">
        <v>141</v>
      </c>
      <c r="F497" s="41" t="n">
        <v>45834.06304019676</v>
      </c>
      <c r="G497" s="41" t="n">
        <v>45834.18989019676</v>
      </c>
      <c r="H497" s="41" t="n">
        <v>45834.65529870371</v>
      </c>
      <c r="I497" s="41" t="n">
        <v>45834.68852179398</v>
      </c>
      <c r="J497" s="41" t="n">
        <v>45835.99951604167</v>
      </c>
      <c r="K497" s="27" t="inlineStr">
        <is>
          <t>Collected</t>
        </is>
      </c>
      <c r="L497" s="27" t="inlineStr">
        <is>
          <t>Express</t>
        </is>
      </c>
      <c r="M497" s="27" t="inlineStr">
        <is>
          <t>Western Cape</t>
        </is>
      </c>
      <c r="N497" s="27" t="n">
        <v>214.14</v>
      </c>
      <c r="O497" s="27" t="n">
        <v>0.54</v>
      </c>
      <c r="P497" s="27" t="n">
        <v>48.22</v>
      </c>
      <c r="Q497" s="42">
        <f>IF(H497="","",(H497-F497)*24)</f>
        <v/>
      </c>
      <c r="R497" s="42">
        <f>IF(J497="","",(J497-H497)*24)</f>
        <v/>
      </c>
    </row>
    <row r="498" ht="15" customHeight="1" s="24">
      <c r="A498" s="27" t="n">
        <v>700702</v>
      </c>
      <c r="B498" s="27" t="inlineStr">
        <is>
          <t>PGO10700702</t>
        </is>
      </c>
      <c r="C498" s="27" t="n">
        <v>139</v>
      </c>
      <c r="D498" s="27" t="n">
        <v>1541</v>
      </c>
      <c r="E498" s="27" t="n">
        <v>246</v>
      </c>
      <c r="F498" s="41" t="n">
        <v>45836.04373837963</v>
      </c>
      <c r="G498" s="41" t="n">
        <v>45836.1246587963</v>
      </c>
      <c r="H498" s="41" t="n">
        <v>45836.96253591435</v>
      </c>
      <c r="I498" s="41" t="n">
        <v>45836.99095739584</v>
      </c>
      <c r="J498" s="41" t="n">
        <v>45838.66472422454</v>
      </c>
      <c r="K498" s="27" t="inlineStr">
        <is>
          <t>Collected</t>
        </is>
      </c>
      <c r="L498" s="27" t="inlineStr">
        <is>
          <t>Return-to-Retailer</t>
        </is>
      </c>
      <c r="M498" s="27" t="inlineStr">
        <is>
          <t>KwaZulu-Natal</t>
        </is>
      </c>
      <c r="N498" s="27" t="n">
        <v>4022.27</v>
      </c>
      <c r="O498" s="27" t="n">
        <v>1.31</v>
      </c>
      <c r="P498" s="27" t="n">
        <v>67.12</v>
      </c>
      <c r="Q498" s="42">
        <f>IF(H498="","",(H498-F498)*24)</f>
        <v/>
      </c>
      <c r="R498" s="42">
        <f>IF(J498="","",(J498-H498)*24)</f>
        <v/>
      </c>
    </row>
    <row r="499" ht="15" customHeight="1" s="24">
      <c r="A499" s="27" t="n">
        <v>709285</v>
      </c>
      <c r="B499" s="27" t="inlineStr">
        <is>
          <t>PGO10709285</t>
        </is>
      </c>
      <c r="C499" s="27" t="n">
        <v>127</v>
      </c>
      <c r="D499" s="27" t="n">
        <v>3928</v>
      </c>
      <c r="E499" s="27" t="n">
        <v>27</v>
      </c>
      <c r="F499" s="41" t="n">
        <v>45839.50666994213</v>
      </c>
      <c r="G499" s="41" t="n">
        <v>45839.59868802084</v>
      </c>
      <c r="H499" s="41" t="n">
        <v>45840.30538336805</v>
      </c>
      <c r="I499" s="41" t="n">
        <v>45840.32123077547</v>
      </c>
      <c r="J499" s="41" t="n">
        <v>45840.47569700232</v>
      </c>
      <c r="K499" s="27" t="inlineStr">
        <is>
          <t>Collected</t>
        </is>
      </c>
      <c r="L499" s="27" t="inlineStr">
        <is>
          <t>Express</t>
        </is>
      </c>
      <c r="M499" s="27" t="inlineStr">
        <is>
          <t>Western Cape</t>
        </is>
      </c>
      <c r="N499" s="27" t="n">
        <v>173.71</v>
      </c>
      <c r="O499" s="27" t="n">
        <v>5.34</v>
      </c>
      <c r="P499" s="27" t="n">
        <v>83.58</v>
      </c>
      <c r="Q499" s="42">
        <f>IF(H499="","",(H499-F499)*24)</f>
        <v/>
      </c>
      <c r="R499" s="42">
        <f>IF(J499="","",(J499-H499)*24)</f>
        <v/>
      </c>
    </row>
    <row r="500" ht="15" customHeight="1" s="24">
      <c r="A500" s="27" t="n">
        <v>722972</v>
      </c>
      <c r="B500" s="27" t="inlineStr">
        <is>
          <t>PGO10722972</t>
        </is>
      </c>
      <c r="C500" s="27" t="n">
        <v>1</v>
      </c>
      <c r="D500" s="27" t="n">
        <v>1969</v>
      </c>
      <c r="E500" s="27" t="n">
        <v>19</v>
      </c>
      <c r="F500" s="41" t="n">
        <v>45839.58986413194</v>
      </c>
      <c r="G500" s="41" t="n">
        <v>45839.76950021991</v>
      </c>
      <c r="H500" s="41" t="n">
        <v>45840.34130413194</v>
      </c>
      <c r="I500" s="41" t="n">
        <v>45840.35457349537</v>
      </c>
      <c r="J500" s="41" t="n"/>
      <c r="K500" s="27" t="inlineStr">
        <is>
          <t>ExpiredRTS</t>
        </is>
      </c>
      <c r="L500" s="27" t="inlineStr">
        <is>
          <t>Standard</t>
        </is>
      </c>
      <c r="M500" s="27" t="inlineStr">
        <is>
          <t>North West</t>
        </is>
      </c>
      <c r="N500" s="27" t="n">
        <v>246.84</v>
      </c>
      <c r="O500" s="27" t="n">
        <v>1.95</v>
      </c>
      <c r="P500" s="27" t="n">
        <v>44.21</v>
      </c>
      <c r="Q500" s="42">
        <f>IF(H500="","",(H500-F500)*24)</f>
        <v/>
      </c>
      <c r="R500" s="42">
        <f>IF(J500="","",(J500-H500)*24)</f>
        <v/>
      </c>
    </row>
    <row r="501" ht="15" customHeight="1" s="24">
      <c r="A501" s="27" t="n">
        <v>723719</v>
      </c>
      <c r="B501" s="27" t="inlineStr">
        <is>
          <t>PGO10723719</t>
        </is>
      </c>
      <c r="C501" s="27" t="n">
        <v>3</v>
      </c>
      <c r="D501" s="27" t="n">
        <v>1408</v>
      </c>
      <c r="E501" s="27" t="n">
        <v>410</v>
      </c>
      <c r="F501" s="41" t="n">
        <v>45840.00311048611</v>
      </c>
      <c r="G501" s="41" t="n">
        <v>45840.07274572917</v>
      </c>
      <c r="H501" s="41" t="n">
        <v>45841.63382475694</v>
      </c>
      <c r="I501" s="41" t="n">
        <v>45841.68989761574</v>
      </c>
      <c r="J501" s="41" t="n">
        <v>45842.49082606482</v>
      </c>
      <c r="K501" s="27" t="inlineStr">
        <is>
          <t>Collected</t>
        </is>
      </c>
      <c r="L501" s="27" t="inlineStr">
        <is>
          <t>Standard</t>
        </is>
      </c>
      <c r="M501" s="27" t="inlineStr">
        <is>
          <t>KwaZulu-Natal</t>
        </is>
      </c>
      <c r="N501" s="27" t="n">
        <v>606.37</v>
      </c>
      <c r="O501" s="27" t="n">
        <v>1</v>
      </c>
      <c r="P501" s="27" t="n">
        <v>39.65</v>
      </c>
      <c r="Q501" s="42">
        <f>IF(H501="","",(H501-F501)*24)</f>
        <v/>
      </c>
      <c r="R501" s="42">
        <f>IF(J501="","",(J501-H501)*24)</f>
        <v/>
      </c>
    </row>
    <row r="502" ht="15" customHeight="1" s="24">
      <c r="A502" s="27" t="n">
        <v>718967</v>
      </c>
      <c r="B502" s="27" t="inlineStr">
        <is>
          <t>PGO10718967</t>
        </is>
      </c>
      <c r="C502" s="27" t="n">
        <v>1</v>
      </c>
      <c r="D502" s="27" t="n">
        <v>228</v>
      </c>
      <c r="E502" s="27" t="n">
        <v>370</v>
      </c>
      <c r="F502" s="41" t="n">
        <v>45840.08599915509</v>
      </c>
      <c r="G502" s="41" t="n">
        <v>45840.43032962963</v>
      </c>
      <c r="H502" s="41" t="n">
        <v>45841.68059469907</v>
      </c>
      <c r="I502" s="41" t="n">
        <v>45841.73544436342</v>
      </c>
      <c r="J502" s="41" t="n">
        <v>45843.91772077546</v>
      </c>
      <c r="K502" s="27" t="inlineStr">
        <is>
          <t>Collected</t>
        </is>
      </c>
      <c r="L502" s="27" t="inlineStr">
        <is>
          <t>Standard</t>
        </is>
      </c>
      <c r="M502" s="27" t="inlineStr">
        <is>
          <t>Free State</t>
        </is>
      </c>
      <c r="N502" s="27" t="n">
        <v>324.88</v>
      </c>
      <c r="O502" s="27" t="n">
        <v>1.64</v>
      </c>
      <c r="P502" s="27" t="n">
        <v>48.21</v>
      </c>
      <c r="Q502" s="42">
        <f>IF(H502="","",(H502-F502)*24)</f>
        <v/>
      </c>
      <c r="R502" s="42">
        <f>IF(J502="","",(J502-H502)*24)</f>
        <v/>
      </c>
    </row>
    <row r="503" ht="15" customHeight="1" s="24">
      <c r="A503" s="27" t="n">
        <v>739508</v>
      </c>
      <c r="B503" s="27" t="inlineStr">
        <is>
          <t>PGO10739508</t>
        </is>
      </c>
      <c r="C503" s="27" t="n">
        <v>35</v>
      </c>
      <c r="D503" s="27" t="n">
        <v>1119</v>
      </c>
      <c r="E503" s="27" t="n">
        <v>416</v>
      </c>
      <c r="F503" s="41" t="n">
        <v>45843.49365969907</v>
      </c>
      <c r="G503" s="41" t="n">
        <v>45843.76171188657</v>
      </c>
      <c r="H503" s="41" t="n">
        <v>45844.58943737268</v>
      </c>
      <c r="I503" s="41" t="n">
        <v>45844.62552792824</v>
      </c>
      <c r="J503" s="41" t="n">
        <v>45845.54980913195</v>
      </c>
      <c r="K503" s="27" t="inlineStr">
        <is>
          <t>Collected</t>
        </is>
      </c>
      <c r="L503" s="27" t="inlineStr">
        <is>
          <t>Standard</t>
        </is>
      </c>
      <c r="M503" s="27" t="inlineStr">
        <is>
          <t>KwaZulu-Natal</t>
        </is>
      </c>
      <c r="N503" s="27" t="n">
        <v>470.71</v>
      </c>
      <c r="O503" s="27" t="n">
        <v>0.65</v>
      </c>
      <c r="P503" s="27" t="n">
        <v>38.99</v>
      </c>
      <c r="Q503" s="42">
        <f>IF(H503="","",(H503-F503)*24)</f>
        <v/>
      </c>
      <c r="R503" s="42">
        <f>IF(J503="","",(J503-H503)*24)</f>
        <v/>
      </c>
    </row>
    <row r="504" ht="15" customHeight="1" s="24">
      <c r="A504" s="27" t="n">
        <v>723474</v>
      </c>
      <c r="B504" s="27" t="inlineStr">
        <is>
          <t>PGO10723474</t>
        </is>
      </c>
      <c r="C504" s="27" t="n">
        <v>18</v>
      </c>
      <c r="D504" s="27" t="n">
        <v>2149</v>
      </c>
      <c r="E504" s="27" t="n">
        <v>371</v>
      </c>
      <c r="F504" s="41" t="n">
        <v>45844.07741775463</v>
      </c>
      <c r="G504" s="41" t="n">
        <v>45844.61136369213</v>
      </c>
      <c r="H504" s="41" t="n">
        <v>45845.13720476852</v>
      </c>
      <c r="I504" s="41" t="n">
        <v>45845.18525143518</v>
      </c>
      <c r="J504" s="41" t="n">
        <v>45846.96395628472</v>
      </c>
      <c r="K504" s="27" t="inlineStr">
        <is>
          <t>Collected</t>
        </is>
      </c>
      <c r="L504" s="27" t="inlineStr">
        <is>
          <t>Standard</t>
        </is>
      </c>
      <c r="M504" s="27" t="inlineStr">
        <is>
          <t>Limpopo</t>
        </is>
      </c>
      <c r="N504" s="27" t="n">
        <v>185.43</v>
      </c>
      <c r="O504" s="27" t="n">
        <v>0.99</v>
      </c>
      <c r="P504" s="27" t="n">
        <v>45.42</v>
      </c>
      <c r="Q504" s="42">
        <f>IF(H504="","",(H504-F504)*24)</f>
        <v/>
      </c>
      <c r="R504" s="42">
        <f>IF(J504="","",(J504-H504)*24)</f>
        <v/>
      </c>
    </row>
    <row r="505" ht="15" customHeight="1" s="24">
      <c r="A505" s="27" t="n">
        <v>734356</v>
      </c>
      <c r="B505" s="27" t="inlineStr">
        <is>
          <t>PGO10734356</t>
        </is>
      </c>
      <c r="C505" s="27" t="n">
        <v>77</v>
      </c>
      <c r="D505" s="27" t="n">
        <v>343</v>
      </c>
      <c r="E505" s="27" t="n">
        <v>108</v>
      </c>
      <c r="F505" s="41" t="n">
        <v>45845.76353443287</v>
      </c>
      <c r="G505" s="41" t="n">
        <v>45846.08603532407</v>
      </c>
      <c r="H505" s="41" t="n">
        <v>45846.7348272338</v>
      </c>
      <c r="I505" s="41" t="n">
        <v>45846.75205107639</v>
      </c>
      <c r="J505" s="41" t="n">
        <v>45847.2719608912</v>
      </c>
      <c r="K505" s="27" t="inlineStr">
        <is>
          <t>Collected</t>
        </is>
      </c>
      <c r="L505" s="27" t="inlineStr">
        <is>
          <t>Standard</t>
        </is>
      </c>
      <c r="M505" s="27" t="inlineStr">
        <is>
          <t>North West</t>
        </is>
      </c>
      <c r="N505" s="27" t="n">
        <v>546.1900000000001</v>
      </c>
      <c r="O505" s="27" t="n">
        <v>1.33</v>
      </c>
      <c r="P505" s="27" t="n">
        <v>50.82</v>
      </c>
      <c r="Q505" s="42">
        <f>IF(H505="","",(H505-F505)*24)</f>
        <v/>
      </c>
      <c r="R505" s="42">
        <f>IF(J505="","",(J505-H505)*24)</f>
        <v/>
      </c>
    </row>
    <row r="506" ht="15" customHeight="1" s="24">
      <c r="A506" s="27" t="n">
        <v>733683</v>
      </c>
      <c r="B506" s="27" t="inlineStr">
        <is>
          <t>PGO10733683</t>
        </is>
      </c>
      <c r="C506" s="27" t="n">
        <v>1</v>
      </c>
      <c r="D506" s="27" t="n">
        <v>3787</v>
      </c>
      <c r="E506" s="27" t="n">
        <v>431</v>
      </c>
      <c r="F506" s="41" t="n">
        <v>45846.73809603009</v>
      </c>
      <c r="G506" s="41" t="n">
        <v>45847.00928714121</v>
      </c>
      <c r="H506" s="41" t="n">
        <v>45847.47624792824</v>
      </c>
      <c r="I506" s="41" t="n">
        <v>45847.4862509375</v>
      </c>
      <c r="J506" s="41" t="n">
        <v>45849.63149298611</v>
      </c>
      <c r="K506" s="27" t="inlineStr">
        <is>
          <t>Collected</t>
        </is>
      </c>
      <c r="L506" s="27" t="inlineStr">
        <is>
          <t>Standard</t>
        </is>
      </c>
      <c r="M506" s="27" t="inlineStr">
        <is>
          <t>Mpumalanga</t>
        </is>
      </c>
      <c r="N506" s="27" t="n">
        <v>617.0599999999999</v>
      </c>
      <c r="O506" s="27" t="n">
        <v>0.89</v>
      </c>
      <c r="P506" s="27" t="n">
        <v>44.84</v>
      </c>
      <c r="Q506" s="42">
        <f>IF(H506="","",(H506-F506)*24)</f>
        <v/>
      </c>
      <c r="R506" s="42">
        <f>IF(J506="","",(J506-H506)*24)</f>
        <v/>
      </c>
    </row>
    <row r="507" ht="15" customHeight="1" s="24">
      <c r="A507" s="27" t="n">
        <v>719684</v>
      </c>
      <c r="B507" s="27" t="inlineStr">
        <is>
          <t>PGO10719684</t>
        </is>
      </c>
      <c r="C507" s="27" t="n">
        <v>7</v>
      </c>
      <c r="D507" s="27" t="n">
        <v>3450</v>
      </c>
      <c r="E507" s="27" t="n">
        <v>325</v>
      </c>
      <c r="F507" s="41" t="n">
        <v>45847.38290787037</v>
      </c>
      <c r="G507" s="41" t="n">
        <v>45847.64696057871</v>
      </c>
      <c r="H507" s="41" t="n">
        <v>45849.35045733796</v>
      </c>
      <c r="I507" s="41" t="n">
        <v>45849.36193881944</v>
      </c>
      <c r="J507" s="41" t="n">
        <v>45850.93086366898</v>
      </c>
      <c r="K507" s="27" t="inlineStr">
        <is>
          <t>Collected</t>
        </is>
      </c>
      <c r="L507" s="27" t="inlineStr">
        <is>
          <t>Standard</t>
        </is>
      </c>
      <c r="M507" s="27" t="inlineStr">
        <is>
          <t>Western Cape</t>
        </is>
      </c>
      <c r="N507" s="27" t="n">
        <v>145.71</v>
      </c>
      <c r="O507" s="27" t="n">
        <v>1.22</v>
      </c>
      <c r="P507" s="27" t="n">
        <v>51.4</v>
      </c>
      <c r="Q507" s="42">
        <f>IF(H507="","",(H507-F507)*24)</f>
        <v/>
      </c>
      <c r="R507" s="42">
        <f>IF(J507="","",(J507-H507)*24)</f>
        <v/>
      </c>
    </row>
    <row r="508" ht="15" customHeight="1" s="24">
      <c r="A508" s="27" t="n">
        <v>748973</v>
      </c>
      <c r="B508" s="27" t="inlineStr">
        <is>
          <t>PGO10748973</t>
        </is>
      </c>
      <c r="C508" s="27" t="n">
        <v>23</v>
      </c>
      <c r="D508" s="27" t="n">
        <v>1807</v>
      </c>
      <c r="E508" s="27" t="n">
        <v>316</v>
      </c>
      <c r="F508" s="41" t="n">
        <v>45853.53104663194</v>
      </c>
      <c r="G508" s="41" t="n">
        <v>45853.87263688658</v>
      </c>
      <c r="H508" s="41" t="n">
        <v>45854.6610875</v>
      </c>
      <c r="I508" s="41" t="n">
        <v>45854.67354883102</v>
      </c>
      <c r="J508" s="41" t="n">
        <v>45856.63407952547</v>
      </c>
      <c r="K508" s="27" t="inlineStr">
        <is>
          <t>Collected</t>
        </is>
      </c>
      <c r="L508" s="27" t="inlineStr">
        <is>
          <t>Standard</t>
        </is>
      </c>
      <c r="M508" s="27" t="inlineStr">
        <is>
          <t>KwaZulu-Natal</t>
        </is>
      </c>
      <c r="N508" s="27" t="n">
        <v>319.95</v>
      </c>
      <c r="O508" s="27" t="n">
        <v>1.48</v>
      </c>
      <c r="P508" s="27" t="n">
        <v>49.5</v>
      </c>
      <c r="Q508" s="42">
        <f>IF(H508="","",(H508-F508)*24)</f>
        <v/>
      </c>
      <c r="R508" s="42">
        <f>IF(J508="","",(J508-H508)*24)</f>
        <v/>
      </c>
    </row>
    <row r="509" ht="15" customHeight="1" s="24">
      <c r="A509" s="27" t="n">
        <v>727275</v>
      </c>
      <c r="B509" s="27" t="inlineStr">
        <is>
          <t>PGO10727275</t>
        </is>
      </c>
      <c r="C509" s="27" t="n">
        <v>23</v>
      </c>
      <c r="D509" s="27" t="n">
        <v>1257</v>
      </c>
      <c r="E509" s="27" t="n">
        <v>351</v>
      </c>
      <c r="F509" s="41" t="n">
        <v>45857.08414377315</v>
      </c>
      <c r="G509" s="41" t="n">
        <v>45857.15672688658</v>
      </c>
      <c r="H509" s="41" t="n">
        <v>45857.69825069445</v>
      </c>
      <c r="I509" s="41" t="n">
        <v>45857.74478824074</v>
      </c>
      <c r="J509" s="41" t="n">
        <v>45859.87203167824</v>
      </c>
      <c r="K509" s="27" t="inlineStr">
        <is>
          <t>Collected</t>
        </is>
      </c>
      <c r="L509" s="27" t="inlineStr">
        <is>
          <t>Standard</t>
        </is>
      </c>
      <c r="M509" s="27" t="inlineStr">
        <is>
          <t>Western Cape</t>
        </is>
      </c>
      <c r="N509" s="27" t="n">
        <v>186.72</v>
      </c>
      <c r="O509" s="27" t="n">
        <v>3.43</v>
      </c>
      <c r="P509" s="27" t="n">
        <v>48.16</v>
      </c>
      <c r="Q509" s="42">
        <f>IF(H509="","",(H509-F509)*24)</f>
        <v/>
      </c>
      <c r="R509" s="42">
        <f>IF(J509="","",(J509-H509)*24)</f>
        <v/>
      </c>
    </row>
    <row r="510" ht="15" customHeight="1" s="24">
      <c r="A510" s="27" t="n">
        <v>736684</v>
      </c>
      <c r="B510" s="27" t="inlineStr">
        <is>
          <t>PGO10736684</t>
        </is>
      </c>
      <c r="C510" s="27" t="n">
        <v>2</v>
      </c>
      <c r="D510" s="27" t="n">
        <v>1824</v>
      </c>
      <c r="E510" s="27" t="n">
        <v>144</v>
      </c>
      <c r="F510" s="41" t="n">
        <v>45857.29151238426</v>
      </c>
      <c r="G510" s="41" t="n">
        <v>45857.58283564815</v>
      </c>
      <c r="H510" s="41" t="n">
        <v>45857.99942596065</v>
      </c>
      <c r="I510" s="41" t="n">
        <v>45858.01851600694</v>
      </c>
      <c r="J510" s="41" t="n">
        <v>45858.45070881944</v>
      </c>
      <c r="K510" s="27" t="inlineStr">
        <is>
          <t>Collected</t>
        </is>
      </c>
      <c r="L510" s="27" t="inlineStr">
        <is>
          <t>Standard</t>
        </is>
      </c>
      <c r="M510" s="27" t="inlineStr">
        <is>
          <t>Mpumalanga</t>
        </is>
      </c>
      <c r="N510" s="27" t="n">
        <v>141.81</v>
      </c>
      <c r="O510" s="27" t="n">
        <v>0.68</v>
      </c>
      <c r="P510" s="27" t="n">
        <v>49.36</v>
      </c>
      <c r="Q510" s="42">
        <f>IF(H510="","",(H510-F510)*24)</f>
        <v/>
      </c>
      <c r="R510" s="42">
        <f>IF(J510="","",(J510-H510)*24)</f>
        <v/>
      </c>
    </row>
    <row r="511" ht="15" customHeight="1" s="24">
      <c r="A511" s="27" t="n">
        <v>745481</v>
      </c>
      <c r="B511" s="27" t="inlineStr">
        <is>
          <t>PGO10745481</t>
        </is>
      </c>
      <c r="C511" s="27" t="n">
        <v>43</v>
      </c>
      <c r="D511" s="27" t="n">
        <v>780</v>
      </c>
      <c r="E511" s="27" t="n">
        <v>490</v>
      </c>
      <c r="F511" s="41" t="n">
        <v>45857.31870811342</v>
      </c>
      <c r="G511" s="41" t="n">
        <v>45858.00693663194</v>
      </c>
      <c r="H511" s="41" t="n">
        <v>45858.50893894676</v>
      </c>
      <c r="I511" s="41" t="n">
        <v>45858.52928753472</v>
      </c>
      <c r="J511" s="41" t="n">
        <v>45861.12439918982</v>
      </c>
      <c r="K511" s="27" t="inlineStr">
        <is>
          <t>Collected</t>
        </is>
      </c>
      <c r="L511" s="27" t="inlineStr">
        <is>
          <t>Standard</t>
        </is>
      </c>
      <c r="M511" s="27" t="inlineStr">
        <is>
          <t>Gauteng</t>
        </is>
      </c>
      <c r="N511" s="27" t="n">
        <v>249.3</v>
      </c>
      <c r="O511" s="27" t="n">
        <v>1.62</v>
      </c>
      <c r="P511" s="27" t="n">
        <v>51.23</v>
      </c>
      <c r="Q511" s="42">
        <f>IF(H511="","",(H511-F511)*24)</f>
        <v/>
      </c>
      <c r="R511" s="42">
        <f>IF(J511="","",(J511-H511)*24)</f>
        <v/>
      </c>
    </row>
    <row r="512" ht="15" customHeight="1" s="24">
      <c r="A512" s="27" t="n">
        <v>748983</v>
      </c>
      <c r="B512" s="27" t="inlineStr">
        <is>
          <t>PGO10748983</t>
        </is>
      </c>
      <c r="C512" s="27" t="n">
        <v>2</v>
      </c>
      <c r="D512" s="27" t="n">
        <v>1367</v>
      </c>
      <c r="E512" s="27" t="n">
        <v>161</v>
      </c>
      <c r="F512" s="41" t="n">
        <v>45857.98406616898</v>
      </c>
      <c r="G512" s="41" t="n">
        <v>45858.21774184028</v>
      </c>
      <c r="H512" s="41" t="n">
        <v>45858.81450045139</v>
      </c>
      <c r="I512" s="41" t="n">
        <v>45858.83672105324</v>
      </c>
      <c r="J512" s="41" t="n">
        <v>45858.93714971065</v>
      </c>
      <c r="K512" s="27" t="inlineStr">
        <is>
          <t>Collected</t>
        </is>
      </c>
      <c r="L512" s="27" t="inlineStr">
        <is>
          <t>Standard</t>
        </is>
      </c>
      <c r="M512" s="27" t="inlineStr">
        <is>
          <t>Gauteng</t>
        </is>
      </c>
      <c r="N512" s="27" t="n">
        <v>153.41</v>
      </c>
      <c r="O512" s="27" t="n">
        <v>0.79</v>
      </c>
      <c r="P512" s="27" t="n">
        <v>50.84</v>
      </c>
      <c r="Q512" s="42">
        <f>IF(H512="","",(H512-F512)*24)</f>
        <v/>
      </c>
      <c r="R512" s="42">
        <f>IF(J512="","",(J512-H512)*24)</f>
        <v/>
      </c>
    </row>
    <row r="513" ht="15" customHeight="1" s="24">
      <c r="A513" s="27" t="n">
        <v>738495</v>
      </c>
      <c r="B513" s="27" t="inlineStr">
        <is>
          <t>PGO10738495</t>
        </is>
      </c>
      <c r="C513" s="27" t="n">
        <v>33</v>
      </c>
      <c r="D513" s="27" t="n">
        <v>2015</v>
      </c>
      <c r="E513" s="27" t="n">
        <v>98</v>
      </c>
      <c r="F513" s="41" t="n">
        <v>45858.0614640625</v>
      </c>
      <c r="G513" s="41" t="n">
        <v>45858.26961763889</v>
      </c>
      <c r="H513" s="41" t="n">
        <v>45858.85720392361</v>
      </c>
      <c r="I513" s="41" t="n">
        <v>45858.88052921296</v>
      </c>
      <c r="J513" s="41" t="n">
        <v>45862.57788929398</v>
      </c>
      <c r="K513" s="27" t="inlineStr">
        <is>
          <t>Collected</t>
        </is>
      </c>
      <c r="L513" s="27" t="inlineStr">
        <is>
          <t>Standard</t>
        </is>
      </c>
      <c r="M513" s="27" t="inlineStr">
        <is>
          <t>Limpopo</t>
        </is>
      </c>
      <c r="N513" s="27" t="n">
        <v>1403.09</v>
      </c>
      <c r="O513" s="27" t="n">
        <v>0.7</v>
      </c>
      <c r="P513" s="27" t="n">
        <v>61.34</v>
      </c>
      <c r="Q513" s="42">
        <f>IF(H513="","",(H513-F513)*24)</f>
        <v/>
      </c>
      <c r="R513" s="42">
        <f>IF(J513="","",(J513-H513)*24)</f>
        <v/>
      </c>
    </row>
    <row r="514" ht="15" customHeight="1" s="24">
      <c r="A514" s="27" t="n">
        <v>721238</v>
      </c>
      <c r="B514" s="27" t="inlineStr">
        <is>
          <t>PGO10721238</t>
        </is>
      </c>
      <c r="C514" s="27" t="n">
        <v>31</v>
      </c>
      <c r="D514" s="27" t="n">
        <v>62</v>
      </c>
      <c r="E514" s="27" t="n">
        <v>102</v>
      </c>
      <c r="F514" s="41" t="n">
        <v>45858.74671590278</v>
      </c>
      <c r="G514" s="41" t="n">
        <v>45858.85927458333</v>
      </c>
      <c r="H514" s="41" t="n">
        <v>45859.64508409722</v>
      </c>
      <c r="I514" s="41" t="n">
        <v>45859.67768636574</v>
      </c>
      <c r="J514" s="41" t="n">
        <v>45860.68114625</v>
      </c>
      <c r="K514" s="27" t="inlineStr">
        <is>
          <t>Collected</t>
        </is>
      </c>
      <c r="L514" s="27" t="inlineStr">
        <is>
          <t>Standard</t>
        </is>
      </c>
      <c r="M514" s="27" t="inlineStr">
        <is>
          <t>Gauteng</t>
        </is>
      </c>
      <c r="N514" s="27" t="n">
        <v>430.2</v>
      </c>
      <c r="O514" s="27" t="n">
        <v>3.64</v>
      </c>
      <c r="P514" s="27" t="n">
        <v>55.42</v>
      </c>
      <c r="Q514" s="42">
        <f>IF(H514="","",(H514-F514)*24)</f>
        <v/>
      </c>
      <c r="R514" s="42">
        <f>IF(J514="","",(J514-H514)*24)</f>
        <v/>
      </c>
    </row>
    <row r="515" ht="15" customHeight="1" s="24">
      <c r="A515" s="27" t="n">
        <v>747899</v>
      </c>
      <c r="B515" s="27" t="inlineStr">
        <is>
          <t>PGO10747899</t>
        </is>
      </c>
      <c r="C515" s="27" t="n">
        <v>52</v>
      </c>
      <c r="D515" s="27" t="n">
        <v>1198</v>
      </c>
      <c r="E515" s="27" t="n">
        <v>499</v>
      </c>
      <c r="F515" s="41" t="n">
        <v>45860.35455944444</v>
      </c>
      <c r="G515" s="41" t="n">
        <v>45860.95190260417</v>
      </c>
      <c r="H515" s="41" t="n">
        <v>45861.46529496528</v>
      </c>
      <c r="I515" s="41" t="n">
        <v>45861.49271724537</v>
      </c>
      <c r="J515" s="41" t="n">
        <v>45862.75892042824</v>
      </c>
      <c r="K515" s="27" t="inlineStr">
        <is>
          <t>Collected</t>
        </is>
      </c>
      <c r="L515" s="27" t="inlineStr">
        <is>
          <t>Standard</t>
        </is>
      </c>
      <c r="M515" s="27" t="inlineStr">
        <is>
          <t>Northern Cape</t>
        </is>
      </c>
      <c r="N515" s="27" t="n">
        <v>296.27</v>
      </c>
      <c r="O515" s="27" t="n">
        <v>3.84</v>
      </c>
      <c r="P515" s="27" t="n">
        <v>47.54</v>
      </c>
      <c r="Q515" s="42">
        <f>IF(H515="","",(H515-F515)*24)</f>
        <v/>
      </c>
      <c r="R515" s="42">
        <f>IF(J515="","",(J515-H515)*24)</f>
        <v/>
      </c>
    </row>
    <row r="516" ht="15" customHeight="1" s="24">
      <c r="A516" s="27" t="n">
        <v>716606</v>
      </c>
      <c r="B516" s="27" t="inlineStr">
        <is>
          <t>PGO10716606</t>
        </is>
      </c>
      <c r="C516" s="27" t="n">
        <v>1</v>
      </c>
      <c r="D516" s="27" t="n">
        <v>598</v>
      </c>
      <c r="E516" s="27" t="n">
        <v>154</v>
      </c>
      <c r="F516" s="41" t="n">
        <v>45860.43272862268</v>
      </c>
      <c r="G516" s="41" t="n">
        <v>45860.60908341435</v>
      </c>
      <c r="H516" s="41" t="n">
        <v>45861.66981721065</v>
      </c>
      <c r="I516" s="41" t="n">
        <v>45861.7260243287</v>
      </c>
      <c r="J516" s="41" t="n">
        <v>45862.23914537037</v>
      </c>
      <c r="K516" s="27" t="inlineStr">
        <is>
          <t>Collected</t>
        </is>
      </c>
      <c r="L516" s="27" t="inlineStr">
        <is>
          <t>Standard</t>
        </is>
      </c>
      <c r="M516" s="27" t="inlineStr">
        <is>
          <t>KwaZulu-Natal</t>
        </is>
      </c>
      <c r="N516" s="27" t="n">
        <v>362.77</v>
      </c>
      <c r="O516" s="27" t="n">
        <v>5.51</v>
      </c>
      <c r="P516" s="27" t="n">
        <v>65.47</v>
      </c>
      <c r="Q516" s="42">
        <f>IF(H516="","",(H516-F516)*24)</f>
        <v/>
      </c>
      <c r="R516" s="42">
        <f>IF(J516="","",(J516-H516)*24)</f>
        <v/>
      </c>
    </row>
    <row r="517" ht="15" customHeight="1" s="24">
      <c r="A517" s="27" t="n">
        <v>725245</v>
      </c>
      <c r="B517" s="27" t="inlineStr">
        <is>
          <t>PGO10725245</t>
        </is>
      </c>
      <c r="C517" s="27" t="n">
        <v>18</v>
      </c>
      <c r="D517" s="27" t="n">
        <v>242</v>
      </c>
      <c r="E517" s="27" t="n">
        <v>300</v>
      </c>
      <c r="F517" s="41" t="n">
        <v>45861.9924553588</v>
      </c>
      <c r="G517" s="41" t="n">
        <v>45862.08878375</v>
      </c>
      <c r="H517" s="41" t="n">
        <v>45863.67955640046</v>
      </c>
      <c r="I517" s="41" t="n">
        <v>45863.69206277778</v>
      </c>
      <c r="J517" s="41" t="n">
        <v>45864.31851622685</v>
      </c>
      <c r="K517" s="27" t="inlineStr">
        <is>
          <t>Collected</t>
        </is>
      </c>
      <c r="L517" s="27" t="inlineStr">
        <is>
          <t>Standard</t>
        </is>
      </c>
      <c r="M517" s="27" t="inlineStr">
        <is>
          <t>Eastern Cape</t>
        </is>
      </c>
      <c r="N517" s="27" t="n">
        <v>233.56</v>
      </c>
      <c r="O517" s="27" t="n">
        <v>6.63</v>
      </c>
      <c r="P517" s="27" t="n">
        <v>62.6</v>
      </c>
      <c r="Q517" s="42">
        <f>IF(H517="","",(H517-F517)*24)</f>
        <v/>
      </c>
      <c r="R517" s="42">
        <f>IF(J517="","",(J517-H517)*24)</f>
        <v/>
      </c>
    </row>
    <row r="518" ht="15" customHeight="1" s="24">
      <c r="A518" s="27" t="n">
        <v>731354</v>
      </c>
      <c r="B518" s="27" t="inlineStr">
        <is>
          <t>PGO10731354</t>
        </is>
      </c>
      <c r="C518" s="27" t="n">
        <v>79</v>
      </c>
      <c r="D518" s="27" t="n">
        <v>3695</v>
      </c>
      <c r="E518" s="27" t="n">
        <v>50</v>
      </c>
      <c r="F518" s="41" t="n">
        <v>45862.56116667824</v>
      </c>
      <c r="G518" s="41" t="n">
        <v>45862.80054844907</v>
      </c>
      <c r="H518" s="41" t="n">
        <v>45864.04758438657</v>
      </c>
      <c r="I518" s="41" t="n">
        <v>45864.08530149305</v>
      </c>
      <c r="J518" s="41" t="n">
        <v>45864.13630880787</v>
      </c>
      <c r="K518" s="27" t="inlineStr">
        <is>
          <t>Collected</t>
        </is>
      </c>
      <c r="L518" s="27" t="inlineStr">
        <is>
          <t>Standard</t>
        </is>
      </c>
      <c r="M518" s="27" t="inlineStr">
        <is>
          <t>Western Cape</t>
        </is>
      </c>
      <c r="N518" s="27" t="n">
        <v>3602.78</v>
      </c>
      <c r="O518" s="27" t="n">
        <v>1.5</v>
      </c>
      <c r="P518" s="27" t="n">
        <v>43.71</v>
      </c>
      <c r="Q518" s="42">
        <f>IF(H518="","",(H518-F518)*24)</f>
        <v/>
      </c>
      <c r="R518" s="42">
        <f>IF(J518="","",(J518-H518)*24)</f>
        <v/>
      </c>
    </row>
    <row r="519" ht="15" customHeight="1" s="24">
      <c r="A519" s="27" t="n">
        <v>745543</v>
      </c>
      <c r="B519" s="27" t="inlineStr">
        <is>
          <t>PGO10745543</t>
        </is>
      </c>
      <c r="C519" s="27" t="n">
        <v>7</v>
      </c>
      <c r="D519" s="27" t="n">
        <v>585</v>
      </c>
      <c r="E519" s="27" t="n">
        <v>103</v>
      </c>
      <c r="F519" s="41" t="n">
        <v>45863.66361148148</v>
      </c>
      <c r="G519" s="41" t="n">
        <v>45863.7892603125</v>
      </c>
      <c r="H519" s="41" t="n">
        <v>45864.75623366898</v>
      </c>
      <c r="I519" s="41" t="n">
        <v>45864.79068898148</v>
      </c>
      <c r="J519" s="41" t="n">
        <v>45865.81931211805</v>
      </c>
      <c r="K519" s="27" t="inlineStr">
        <is>
          <t>Collected</t>
        </is>
      </c>
      <c r="L519" s="27" t="inlineStr">
        <is>
          <t>Standard</t>
        </is>
      </c>
      <c r="M519" s="27" t="inlineStr">
        <is>
          <t>North West</t>
        </is>
      </c>
      <c r="N519" s="27" t="n">
        <v>69.81999999999999</v>
      </c>
      <c r="O519" s="27" t="n">
        <v>0.67</v>
      </c>
      <c r="P519" s="27" t="n">
        <v>51.16</v>
      </c>
      <c r="Q519" s="42">
        <f>IF(H519="","",(H519-F519)*24)</f>
        <v/>
      </c>
      <c r="R519" s="42">
        <f>IF(J519="","",(J519-H519)*24)</f>
        <v/>
      </c>
    </row>
    <row r="520" ht="15" customHeight="1" s="24">
      <c r="A520" s="27" t="n">
        <v>736563</v>
      </c>
      <c r="B520" s="27" t="inlineStr">
        <is>
          <t>PGO10736563</t>
        </is>
      </c>
      <c r="C520" s="27" t="n">
        <v>91</v>
      </c>
      <c r="D520" s="27" t="n">
        <v>728</v>
      </c>
      <c r="E520" s="27" t="n">
        <v>301</v>
      </c>
      <c r="F520" s="41" t="n">
        <v>45864.88262474537</v>
      </c>
      <c r="G520" s="41" t="n">
        <v>45865.08322995371</v>
      </c>
      <c r="H520" s="41" t="n">
        <v>45866.91097533565</v>
      </c>
      <c r="I520" s="41" t="n">
        <v>45866.97055694444</v>
      </c>
      <c r="J520" s="41" t="n">
        <v>45869.72675050926</v>
      </c>
      <c r="K520" s="27" t="inlineStr">
        <is>
          <t>Collected</t>
        </is>
      </c>
      <c r="L520" s="27" t="inlineStr">
        <is>
          <t>Standard</t>
        </is>
      </c>
      <c r="M520" s="27" t="inlineStr">
        <is>
          <t>Mpumalanga</t>
        </is>
      </c>
      <c r="N520" s="27" t="n">
        <v>327.93</v>
      </c>
      <c r="O520" s="27" t="n">
        <v>1.87</v>
      </c>
      <c r="P520" s="27" t="n">
        <v>40.39</v>
      </c>
      <c r="Q520" s="42">
        <f>IF(H520="","",(H520-F520)*24)</f>
        <v/>
      </c>
      <c r="R520" s="42">
        <f>IF(J520="","",(J520-H520)*24)</f>
        <v/>
      </c>
    </row>
    <row r="521" ht="15" customHeight="1" s="24">
      <c r="A521" s="27" t="n">
        <v>726456</v>
      </c>
      <c r="B521" s="27" t="inlineStr">
        <is>
          <t>PGO10726456</t>
        </is>
      </c>
      <c r="C521" s="27" t="n">
        <v>34</v>
      </c>
      <c r="D521" s="27" t="n">
        <v>412</v>
      </c>
      <c r="E521" s="27" t="n">
        <v>25</v>
      </c>
      <c r="F521" s="41" t="n">
        <v>45865.722591875</v>
      </c>
      <c r="G521" s="41" t="n">
        <v>45865.81075222222</v>
      </c>
      <c r="H521" s="41" t="n">
        <v>45866.26808504629</v>
      </c>
      <c r="I521" s="41" t="n">
        <v>45866.29761712963</v>
      </c>
      <c r="J521" s="41" t="n">
        <v>45868.24754128472</v>
      </c>
      <c r="K521" s="27" t="inlineStr">
        <is>
          <t>Collected</t>
        </is>
      </c>
      <c r="L521" s="27" t="inlineStr">
        <is>
          <t>Standard</t>
        </is>
      </c>
      <c r="M521" s="27" t="inlineStr">
        <is>
          <t>KwaZulu-Natal</t>
        </is>
      </c>
      <c r="N521" s="27" t="n">
        <v>668.54</v>
      </c>
      <c r="O521" s="27" t="n">
        <v>0.47</v>
      </c>
      <c r="P521" s="27" t="n">
        <v>53.58</v>
      </c>
      <c r="Q521" s="42">
        <f>IF(H521="","",(H521-F521)*24)</f>
        <v/>
      </c>
      <c r="R521" s="42">
        <f>IF(J521="","",(J521-H521)*24)</f>
        <v/>
      </c>
    </row>
    <row r="522" ht="15" customHeight="1" s="24">
      <c r="A522" s="27" t="n">
        <v>749872</v>
      </c>
      <c r="B522" s="27" t="inlineStr">
        <is>
          <t>PGO10749872</t>
        </is>
      </c>
      <c r="C522" s="27" t="n">
        <v>8</v>
      </c>
      <c r="D522" s="27" t="n">
        <v>2016</v>
      </c>
      <c r="E522" s="27" t="n">
        <v>82</v>
      </c>
      <c r="F522" s="41" t="n">
        <v>45865.75634103009</v>
      </c>
      <c r="G522" s="41" t="n">
        <v>45865.79256439815</v>
      </c>
      <c r="H522" s="41" t="n">
        <v>45866.27294197916</v>
      </c>
      <c r="I522" s="41" t="n">
        <v>45866.30898659722</v>
      </c>
      <c r="J522" s="41" t="n">
        <v>45866.62509976852</v>
      </c>
      <c r="K522" s="27" t="inlineStr">
        <is>
          <t>Collected</t>
        </is>
      </c>
      <c r="L522" s="27" t="inlineStr">
        <is>
          <t>Standard</t>
        </is>
      </c>
      <c r="M522" s="27" t="inlineStr">
        <is>
          <t>KwaZulu-Natal</t>
        </is>
      </c>
      <c r="N522" s="27" t="n">
        <v>153.11</v>
      </c>
      <c r="O522" s="27" t="n">
        <v>0.3</v>
      </c>
      <c r="P522" s="27" t="n">
        <v>55.31</v>
      </c>
      <c r="Q522" s="42">
        <f>IF(H522="","",(H522-F522)*24)</f>
        <v/>
      </c>
      <c r="R522" s="42">
        <f>IF(J522="","",(J522-H522)*24)</f>
        <v/>
      </c>
    </row>
    <row r="523" ht="15" customHeight="1" s="24">
      <c r="A523" s="27" t="n">
        <v>751034</v>
      </c>
      <c r="B523" s="27" t="inlineStr">
        <is>
          <t>PGO10751034</t>
        </is>
      </c>
      <c r="C523" s="27" t="n">
        <v>75</v>
      </c>
      <c r="D523" s="27" t="n">
        <v>3302</v>
      </c>
      <c r="E523" s="27" t="n">
        <v>107</v>
      </c>
      <c r="F523" s="41" t="n">
        <v>45866.94598944444</v>
      </c>
      <c r="G523" s="41" t="n">
        <v>45867.07874972222</v>
      </c>
      <c r="H523" s="41" t="n">
        <v>45867.806088125</v>
      </c>
      <c r="I523" s="41" t="n">
        <v>45867.82663765046</v>
      </c>
      <c r="J523" s="41" t="n">
        <v>45869.08830538194</v>
      </c>
      <c r="K523" s="27" t="inlineStr">
        <is>
          <t>Collected</t>
        </is>
      </c>
      <c r="L523" s="27" t="inlineStr">
        <is>
          <t>Express</t>
        </is>
      </c>
      <c r="M523" s="27" t="inlineStr">
        <is>
          <t>Gauteng</t>
        </is>
      </c>
      <c r="N523" s="27" t="n">
        <v>459.08</v>
      </c>
      <c r="O523" s="27" t="n">
        <v>0.87</v>
      </c>
      <c r="P523" s="27" t="n">
        <v>67.67</v>
      </c>
      <c r="Q523" s="42">
        <f>IF(H523="","",(H523-F523)*24)</f>
        <v/>
      </c>
      <c r="R523" s="42">
        <f>IF(J523="","",(J523-H523)*24)</f>
        <v/>
      </c>
    </row>
    <row r="524" ht="15" customHeight="1" s="24">
      <c r="A524" s="27" t="n">
        <v>724100</v>
      </c>
      <c r="B524" s="27" t="inlineStr">
        <is>
          <t>PGO10724100</t>
        </is>
      </c>
      <c r="C524" s="27" t="n">
        <v>3</v>
      </c>
      <c r="D524" s="27" t="n">
        <v>1292</v>
      </c>
      <c r="E524" s="27" t="n">
        <v>127</v>
      </c>
      <c r="F524" s="41" t="n">
        <v>45867.22473574074</v>
      </c>
      <c r="G524" s="41" t="n">
        <v>45867.44386428241</v>
      </c>
      <c r="H524" s="41" t="n">
        <v>45868.03255090278</v>
      </c>
      <c r="I524" s="41" t="n">
        <v>45868.09390524305</v>
      </c>
      <c r="J524" s="41" t="n">
        <v>45868.57630170139</v>
      </c>
      <c r="K524" s="27" t="inlineStr">
        <is>
          <t>Collected</t>
        </is>
      </c>
      <c r="L524" s="27" t="inlineStr">
        <is>
          <t>Standard</t>
        </is>
      </c>
      <c r="M524" s="27" t="inlineStr">
        <is>
          <t>Free State</t>
        </is>
      </c>
      <c r="N524" s="27" t="n">
        <v>207.43</v>
      </c>
      <c r="O524" s="27" t="n">
        <v>1.03</v>
      </c>
      <c r="P524" s="27" t="n">
        <v>40.64</v>
      </c>
      <c r="Q524" s="42">
        <f>IF(H524="","",(H524-F524)*24)</f>
        <v/>
      </c>
      <c r="R524" s="42">
        <f>IF(J524="","",(J524-H524)*24)</f>
        <v/>
      </c>
    </row>
    <row r="525" ht="15" customHeight="1" s="24">
      <c r="A525" s="27" t="n">
        <v>735660</v>
      </c>
      <c r="B525" s="27" t="inlineStr">
        <is>
          <t>PGO10735660</t>
        </is>
      </c>
      <c r="C525" s="27" t="n">
        <v>1</v>
      </c>
      <c r="D525" s="27" t="n">
        <v>2187</v>
      </c>
      <c r="E525" s="27" t="n">
        <v>199</v>
      </c>
      <c r="F525" s="41" t="n">
        <v>45867.47813740741</v>
      </c>
      <c r="G525" s="41" t="n">
        <v>45867.60401114584</v>
      </c>
      <c r="H525" s="41" t="n">
        <v>45869.50336002315</v>
      </c>
      <c r="I525" s="41" t="n">
        <v>45869.5316284838</v>
      </c>
      <c r="J525" s="41" t="n">
        <v>45870.150829375</v>
      </c>
      <c r="K525" s="27" t="inlineStr">
        <is>
          <t>Collected</t>
        </is>
      </c>
      <c r="L525" s="27" t="inlineStr">
        <is>
          <t>Standard</t>
        </is>
      </c>
      <c r="M525" s="27" t="inlineStr">
        <is>
          <t>KwaZulu-Natal</t>
        </is>
      </c>
      <c r="N525" s="27" t="n">
        <v>110.12</v>
      </c>
      <c r="O525" s="27" t="n">
        <v>3.25</v>
      </c>
      <c r="P525" s="27" t="n">
        <v>46.04</v>
      </c>
      <c r="Q525" s="42">
        <f>IF(H525="","",(H525-F525)*24)</f>
        <v/>
      </c>
      <c r="R525" s="42">
        <f>IF(J525="","",(J525-H525)*24)</f>
        <v/>
      </c>
    </row>
    <row r="526" ht="15" customHeight="1" s="24">
      <c r="A526" s="27" t="n">
        <v>716902</v>
      </c>
      <c r="B526" s="27" t="inlineStr">
        <is>
          <t>PGO10716902</t>
        </is>
      </c>
      <c r="C526" s="27" t="n">
        <v>27</v>
      </c>
      <c r="D526" s="27" t="n">
        <v>1238</v>
      </c>
      <c r="E526" s="27" t="n">
        <v>258</v>
      </c>
      <c r="F526" s="41" t="n">
        <v>45867.48685771991</v>
      </c>
      <c r="G526" s="41" t="n">
        <v>45868.00262204861</v>
      </c>
      <c r="H526" s="41" t="n">
        <v>45868.46288712963</v>
      </c>
      <c r="I526" s="41" t="n">
        <v>45868.5238490162</v>
      </c>
      <c r="J526" s="41" t="n">
        <v>45869.95249016204</v>
      </c>
      <c r="K526" s="27" t="inlineStr">
        <is>
          <t>Collected</t>
        </is>
      </c>
      <c r="L526" s="27" t="inlineStr">
        <is>
          <t>Standard</t>
        </is>
      </c>
      <c r="M526" s="27" t="inlineStr">
        <is>
          <t>Gauteng</t>
        </is>
      </c>
      <c r="N526" s="27" t="n">
        <v>369.96</v>
      </c>
      <c r="O526" s="27" t="n">
        <v>0.98</v>
      </c>
      <c r="P526" s="27" t="n">
        <v>60.36</v>
      </c>
      <c r="Q526" s="42">
        <f>IF(H526="","",(H526-F526)*24)</f>
        <v/>
      </c>
      <c r="R526" s="42">
        <f>IF(J526="","",(J526-H526)*24)</f>
        <v/>
      </c>
    </row>
    <row r="527" ht="15" customHeight="1" s="24">
      <c r="A527" s="27" t="n">
        <v>743929</v>
      </c>
      <c r="B527" s="27" t="inlineStr">
        <is>
          <t>PGO10743929</t>
        </is>
      </c>
      <c r="C527" s="27" t="n">
        <v>73</v>
      </c>
      <c r="D527" s="27" t="n">
        <v>2905</v>
      </c>
      <c r="E527" s="27" t="n">
        <v>235</v>
      </c>
      <c r="F527" s="41" t="n">
        <v>45867.56300859954</v>
      </c>
      <c r="G527" s="41" t="n">
        <v>45867.69226200232</v>
      </c>
      <c r="H527" s="41" t="n">
        <v>45868.50558954861</v>
      </c>
      <c r="I527" s="41" t="n">
        <v>45868.52412998843</v>
      </c>
      <c r="J527" s="41" t="n">
        <v>45870.22493314815</v>
      </c>
      <c r="K527" s="27" t="inlineStr">
        <is>
          <t>Collected</t>
        </is>
      </c>
      <c r="L527" s="27" t="inlineStr">
        <is>
          <t>Standard</t>
        </is>
      </c>
      <c r="M527" s="27" t="inlineStr">
        <is>
          <t>Mpumalanga</t>
        </is>
      </c>
      <c r="N527" s="27" t="n">
        <v>62.61</v>
      </c>
      <c r="O527" s="27" t="n">
        <v>2.69</v>
      </c>
      <c r="P527" s="27" t="n">
        <v>57.83</v>
      </c>
      <c r="Q527" s="42">
        <f>IF(H527="","",(H527-F527)*24)</f>
        <v/>
      </c>
      <c r="R527" s="42">
        <f>IF(J527="","",(J527-H527)*24)</f>
        <v/>
      </c>
    </row>
    <row r="528" ht="15" customHeight="1" s="24">
      <c r="A528" s="27" t="n">
        <v>778352</v>
      </c>
      <c r="B528" s="27" t="inlineStr">
        <is>
          <t>PGO10778352</t>
        </is>
      </c>
      <c r="C528" s="27" t="n">
        <v>7</v>
      </c>
      <c r="D528" s="27" t="n">
        <v>3695</v>
      </c>
      <c r="E528" s="27" t="n">
        <v>135</v>
      </c>
      <c r="F528" s="41" t="n">
        <v>45870.55450140046</v>
      </c>
      <c r="G528" s="41" t="n">
        <v>45870.7451121875</v>
      </c>
      <c r="H528" s="41" t="n">
        <v>45871.72353711806</v>
      </c>
      <c r="I528" s="41" t="n">
        <v>45871.76748222223</v>
      </c>
      <c r="J528" s="41" t="n">
        <v>45871.87207097223</v>
      </c>
      <c r="K528" s="27" t="inlineStr">
        <is>
          <t>Collected</t>
        </is>
      </c>
      <c r="L528" s="27" t="inlineStr">
        <is>
          <t>Standard</t>
        </is>
      </c>
      <c r="M528" s="27" t="inlineStr">
        <is>
          <t>Western Cape</t>
        </is>
      </c>
      <c r="N528" s="27" t="n">
        <v>751.21</v>
      </c>
      <c r="O528" s="27" t="n">
        <v>0.32</v>
      </c>
      <c r="P528" s="27" t="n">
        <v>50.12</v>
      </c>
      <c r="Q528" s="42">
        <f>IF(H528="","",(H528-F528)*24)</f>
        <v/>
      </c>
      <c r="R528" s="42">
        <f>IF(J528="","",(J528-H528)*24)</f>
        <v/>
      </c>
    </row>
    <row r="529" ht="15" customHeight="1" s="24">
      <c r="A529" s="27" t="n">
        <v>736095</v>
      </c>
      <c r="B529" s="27" t="inlineStr">
        <is>
          <t>PGO10736095</t>
        </is>
      </c>
      <c r="C529" s="27" t="n">
        <v>4</v>
      </c>
      <c r="D529" s="27" t="n">
        <v>2564</v>
      </c>
      <c r="E529" s="27" t="n">
        <v>376</v>
      </c>
      <c r="F529" s="41" t="n">
        <v>45870.71115831019</v>
      </c>
      <c r="G529" s="41" t="n">
        <v>45871.27681770833</v>
      </c>
      <c r="H529" s="41" t="n">
        <v>45872.0632696875</v>
      </c>
      <c r="I529" s="41" t="n">
        <v>45872.09467626157</v>
      </c>
      <c r="J529" s="41" t="n">
        <v>45872.63589196759</v>
      </c>
      <c r="K529" s="27" t="inlineStr">
        <is>
          <t>Collected</t>
        </is>
      </c>
      <c r="L529" s="27" t="inlineStr">
        <is>
          <t>Standard</t>
        </is>
      </c>
      <c r="M529" s="27" t="inlineStr">
        <is>
          <t>Gauteng</t>
        </is>
      </c>
      <c r="N529" s="27" t="n">
        <v>646.1799999999999</v>
      </c>
      <c r="O529" s="27" t="n">
        <v>0.44</v>
      </c>
      <c r="P529" s="27" t="n">
        <v>41.93</v>
      </c>
      <c r="Q529" s="42">
        <f>IF(H529="","",(H529-F529)*24)</f>
        <v/>
      </c>
      <c r="R529" s="42">
        <f>IF(J529="","",(J529-H529)*24)</f>
        <v/>
      </c>
    </row>
    <row r="530" ht="15" customHeight="1" s="24">
      <c r="A530" s="27" t="n">
        <v>758236</v>
      </c>
      <c r="B530" s="27" t="inlineStr">
        <is>
          <t>PGO10758236</t>
        </is>
      </c>
      <c r="C530" s="27" t="n">
        <v>35</v>
      </c>
      <c r="D530" s="27" t="n">
        <v>3032</v>
      </c>
      <c r="E530" s="27" t="n">
        <v>262</v>
      </c>
      <c r="F530" s="41" t="n">
        <v>45871.76429021991</v>
      </c>
      <c r="G530" s="41" t="n">
        <v>45871.84847842593</v>
      </c>
      <c r="H530" s="41" t="n">
        <v>45872.77853077546</v>
      </c>
      <c r="I530" s="41" t="n">
        <v>45872.83624116898</v>
      </c>
      <c r="J530" s="41" t="n">
        <v>45876.48750822917</v>
      </c>
      <c r="K530" s="27" t="inlineStr">
        <is>
          <t>Collected</t>
        </is>
      </c>
      <c r="L530" s="27" t="inlineStr">
        <is>
          <t>Express</t>
        </is>
      </c>
      <c r="M530" s="27" t="inlineStr">
        <is>
          <t>KwaZulu-Natal</t>
        </is>
      </c>
      <c r="N530" s="27" t="n">
        <v>152.19</v>
      </c>
      <c r="O530" s="27" t="n">
        <v>0.79</v>
      </c>
      <c r="P530" s="27" t="n">
        <v>37.97</v>
      </c>
      <c r="Q530" s="42">
        <f>IF(H530="","",(H530-F530)*24)</f>
        <v/>
      </c>
      <c r="R530" s="42">
        <f>IF(J530="","",(J530-H530)*24)</f>
        <v/>
      </c>
    </row>
    <row r="531" ht="15" customHeight="1" s="24">
      <c r="A531" s="27" t="n">
        <v>766299</v>
      </c>
      <c r="B531" s="27" t="inlineStr">
        <is>
          <t>PGO10766299</t>
        </is>
      </c>
      <c r="C531" s="27" t="n">
        <v>131</v>
      </c>
      <c r="D531" s="27" t="n">
        <v>1967</v>
      </c>
      <c r="E531" s="27" t="n">
        <v>250</v>
      </c>
      <c r="F531" s="41" t="n">
        <v>45872.00192047454</v>
      </c>
      <c r="G531" s="41" t="n">
        <v>45872.04207916667</v>
      </c>
      <c r="H531" s="41" t="n">
        <v>45872.91976024306</v>
      </c>
      <c r="I531" s="41" t="n">
        <v>45872.92478658565</v>
      </c>
      <c r="J531" s="41" t="n">
        <v>45876.06380217592</v>
      </c>
      <c r="K531" s="27" t="inlineStr">
        <is>
          <t>Collected</t>
        </is>
      </c>
      <c r="L531" s="27" t="inlineStr">
        <is>
          <t>Express</t>
        </is>
      </c>
      <c r="M531" s="27" t="inlineStr">
        <is>
          <t>Gauteng</t>
        </is>
      </c>
      <c r="N531" s="27" t="n">
        <v>45.99</v>
      </c>
      <c r="O531" s="27" t="n">
        <v>1.21</v>
      </c>
      <c r="P531" s="27" t="n">
        <v>64.12</v>
      </c>
      <c r="Q531" s="42">
        <f>IF(H531="","",(H531-F531)*24)</f>
        <v/>
      </c>
      <c r="R531" s="42">
        <f>IF(J531="","",(J531-H531)*24)</f>
        <v/>
      </c>
    </row>
    <row r="532" ht="15" customHeight="1" s="24">
      <c r="A532" s="27" t="n">
        <v>781496</v>
      </c>
      <c r="B532" s="27" t="inlineStr">
        <is>
          <t>PGO10781496</t>
        </is>
      </c>
      <c r="C532" s="27" t="n">
        <v>2</v>
      </c>
      <c r="D532" s="27" t="n">
        <v>2045</v>
      </c>
      <c r="E532" s="27" t="n">
        <v>55</v>
      </c>
      <c r="F532" s="41" t="n">
        <v>45874.30938657407</v>
      </c>
      <c r="G532" s="41" t="n">
        <v>45874.39406234954</v>
      </c>
      <c r="H532" s="41" t="n">
        <v>45875.12804505787</v>
      </c>
      <c r="I532" s="41" t="n">
        <v>45875.13355054398</v>
      </c>
      <c r="J532" s="41" t="n">
        <v>45876.78197190972</v>
      </c>
      <c r="K532" s="27" t="inlineStr">
        <is>
          <t>Collected</t>
        </is>
      </c>
      <c r="L532" s="27" t="inlineStr">
        <is>
          <t>Return-to-Retailer</t>
        </is>
      </c>
      <c r="M532" s="27" t="inlineStr">
        <is>
          <t>Gauteng</t>
        </is>
      </c>
      <c r="N532" s="27" t="n">
        <v>246.42</v>
      </c>
      <c r="O532" s="27" t="n">
        <v>2.03</v>
      </c>
      <c r="P532" s="27" t="n">
        <v>51.13</v>
      </c>
      <c r="Q532" s="42">
        <f>IF(H532="","",(H532-F532)*24)</f>
        <v/>
      </c>
      <c r="R532" s="42">
        <f>IF(J532="","",(J532-H532)*24)</f>
        <v/>
      </c>
    </row>
    <row r="533" ht="15" customHeight="1" s="24">
      <c r="A533" s="27" t="n">
        <v>761743</v>
      </c>
      <c r="B533" s="27" t="inlineStr">
        <is>
          <t>PGO10761743</t>
        </is>
      </c>
      <c r="C533" s="27" t="n">
        <v>6</v>
      </c>
      <c r="D533" s="27" t="n">
        <v>2687</v>
      </c>
      <c r="E533" s="27" t="n">
        <v>107</v>
      </c>
      <c r="F533" s="41" t="n">
        <v>45875.26135421296</v>
      </c>
      <c r="G533" s="41" t="n">
        <v>45875.68845730324</v>
      </c>
      <c r="H533" s="41" t="n">
        <v>45876.33068895833</v>
      </c>
      <c r="I533" s="41" t="n">
        <v>45876.37849256944</v>
      </c>
      <c r="J533" s="41" t="n">
        <v>45880.23397074074</v>
      </c>
      <c r="K533" s="27" t="inlineStr">
        <is>
          <t>Collected</t>
        </is>
      </c>
      <c r="L533" s="27" t="inlineStr">
        <is>
          <t>Standard</t>
        </is>
      </c>
      <c r="M533" s="27" t="inlineStr">
        <is>
          <t>Gauteng</t>
        </is>
      </c>
      <c r="N533" s="27" t="n">
        <v>160.18</v>
      </c>
      <c r="O533" s="27" t="n">
        <v>2.39</v>
      </c>
      <c r="P533" s="27" t="n">
        <v>42.09</v>
      </c>
      <c r="Q533" s="42">
        <f>IF(H533="","",(H533-F533)*24)</f>
        <v/>
      </c>
      <c r="R533" s="42">
        <f>IF(J533="","",(J533-H533)*24)</f>
        <v/>
      </c>
    </row>
    <row r="534" ht="15" customHeight="1" s="24">
      <c r="A534" s="27" t="n">
        <v>762983</v>
      </c>
      <c r="B534" s="27" t="inlineStr">
        <is>
          <t>PGO10762983</t>
        </is>
      </c>
      <c r="C534" s="27" t="n">
        <v>1</v>
      </c>
      <c r="D534" s="27" t="n">
        <v>3695</v>
      </c>
      <c r="E534" s="27" t="n">
        <v>89</v>
      </c>
      <c r="F534" s="41" t="n">
        <v>45875.94130450232</v>
      </c>
      <c r="G534" s="41" t="n">
        <v>45876.01930859953</v>
      </c>
      <c r="H534" s="41" t="n">
        <v>45876.96594140046</v>
      </c>
      <c r="I534" s="41" t="n">
        <v>45877.00761753472</v>
      </c>
      <c r="J534" s="41" t="n">
        <v>45877.52575582176</v>
      </c>
      <c r="K534" s="27" t="inlineStr">
        <is>
          <t>Collected</t>
        </is>
      </c>
      <c r="L534" s="27" t="inlineStr">
        <is>
          <t>Express</t>
        </is>
      </c>
      <c r="M534" s="27" t="inlineStr">
        <is>
          <t>Western Cape</t>
        </is>
      </c>
      <c r="N534" s="27" t="n">
        <v>64.01000000000001</v>
      </c>
      <c r="O534" s="27" t="n">
        <v>1</v>
      </c>
      <c r="P534" s="27" t="n">
        <v>43.98</v>
      </c>
      <c r="Q534" s="42">
        <f>IF(H534="","",(H534-F534)*24)</f>
        <v/>
      </c>
      <c r="R534" s="42">
        <f>IF(J534="","",(J534-H534)*24)</f>
        <v/>
      </c>
    </row>
    <row r="535" ht="15" customHeight="1" s="24">
      <c r="A535" s="27" t="n">
        <v>777773</v>
      </c>
      <c r="B535" s="27" t="inlineStr">
        <is>
          <t>PGO10777773</t>
        </is>
      </c>
      <c r="C535" s="27" t="n">
        <v>65</v>
      </c>
      <c r="D535" s="27" t="n">
        <v>2663</v>
      </c>
      <c r="E535" s="27" t="n">
        <v>66</v>
      </c>
      <c r="F535" s="41" t="n">
        <v>45876.87856145833</v>
      </c>
      <c r="G535" s="41" t="n">
        <v>45877.03579943287</v>
      </c>
      <c r="H535" s="41" t="n">
        <v>45879.20559001157</v>
      </c>
      <c r="I535" s="41" t="n">
        <v>45879.26594832176</v>
      </c>
      <c r="J535" s="41" t="n">
        <v>45880.73403266204</v>
      </c>
      <c r="K535" s="27" t="inlineStr">
        <is>
          <t>Collected</t>
        </is>
      </c>
      <c r="L535" s="27" t="inlineStr">
        <is>
          <t>Standard</t>
        </is>
      </c>
      <c r="M535" s="27" t="inlineStr">
        <is>
          <t>KwaZulu-Natal</t>
        </is>
      </c>
      <c r="N535" s="27" t="n">
        <v>287.21</v>
      </c>
      <c r="O535" s="27" t="n">
        <v>0.2</v>
      </c>
      <c r="P535" s="27" t="n">
        <v>57.98</v>
      </c>
      <c r="Q535" s="42">
        <f>IF(H535="","",(H535-F535)*24)</f>
        <v/>
      </c>
      <c r="R535" s="42">
        <f>IF(J535="","",(J535-H535)*24)</f>
        <v/>
      </c>
    </row>
    <row r="536" ht="15" customHeight="1" s="24">
      <c r="A536" s="27" t="n">
        <v>782186</v>
      </c>
      <c r="B536" s="27" t="inlineStr">
        <is>
          <t>PGO10782186</t>
        </is>
      </c>
      <c r="C536" s="27" t="n">
        <v>1</v>
      </c>
      <c r="D536" s="27" t="n">
        <v>2435</v>
      </c>
      <c r="E536" s="27" t="n">
        <v>78</v>
      </c>
      <c r="F536" s="41" t="n">
        <v>45876.97466210648</v>
      </c>
      <c r="G536" s="41" t="n">
        <v>45877.07554189815</v>
      </c>
      <c r="H536" s="41" t="n">
        <v>45878.56153752315</v>
      </c>
      <c r="I536" s="41" t="n">
        <v>45878.61253114583</v>
      </c>
      <c r="J536" s="41" t="n">
        <v>45879.30798452546</v>
      </c>
      <c r="K536" s="27" t="inlineStr">
        <is>
          <t>Collected</t>
        </is>
      </c>
      <c r="L536" s="27" t="inlineStr">
        <is>
          <t>Express</t>
        </is>
      </c>
      <c r="M536" s="27" t="inlineStr">
        <is>
          <t>Gauteng</t>
        </is>
      </c>
      <c r="N536" s="27" t="n">
        <v>46.16</v>
      </c>
      <c r="O536" s="27" t="n">
        <v>1.01</v>
      </c>
      <c r="P536" s="27" t="n">
        <v>48.2</v>
      </c>
      <c r="Q536" s="42">
        <f>IF(H536="","",(H536-F536)*24)</f>
        <v/>
      </c>
      <c r="R536" s="42">
        <f>IF(J536="","",(J536-H536)*24)</f>
        <v/>
      </c>
    </row>
    <row r="537" ht="15" customHeight="1" s="24">
      <c r="A537" s="27" t="n">
        <v>756787</v>
      </c>
      <c r="B537" s="27" t="inlineStr">
        <is>
          <t>PGO10756787</t>
        </is>
      </c>
      <c r="C537" s="27" t="n">
        <v>51</v>
      </c>
      <c r="D537" s="27" t="n">
        <v>3455</v>
      </c>
      <c r="E537" s="27" t="n">
        <v>83</v>
      </c>
      <c r="F537" s="41" t="n">
        <v>45877.2914766088</v>
      </c>
      <c r="G537" s="41" t="n">
        <v>45877.60598260417</v>
      </c>
      <c r="H537" s="41" t="n">
        <v>45879.05812052084</v>
      </c>
      <c r="I537" s="41" t="n">
        <v>45879.10285300926</v>
      </c>
      <c r="J537" s="41" t="n">
        <v>45880.53361631944</v>
      </c>
      <c r="K537" s="27" t="inlineStr">
        <is>
          <t>Collected</t>
        </is>
      </c>
      <c r="L537" s="27" t="inlineStr">
        <is>
          <t>Standard</t>
        </is>
      </c>
      <c r="M537" s="27" t="inlineStr">
        <is>
          <t>KwaZulu-Natal</t>
        </is>
      </c>
      <c r="N537" s="27" t="n">
        <v>1909.91</v>
      </c>
      <c r="O537" s="27" t="n">
        <v>1.8</v>
      </c>
      <c r="P537" s="27" t="n">
        <v>54.45</v>
      </c>
      <c r="Q537" s="42">
        <f>IF(H537="","",(H537-F537)*24)</f>
        <v/>
      </c>
      <c r="R537" s="42">
        <f>IF(J537="","",(J537-H537)*24)</f>
        <v/>
      </c>
    </row>
    <row r="538" ht="15" customHeight="1" s="24">
      <c r="A538" s="27" t="n">
        <v>771864</v>
      </c>
      <c r="B538" s="27" t="inlineStr">
        <is>
          <t>PGO10771864</t>
        </is>
      </c>
      <c r="C538" s="27" t="n">
        <v>26</v>
      </c>
      <c r="D538" s="27" t="n">
        <v>203</v>
      </c>
      <c r="E538" s="27" t="n">
        <v>396</v>
      </c>
      <c r="F538" s="41" t="n">
        <v>45877.3384247338</v>
      </c>
      <c r="G538" s="41" t="n">
        <v>45877.82170943287</v>
      </c>
      <c r="H538" s="41" t="n">
        <v>45878.65189111111</v>
      </c>
      <c r="I538" s="41" t="n">
        <v>45878.67038936343</v>
      </c>
      <c r="J538" s="41" t="n">
        <v>45879.0746890162</v>
      </c>
      <c r="K538" s="27" t="inlineStr">
        <is>
          <t>Collected</t>
        </is>
      </c>
      <c r="L538" s="27" t="inlineStr">
        <is>
          <t>Standard</t>
        </is>
      </c>
      <c r="M538" s="27" t="inlineStr">
        <is>
          <t>Mpumalanga</t>
        </is>
      </c>
      <c r="N538" s="27" t="n">
        <v>106.25</v>
      </c>
      <c r="O538" s="27" t="n">
        <v>1.3</v>
      </c>
      <c r="P538" s="27" t="n">
        <v>57.75</v>
      </c>
      <c r="Q538" s="42">
        <f>IF(H538="","",(H538-F538)*24)</f>
        <v/>
      </c>
      <c r="R538" s="42">
        <f>IF(J538="","",(J538-H538)*24)</f>
        <v/>
      </c>
    </row>
    <row r="539" ht="15" customHeight="1" s="24">
      <c r="A539" s="27" t="n">
        <v>774573</v>
      </c>
      <c r="B539" s="27" t="inlineStr">
        <is>
          <t>PGO10774573</t>
        </is>
      </c>
      <c r="C539" s="27" t="n">
        <v>129</v>
      </c>
      <c r="D539" s="27" t="n">
        <v>3171</v>
      </c>
      <c r="E539" s="27" t="n">
        <v>412</v>
      </c>
      <c r="F539" s="41" t="n">
        <v>45877.90366878473</v>
      </c>
      <c r="G539" s="41" t="n">
        <v>45878.56550650463</v>
      </c>
      <c r="H539" s="41" t="n">
        <v>45879.13379234954</v>
      </c>
      <c r="I539" s="41" t="n">
        <v>45879.19555883102</v>
      </c>
      <c r="J539" s="41" t="n">
        <v>45880.18102949074</v>
      </c>
      <c r="K539" s="27" t="inlineStr">
        <is>
          <t>Collected</t>
        </is>
      </c>
      <c r="L539" s="27" t="inlineStr">
        <is>
          <t>Standard</t>
        </is>
      </c>
      <c r="M539" s="27" t="inlineStr">
        <is>
          <t>KwaZulu-Natal</t>
        </is>
      </c>
      <c r="N539" s="27" t="n">
        <v>208.91</v>
      </c>
      <c r="O539" s="27" t="n">
        <v>1.69</v>
      </c>
      <c r="P539" s="27" t="n">
        <v>53.85</v>
      </c>
      <c r="Q539" s="42">
        <f>IF(H539="","",(H539-F539)*24)</f>
        <v/>
      </c>
      <c r="R539" s="42">
        <f>IF(J539="","",(J539-H539)*24)</f>
        <v/>
      </c>
    </row>
    <row r="540" ht="15" customHeight="1" s="24">
      <c r="A540" s="27" t="n">
        <v>766573</v>
      </c>
      <c r="B540" s="27" t="inlineStr">
        <is>
          <t>PGO10766573</t>
        </is>
      </c>
      <c r="C540" s="27" t="n">
        <v>3</v>
      </c>
      <c r="D540" s="27" t="n">
        <v>993</v>
      </c>
      <c r="E540" s="27" t="n">
        <v>91</v>
      </c>
      <c r="F540" s="41" t="n">
        <v>45878.41470478009</v>
      </c>
      <c r="G540" s="41" t="n">
        <v>45878.83842099537</v>
      </c>
      <c r="H540" s="41" t="n">
        <v>45879.31375524306</v>
      </c>
      <c r="I540" s="41" t="n">
        <v>45879.34979075231</v>
      </c>
      <c r="J540" s="41" t="n">
        <v>45882.53644025463</v>
      </c>
      <c r="K540" s="27" t="inlineStr">
        <is>
          <t>Collected</t>
        </is>
      </c>
      <c r="L540" s="27" t="inlineStr">
        <is>
          <t>Standard</t>
        </is>
      </c>
      <c r="M540" s="27" t="inlineStr">
        <is>
          <t>Gauteng</t>
        </is>
      </c>
      <c r="N540" s="27" t="n">
        <v>203.7</v>
      </c>
      <c r="O540" s="27" t="n">
        <v>1.81</v>
      </c>
      <c r="P540" s="27" t="n">
        <v>40.7</v>
      </c>
      <c r="Q540" s="42">
        <f>IF(H540="","",(H540-F540)*24)</f>
        <v/>
      </c>
      <c r="R540" s="42">
        <f>IF(J540="","",(J540-H540)*24)</f>
        <v/>
      </c>
    </row>
    <row r="541" ht="15" customHeight="1" s="24">
      <c r="A541" s="27" t="n">
        <v>755183</v>
      </c>
      <c r="B541" s="27" t="inlineStr">
        <is>
          <t>PGO10755183</t>
        </is>
      </c>
      <c r="C541" s="27" t="n">
        <v>54</v>
      </c>
      <c r="D541" s="27" t="n">
        <v>3622</v>
      </c>
      <c r="E541" s="27" t="n">
        <v>440</v>
      </c>
      <c r="F541" s="41" t="n">
        <v>45878.77008315972</v>
      </c>
      <c r="G541" s="41" t="n">
        <v>45879.00995378472</v>
      </c>
      <c r="H541" s="41" t="n">
        <v>45879.64789826389</v>
      </c>
      <c r="I541" s="41" t="n">
        <v>45879.70991078704</v>
      </c>
      <c r="J541" s="41" t="n">
        <v>45880.22471447917</v>
      </c>
      <c r="K541" s="27" t="inlineStr">
        <is>
          <t>Collected</t>
        </is>
      </c>
      <c r="L541" s="27" t="inlineStr">
        <is>
          <t>Standard</t>
        </is>
      </c>
      <c r="M541" s="27" t="inlineStr">
        <is>
          <t>Gauteng</t>
        </is>
      </c>
      <c r="N541" s="27" t="n">
        <v>438.06</v>
      </c>
      <c r="O541" s="27" t="n">
        <v>0.89</v>
      </c>
      <c r="P541" s="27" t="n">
        <v>63.98</v>
      </c>
      <c r="Q541" s="42">
        <f>IF(H541="","",(H541-F541)*24)</f>
        <v/>
      </c>
      <c r="R541" s="42">
        <f>IF(J541="","",(J541-H541)*24)</f>
        <v/>
      </c>
    </row>
    <row r="542" ht="15" customHeight="1" s="24">
      <c r="A542" s="27" t="n">
        <v>763692</v>
      </c>
      <c r="B542" s="27" t="inlineStr">
        <is>
          <t>PGO10763692</t>
        </is>
      </c>
      <c r="C542" s="27" t="n">
        <v>18</v>
      </c>
      <c r="D542" s="27" t="n">
        <v>352</v>
      </c>
      <c r="E542" s="27" t="n">
        <v>10</v>
      </c>
      <c r="F542" s="41" t="n">
        <v>45881.78467548611</v>
      </c>
      <c r="G542" s="41" t="n">
        <v>45882.00589009259</v>
      </c>
      <c r="H542" s="41" t="n">
        <v>45882.84313459491</v>
      </c>
      <c r="I542" s="41" t="n">
        <v>45882.85392327546</v>
      </c>
      <c r="J542" s="41" t="n">
        <v>45883.42562972222</v>
      </c>
      <c r="K542" s="27" t="inlineStr">
        <is>
          <t>Collected</t>
        </is>
      </c>
      <c r="L542" s="27" t="inlineStr">
        <is>
          <t>Standard</t>
        </is>
      </c>
      <c r="M542" s="27" t="inlineStr">
        <is>
          <t>Gauteng</t>
        </is>
      </c>
      <c r="N542" s="27" t="n">
        <v>826.1799999999999</v>
      </c>
      <c r="O542" s="27" t="n">
        <v>0.66</v>
      </c>
      <c r="P542" s="27" t="n">
        <v>42.57</v>
      </c>
      <c r="Q542" s="42">
        <f>IF(H542="","",(H542-F542)*24)</f>
        <v/>
      </c>
      <c r="R542" s="42">
        <f>IF(J542="","",(J542-H542)*24)</f>
        <v/>
      </c>
    </row>
    <row r="543" ht="15" customHeight="1" s="24">
      <c r="A543" s="27" t="n">
        <v>757942</v>
      </c>
      <c r="B543" s="27" t="inlineStr">
        <is>
          <t>PGO10757942</t>
        </is>
      </c>
      <c r="C543" s="27" t="n">
        <v>62</v>
      </c>
      <c r="D543" s="27" t="n">
        <v>147</v>
      </c>
      <c r="E543" s="27" t="n">
        <v>484</v>
      </c>
      <c r="F543" s="41" t="n">
        <v>45883.23993630787</v>
      </c>
      <c r="G543" s="41" t="n">
        <v>45883.53427707176</v>
      </c>
      <c r="H543" s="41" t="n">
        <v>45884.30186265046</v>
      </c>
      <c r="I543" s="41" t="n">
        <v>45884.31131450232</v>
      </c>
      <c r="J543" s="41" t="n">
        <v>45884.35857385417</v>
      </c>
      <c r="K543" s="27" t="inlineStr">
        <is>
          <t>Collected</t>
        </is>
      </c>
      <c r="L543" s="27" t="inlineStr">
        <is>
          <t>Express</t>
        </is>
      </c>
      <c r="M543" s="27" t="inlineStr">
        <is>
          <t>Gauteng</t>
        </is>
      </c>
      <c r="N543" s="27" t="n">
        <v>370.15</v>
      </c>
      <c r="O543" s="27" t="n">
        <v>0.7</v>
      </c>
      <c r="P543" s="27" t="n">
        <v>69.37</v>
      </c>
      <c r="Q543" s="42">
        <f>IF(H543="","",(H543-F543)*24)</f>
        <v/>
      </c>
      <c r="R543" s="42">
        <f>IF(J543="","",(J543-H543)*24)</f>
        <v/>
      </c>
    </row>
    <row r="544" ht="15" customHeight="1" s="24">
      <c r="A544" s="27" t="n">
        <v>774678</v>
      </c>
      <c r="B544" s="27" t="inlineStr">
        <is>
          <t>PGO10774678</t>
        </is>
      </c>
      <c r="C544" s="27" t="n">
        <v>5</v>
      </c>
      <c r="D544" s="27" t="n">
        <v>2476</v>
      </c>
      <c r="E544" s="27" t="n">
        <v>70</v>
      </c>
      <c r="F544" s="41" t="n">
        <v>45883.84046016204</v>
      </c>
      <c r="G544" s="41" t="n">
        <v>45884.30973027778</v>
      </c>
      <c r="H544" s="41" t="n">
        <v>45885.81018231482</v>
      </c>
      <c r="I544" s="41" t="n">
        <v>45885.84236368055</v>
      </c>
      <c r="J544" s="41" t="n">
        <v>45886.1679093287</v>
      </c>
      <c r="K544" s="27" t="inlineStr">
        <is>
          <t>Collected</t>
        </is>
      </c>
      <c r="L544" s="27" t="inlineStr">
        <is>
          <t>Standard</t>
        </is>
      </c>
      <c r="M544" s="27" t="inlineStr">
        <is>
          <t>KwaZulu-Natal</t>
        </is>
      </c>
      <c r="N544" s="27" t="n">
        <v>50.73</v>
      </c>
      <c r="O544" s="27" t="n">
        <v>3.01</v>
      </c>
      <c r="P544" s="27" t="n">
        <v>58.81</v>
      </c>
      <c r="Q544" s="42">
        <f>IF(H544="","",(H544-F544)*24)</f>
        <v/>
      </c>
      <c r="R544" s="42">
        <f>IF(J544="","",(J544-H544)*24)</f>
        <v/>
      </c>
    </row>
    <row r="545" ht="15" customHeight="1" s="24">
      <c r="A545" s="27" t="n">
        <v>783849</v>
      </c>
      <c r="B545" s="27" t="inlineStr">
        <is>
          <t>PGO10783849</t>
        </is>
      </c>
      <c r="C545" s="27" t="n">
        <v>3</v>
      </c>
      <c r="D545" s="27" t="n">
        <v>3969</v>
      </c>
      <c r="E545" s="27" t="n">
        <v>245</v>
      </c>
      <c r="F545" s="41" t="n">
        <v>45889.51745748843</v>
      </c>
      <c r="G545" s="41" t="n">
        <v>45889.67430053241</v>
      </c>
      <c r="H545" s="41" t="n">
        <v>45890.13231199074</v>
      </c>
      <c r="I545" s="41" t="n">
        <v>45890.1618062037</v>
      </c>
      <c r="J545" s="41" t="n">
        <v>45892.18461292824</v>
      </c>
      <c r="K545" s="27" t="inlineStr">
        <is>
          <t>Collected</t>
        </is>
      </c>
      <c r="L545" s="27" t="inlineStr">
        <is>
          <t>Standard</t>
        </is>
      </c>
      <c r="M545" s="27" t="inlineStr">
        <is>
          <t>KwaZulu-Natal</t>
        </is>
      </c>
      <c r="N545" s="27" t="n">
        <v>163.39</v>
      </c>
      <c r="O545" s="27" t="n">
        <v>1.27</v>
      </c>
      <c r="P545" s="27" t="n">
        <v>38.01</v>
      </c>
      <c r="Q545" s="42">
        <f>IF(H545="","",(H545-F545)*24)</f>
        <v/>
      </c>
      <c r="R545" s="42">
        <f>IF(J545="","",(J545-H545)*24)</f>
        <v/>
      </c>
    </row>
    <row r="546" ht="15" customHeight="1" s="24">
      <c r="A546" s="27" t="n">
        <v>765288</v>
      </c>
      <c r="B546" s="27" t="inlineStr">
        <is>
          <t>PGO10765288</t>
        </is>
      </c>
      <c r="C546" s="27" t="n">
        <v>4</v>
      </c>
      <c r="D546" s="27" t="n">
        <v>1246</v>
      </c>
      <c r="E546" s="27" t="n">
        <v>125</v>
      </c>
      <c r="F546" s="41" t="n">
        <v>45889.6932312963</v>
      </c>
      <c r="G546" s="41" t="n">
        <v>45890.02752846065</v>
      </c>
      <c r="H546" s="41" t="n">
        <v>45890.43686291666</v>
      </c>
      <c r="I546" s="41" t="n">
        <v>45890.45368152778</v>
      </c>
      <c r="J546" s="41" t="n">
        <v>45890.87577057871</v>
      </c>
      <c r="K546" s="27" t="inlineStr">
        <is>
          <t>Collected</t>
        </is>
      </c>
      <c r="L546" s="27" t="inlineStr">
        <is>
          <t>Standard</t>
        </is>
      </c>
      <c r="M546" s="27" t="inlineStr">
        <is>
          <t>North West</t>
        </is>
      </c>
      <c r="N546" s="27" t="n">
        <v>1476.12</v>
      </c>
      <c r="O546" s="27" t="n">
        <v>2.8</v>
      </c>
      <c r="P546" s="27" t="n">
        <v>43.9</v>
      </c>
      <c r="Q546" s="42">
        <f>IF(H546="","",(H546-F546)*24)</f>
        <v/>
      </c>
      <c r="R546" s="42">
        <f>IF(J546="","",(J546-H546)*24)</f>
        <v/>
      </c>
    </row>
    <row r="547" ht="15" customHeight="1" s="24">
      <c r="A547" s="27" t="n">
        <v>770744</v>
      </c>
      <c r="B547" s="27" t="inlineStr">
        <is>
          <t>PGO10770744</t>
        </is>
      </c>
      <c r="C547" s="27" t="n">
        <v>1</v>
      </c>
      <c r="D547" s="27" t="n">
        <v>3296</v>
      </c>
      <c r="E547" s="27" t="n">
        <v>48</v>
      </c>
      <c r="F547" s="41" t="n">
        <v>45890.34272266204</v>
      </c>
      <c r="G547" s="41" t="n">
        <v>45890.6754093287</v>
      </c>
      <c r="H547" s="41" t="n">
        <v>45891.86592880787</v>
      </c>
      <c r="I547" s="41" t="n">
        <v>45891.90037493056</v>
      </c>
      <c r="J547" s="41" t="n">
        <v>45892.95129097223</v>
      </c>
      <c r="K547" s="27" t="inlineStr">
        <is>
          <t>Collected</t>
        </is>
      </c>
      <c r="L547" s="27" t="inlineStr">
        <is>
          <t>Standard</t>
        </is>
      </c>
      <c r="M547" s="27" t="inlineStr">
        <is>
          <t>KwaZulu-Natal</t>
        </is>
      </c>
      <c r="N547" s="27" t="n">
        <v>221.3</v>
      </c>
      <c r="O547" s="27" t="n">
        <v>2.73</v>
      </c>
      <c r="P547" s="27" t="n">
        <v>46.96</v>
      </c>
      <c r="Q547" s="42">
        <f>IF(H547="","",(H547-F547)*24)</f>
        <v/>
      </c>
      <c r="R547" s="42">
        <f>IF(J547="","",(J547-H547)*24)</f>
        <v/>
      </c>
    </row>
    <row r="548" ht="15" customHeight="1" s="24">
      <c r="A548" s="27" t="n">
        <v>760981</v>
      </c>
      <c r="B548" s="27" t="inlineStr">
        <is>
          <t>PGO10760981</t>
        </is>
      </c>
      <c r="C548" s="27" t="n">
        <v>2</v>
      </c>
      <c r="D548" s="27" t="n">
        <v>3695</v>
      </c>
      <c r="E548" s="27" t="n">
        <v>294</v>
      </c>
      <c r="F548" s="41" t="n">
        <v>45890.82797450232</v>
      </c>
      <c r="G548" s="41" t="n">
        <v>45891.06521699074</v>
      </c>
      <c r="H548" s="41" t="n">
        <v>45892.89790193287</v>
      </c>
      <c r="I548" s="41" t="n">
        <v>45892.90340474537</v>
      </c>
      <c r="J548" s="41" t="n">
        <v>45895.28958947917</v>
      </c>
      <c r="K548" s="27" t="inlineStr">
        <is>
          <t>Collected</t>
        </is>
      </c>
      <c r="L548" s="27" t="inlineStr">
        <is>
          <t>Standard</t>
        </is>
      </c>
      <c r="M548" s="27" t="inlineStr">
        <is>
          <t>Western Cape</t>
        </is>
      </c>
      <c r="N548" s="27" t="n">
        <v>213.38</v>
      </c>
      <c r="O548" s="27" t="n">
        <v>0.48</v>
      </c>
      <c r="P548" s="27" t="n">
        <v>51.74</v>
      </c>
      <c r="Q548" s="42">
        <f>IF(H548="","",(H548-F548)*24)</f>
        <v/>
      </c>
      <c r="R548" s="42">
        <f>IF(J548="","",(J548-H548)*24)</f>
        <v/>
      </c>
    </row>
    <row r="549" ht="15" customHeight="1" s="24">
      <c r="A549" s="27" t="n">
        <v>782485</v>
      </c>
      <c r="B549" s="27" t="inlineStr">
        <is>
          <t>PGO10782485</t>
        </is>
      </c>
      <c r="C549" s="27" t="n">
        <v>3</v>
      </c>
      <c r="D549" s="27" t="n">
        <v>1807</v>
      </c>
      <c r="E549" s="27" t="n">
        <v>491</v>
      </c>
      <c r="F549" s="41" t="n">
        <v>45891.52123122685</v>
      </c>
      <c r="G549" s="41" t="n">
        <v>45891.67753275463</v>
      </c>
      <c r="H549" s="41" t="n">
        <v>45892.92147575232</v>
      </c>
      <c r="I549" s="41" t="n">
        <v>45892.94782170139</v>
      </c>
      <c r="J549" s="41" t="n">
        <v>45895.69175388889</v>
      </c>
      <c r="K549" s="27" t="inlineStr">
        <is>
          <t>Collected</t>
        </is>
      </c>
      <c r="L549" s="27" t="inlineStr">
        <is>
          <t>Express</t>
        </is>
      </c>
      <c r="M549" s="27" t="inlineStr">
        <is>
          <t>KwaZulu-Natal</t>
        </is>
      </c>
      <c r="N549" s="27" t="n">
        <v>167.15</v>
      </c>
      <c r="O549" s="27" t="n">
        <v>2.57</v>
      </c>
      <c r="P549" s="27" t="n">
        <v>39.43</v>
      </c>
      <c r="Q549" s="42">
        <f>IF(H549="","",(H549-F549)*24)</f>
        <v/>
      </c>
      <c r="R549" s="42">
        <f>IF(J549="","",(J549-H549)*24)</f>
        <v/>
      </c>
    </row>
    <row r="550" ht="15" customHeight="1" s="24">
      <c r="A550" s="27" t="n">
        <v>776886</v>
      </c>
      <c r="B550" s="27" t="inlineStr">
        <is>
          <t>PGO10776886</t>
        </is>
      </c>
      <c r="C550" s="27" t="n">
        <v>43</v>
      </c>
      <c r="D550" s="27" t="n">
        <v>3695</v>
      </c>
      <c r="E550" s="27" t="n">
        <v>141</v>
      </c>
      <c r="F550" s="41" t="n">
        <v>45892.01282829861</v>
      </c>
      <c r="G550" s="41" t="n">
        <v>45892.14205385416</v>
      </c>
      <c r="H550" s="41" t="n">
        <v>45892.72912314815</v>
      </c>
      <c r="I550" s="41" t="n">
        <v>45892.76930605324</v>
      </c>
      <c r="J550" s="41" t="n">
        <v>45893.71159818287</v>
      </c>
      <c r="K550" s="27" t="inlineStr">
        <is>
          <t>Collected</t>
        </is>
      </c>
      <c r="L550" s="27" t="inlineStr">
        <is>
          <t>Standard</t>
        </is>
      </c>
      <c r="M550" s="27" t="inlineStr">
        <is>
          <t>Western Cape</t>
        </is>
      </c>
      <c r="N550" s="27" t="n">
        <v>189.72</v>
      </c>
      <c r="O550" s="27" t="n">
        <v>2.09</v>
      </c>
      <c r="P550" s="27" t="n">
        <v>52.85</v>
      </c>
      <c r="Q550" s="42">
        <f>IF(H550="","",(H550-F550)*24)</f>
        <v/>
      </c>
      <c r="R550" s="42">
        <f>IF(J550="","",(J550-H550)*24)</f>
        <v/>
      </c>
    </row>
    <row r="551" ht="15" customHeight="1" s="24">
      <c r="A551" s="27" t="n">
        <v>765958</v>
      </c>
      <c r="B551" s="27" t="inlineStr">
        <is>
          <t>PGO10765958</t>
        </is>
      </c>
      <c r="C551" s="27" t="n">
        <v>39</v>
      </c>
      <c r="D551" s="27" t="n">
        <v>1022</v>
      </c>
      <c r="E551" s="27" t="n">
        <v>479</v>
      </c>
      <c r="F551" s="41" t="n">
        <v>45892.52708545139</v>
      </c>
      <c r="G551" s="41" t="n">
        <v>45893.1209521412</v>
      </c>
      <c r="H551" s="41" t="n">
        <v>45893.65769016204</v>
      </c>
      <c r="I551" s="41" t="n">
        <v>45893.67324106482</v>
      </c>
      <c r="J551" s="41" t="n">
        <v>45896.05023194444</v>
      </c>
      <c r="K551" s="27" t="inlineStr">
        <is>
          <t>Collected</t>
        </is>
      </c>
      <c r="L551" s="27" t="inlineStr">
        <is>
          <t>Standard</t>
        </is>
      </c>
      <c r="M551" s="27" t="inlineStr">
        <is>
          <t>Gauteng</t>
        </is>
      </c>
      <c r="N551" s="27" t="n">
        <v>111.28</v>
      </c>
      <c r="O551" s="27" t="n">
        <v>0.6899999999999999</v>
      </c>
      <c r="P551" s="27" t="n">
        <v>58.89</v>
      </c>
      <c r="Q551" s="42">
        <f>IF(H551="","",(H551-F551)*24)</f>
        <v/>
      </c>
      <c r="R551" s="42">
        <f>IF(J551="","",(J551-H551)*24)</f>
        <v/>
      </c>
    </row>
    <row r="552" ht="15" customHeight="1" s="24">
      <c r="A552" s="27" t="n">
        <v>759758</v>
      </c>
      <c r="B552" s="27" t="inlineStr">
        <is>
          <t>PGO10759758</t>
        </is>
      </c>
      <c r="C552" s="27" t="n">
        <v>1</v>
      </c>
      <c r="D552" s="27" t="n">
        <v>2015</v>
      </c>
      <c r="E552" s="27" t="n">
        <v>226</v>
      </c>
      <c r="F552" s="41" t="n">
        <v>45892.94272143518</v>
      </c>
      <c r="G552" s="41" t="n">
        <v>45893.12393277778</v>
      </c>
      <c r="H552" s="41" t="n">
        <v>45893.90850008102</v>
      </c>
      <c r="I552" s="41" t="n">
        <v>45893.95145903935</v>
      </c>
      <c r="J552" s="41" t="n">
        <v>45893.99147258102</v>
      </c>
      <c r="K552" s="27" t="inlineStr">
        <is>
          <t>Collected</t>
        </is>
      </c>
      <c r="L552" s="27" t="inlineStr">
        <is>
          <t>Standard</t>
        </is>
      </c>
      <c r="M552" s="27" t="inlineStr">
        <is>
          <t>Limpopo</t>
        </is>
      </c>
      <c r="N552" s="27" t="n">
        <v>745.16</v>
      </c>
      <c r="O552" s="27" t="n">
        <v>1.54</v>
      </c>
      <c r="P552" s="27" t="n">
        <v>47.93</v>
      </c>
      <c r="Q552" s="42">
        <f>IF(H552="","",(H552-F552)*24)</f>
        <v/>
      </c>
      <c r="R552" s="42">
        <f>IF(J552="","",(J552-H552)*24)</f>
        <v/>
      </c>
    </row>
    <row r="553" ht="15" customHeight="1" s="24">
      <c r="A553" s="27" t="n">
        <v>757961</v>
      </c>
      <c r="B553" s="27" t="inlineStr">
        <is>
          <t>PGO10757961</t>
        </is>
      </c>
      <c r="C553" s="27" t="n">
        <v>22</v>
      </c>
      <c r="D553" s="27" t="n">
        <v>1218</v>
      </c>
      <c r="E553" s="27" t="n">
        <v>149</v>
      </c>
      <c r="F553" s="41" t="n">
        <v>45893.89746559028</v>
      </c>
      <c r="G553" s="41" t="n">
        <v>45893.99245581018</v>
      </c>
      <c r="H553" s="41" t="n">
        <v>45895.55182457176</v>
      </c>
      <c r="I553" s="41" t="n">
        <v>45895.60389105324</v>
      </c>
      <c r="J553" s="41" t="n">
        <v>45898.59607254629</v>
      </c>
      <c r="K553" s="27" t="inlineStr">
        <is>
          <t>Collected</t>
        </is>
      </c>
      <c r="L553" s="27" t="inlineStr">
        <is>
          <t>Standard</t>
        </is>
      </c>
      <c r="M553" s="27" t="inlineStr">
        <is>
          <t>Eastern Cape</t>
        </is>
      </c>
      <c r="N553" s="27" t="n">
        <v>114.92</v>
      </c>
      <c r="O553" s="27" t="n">
        <v>25.18</v>
      </c>
      <c r="P553" s="27" t="n">
        <v>79.29000000000001</v>
      </c>
      <c r="Q553" s="42">
        <f>IF(H553="","",(H553-F553)*24)</f>
        <v/>
      </c>
      <c r="R553" s="42">
        <f>IF(J553="","",(J553-H553)*24)</f>
        <v/>
      </c>
    </row>
    <row r="554" ht="15" customHeight="1" s="24">
      <c r="A554" s="27" t="n">
        <v>783578</v>
      </c>
      <c r="B554" s="27" t="inlineStr">
        <is>
          <t>PGO10783578</t>
        </is>
      </c>
      <c r="C554" s="27" t="n">
        <v>4</v>
      </c>
      <c r="D554" s="27" t="n">
        <v>3695</v>
      </c>
      <c r="E554" s="27" t="n">
        <v>50</v>
      </c>
      <c r="F554" s="41" t="n">
        <v>45895.73078909722</v>
      </c>
      <c r="G554" s="41" t="n">
        <v>45896.04795486111</v>
      </c>
      <c r="H554" s="41" t="n">
        <v>45897.01798627315</v>
      </c>
      <c r="I554" s="41" t="n">
        <v>45897.04768478009</v>
      </c>
      <c r="J554" s="41" t="n">
        <v>45897.61785684028</v>
      </c>
      <c r="K554" s="27" t="inlineStr">
        <is>
          <t>Collected</t>
        </is>
      </c>
      <c r="L554" s="27" t="inlineStr">
        <is>
          <t>Express</t>
        </is>
      </c>
      <c r="M554" s="27" t="inlineStr">
        <is>
          <t>Western Cape</t>
        </is>
      </c>
      <c r="N554" s="27" t="n">
        <v>1755.03</v>
      </c>
      <c r="O554" s="27" t="n">
        <v>0.21</v>
      </c>
      <c r="P554" s="27" t="n">
        <v>45.3</v>
      </c>
      <c r="Q554" s="42">
        <f>IF(H554="","",(H554-F554)*24)</f>
        <v/>
      </c>
      <c r="R554" s="42">
        <f>IF(J554="","",(J554-H554)*24)</f>
        <v/>
      </c>
    </row>
    <row r="555" ht="15" customHeight="1" s="24">
      <c r="A555" s="27" t="n">
        <v>768337</v>
      </c>
      <c r="B555" s="27" t="inlineStr">
        <is>
          <t>PGO10768337</t>
        </is>
      </c>
      <c r="C555" s="27" t="n">
        <v>28</v>
      </c>
      <c r="D555" s="27" t="n">
        <v>2707</v>
      </c>
      <c r="E555" s="27" t="n">
        <v>404</v>
      </c>
      <c r="F555" s="41" t="n">
        <v>45896.04307704861</v>
      </c>
      <c r="G555" s="41" t="n">
        <v>45896.66231621528</v>
      </c>
      <c r="H555" s="41" t="n">
        <v>45897.33458038195</v>
      </c>
      <c r="I555" s="41" t="n">
        <v>45897.37401769676</v>
      </c>
      <c r="J555" s="41" t="n">
        <v>45900.16262033565</v>
      </c>
      <c r="K555" s="27" t="inlineStr">
        <is>
          <t>Collected</t>
        </is>
      </c>
      <c r="L555" s="27" t="inlineStr">
        <is>
          <t>Standard</t>
        </is>
      </c>
      <c r="M555" s="27" t="inlineStr">
        <is>
          <t>North West</t>
        </is>
      </c>
      <c r="N555" s="27" t="n">
        <v>154.35</v>
      </c>
      <c r="O555" s="27" t="n">
        <v>1.4</v>
      </c>
      <c r="P555" s="27" t="n">
        <v>62.99</v>
      </c>
      <c r="Q555" s="42">
        <f>IF(H555="","",(H555-F555)*24)</f>
        <v/>
      </c>
      <c r="R555" s="42">
        <f>IF(J555="","",(J555-H555)*24)</f>
        <v/>
      </c>
    </row>
    <row r="556" ht="15" customHeight="1" s="24">
      <c r="A556" s="27" t="n">
        <v>755684</v>
      </c>
      <c r="B556" s="27" t="inlineStr">
        <is>
          <t>PGO10755684</t>
        </is>
      </c>
      <c r="C556" s="27" t="n">
        <v>7</v>
      </c>
      <c r="D556" s="27" t="n">
        <v>2537</v>
      </c>
      <c r="E556" s="27" t="n">
        <v>129</v>
      </c>
      <c r="F556" s="41" t="n">
        <v>45897.07961275463</v>
      </c>
      <c r="G556" s="41" t="n">
        <v>45897.75208907407</v>
      </c>
      <c r="H556" s="41" t="n">
        <v>45899.11847408565</v>
      </c>
      <c r="I556" s="41" t="n">
        <v>45899.17758113426</v>
      </c>
      <c r="J556" s="41" t="n">
        <v>45899.83959862268</v>
      </c>
      <c r="K556" s="27" t="inlineStr">
        <is>
          <t>Collected</t>
        </is>
      </c>
      <c r="L556" s="27" t="inlineStr">
        <is>
          <t>Standard</t>
        </is>
      </c>
      <c r="M556" s="27" t="inlineStr">
        <is>
          <t>Limpopo</t>
        </is>
      </c>
      <c r="N556" s="27" t="n">
        <v>1046.97</v>
      </c>
      <c r="O556" s="27" t="n">
        <v>1.39</v>
      </c>
      <c r="P556" s="27" t="n">
        <v>51.71</v>
      </c>
      <c r="Q556" s="42">
        <f>IF(H556="","",(H556-F556)*24)</f>
        <v/>
      </c>
      <c r="R556" s="42">
        <f>IF(J556="","",(J556-H556)*24)</f>
        <v/>
      </c>
    </row>
    <row r="557" ht="15" customHeight="1" s="24">
      <c r="A557" s="27" t="n">
        <v>764662</v>
      </c>
      <c r="B557" s="27" t="inlineStr">
        <is>
          <t>PGO10764662</t>
        </is>
      </c>
      <c r="C557" s="27" t="n">
        <v>32</v>
      </c>
      <c r="D557" s="27" t="n">
        <v>2043</v>
      </c>
      <c r="E557" s="27" t="n">
        <v>96</v>
      </c>
      <c r="F557" s="41" t="n">
        <v>45900.02649612269</v>
      </c>
      <c r="G557" s="41" t="n">
        <v>45900.33906892361</v>
      </c>
      <c r="H557" s="41" t="n">
        <v>45901.12909716435</v>
      </c>
      <c r="I557" s="41" t="n">
        <v>45901.14324608797</v>
      </c>
      <c r="J557" s="41" t="n">
        <v>45901.66972932871</v>
      </c>
      <c r="K557" s="27" t="inlineStr">
        <is>
          <t>Collected</t>
        </is>
      </c>
      <c r="L557" s="27" t="inlineStr">
        <is>
          <t>Return-to-Retailer</t>
        </is>
      </c>
      <c r="M557" s="27" t="inlineStr">
        <is>
          <t>North West</t>
        </is>
      </c>
      <c r="N557" s="27" t="n">
        <v>398.91</v>
      </c>
      <c r="O557" s="27" t="n">
        <v>0.8</v>
      </c>
      <c r="P557" s="27" t="n">
        <v>65.22</v>
      </c>
      <c r="Q557" s="42">
        <f>IF(H557="","",(H557-F557)*24)</f>
        <v/>
      </c>
      <c r="R557" s="42">
        <f>IF(J557="","",(J557-H557)*24)</f>
        <v/>
      </c>
    </row>
    <row r="558" ht="15" customHeight="1" s="24">
      <c r="A558" s="27" t="n">
        <v>814734</v>
      </c>
      <c r="B558" s="27" t="inlineStr">
        <is>
          <t>PGO10814734</t>
        </is>
      </c>
      <c r="C558" s="27" t="n">
        <v>100</v>
      </c>
      <c r="D558" s="27" t="n">
        <v>3914</v>
      </c>
      <c r="E558" s="27" t="n">
        <v>291</v>
      </c>
      <c r="F558" s="41" t="n">
        <v>45901.6282969676</v>
      </c>
      <c r="G558" s="41" t="n">
        <v>45901.76485865741</v>
      </c>
      <c r="H558" s="41" t="n">
        <v>45902.2251128588</v>
      </c>
      <c r="I558" s="41" t="n">
        <v>45902.23442755787</v>
      </c>
      <c r="J558" s="41" t="n">
        <v>45902.8756022338</v>
      </c>
      <c r="K558" s="27" t="inlineStr">
        <is>
          <t>Collected</t>
        </is>
      </c>
      <c r="L558" s="27" t="inlineStr">
        <is>
          <t>Standard</t>
        </is>
      </c>
      <c r="M558" s="27" t="inlineStr">
        <is>
          <t>Gauteng</t>
        </is>
      </c>
      <c r="N558" s="27" t="n">
        <v>116.53</v>
      </c>
      <c r="O558" s="27" t="n">
        <v>4.06</v>
      </c>
      <c r="P558" s="27" t="n">
        <v>67.27</v>
      </c>
      <c r="Q558" s="42">
        <f>IF(H558="","",(H558-F558)*24)</f>
        <v/>
      </c>
      <c r="R558" s="42">
        <f>IF(J558="","",(J558-H558)*24)</f>
        <v/>
      </c>
    </row>
    <row r="559" ht="15" customHeight="1" s="24">
      <c r="A559" s="27" t="n">
        <v>789502</v>
      </c>
      <c r="B559" s="27" t="inlineStr">
        <is>
          <t>PGO10789502</t>
        </is>
      </c>
      <c r="C559" s="27" t="n">
        <v>1</v>
      </c>
      <c r="D559" s="27" t="n">
        <v>3231</v>
      </c>
      <c r="E559" s="27" t="n">
        <v>381</v>
      </c>
      <c r="F559" s="41" t="n">
        <v>45902.44971822917</v>
      </c>
      <c r="G559" s="41" t="n">
        <v>45902.6300253125</v>
      </c>
      <c r="H559" s="41" t="n">
        <v>45904.14116282407</v>
      </c>
      <c r="I559" s="41" t="n">
        <v>45904.1520924537</v>
      </c>
      <c r="J559" s="41" t="n">
        <v>45904.68810168981</v>
      </c>
      <c r="K559" s="27" t="inlineStr">
        <is>
          <t>Collected</t>
        </is>
      </c>
      <c r="L559" s="27" t="inlineStr">
        <is>
          <t>Standard</t>
        </is>
      </c>
      <c r="M559" s="27" t="inlineStr">
        <is>
          <t>North West</t>
        </is>
      </c>
      <c r="N559" s="27" t="n">
        <v>1936.04</v>
      </c>
      <c r="O559" s="27" t="n">
        <v>0.43</v>
      </c>
      <c r="P559" s="27" t="n">
        <v>44.22</v>
      </c>
      <c r="Q559" s="42">
        <f>IF(H559="","",(H559-F559)*24)</f>
        <v/>
      </c>
      <c r="R559" s="42">
        <f>IF(J559="","",(J559-H559)*24)</f>
        <v/>
      </c>
    </row>
    <row r="560" ht="15" customHeight="1" s="24">
      <c r="A560" s="27" t="n">
        <v>817613</v>
      </c>
      <c r="B560" s="27" t="inlineStr">
        <is>
          <t>PGO10817613</t>
        </is>
      </c>
      <c r="C560" s="27" t="n">
        <v>3</v>
      </c>
      <c r="D560" s="27" t="n">
        <v>1354</v>
      </c>
      <c r="E560" s="27" t="n">
        <v>161</v>
      </c>
      <c r="F560" s="41" t="n">
        <v>45903.0866252199</v>
      </c>
      <c r="G560" s="41" t="n">
        <v>45903.40789784722</v>
      </c>
      <c r="H560" s="41" t="n">
        <v>45903.97198693287</v>
      </c>
      <c r="I560" s="41" t="n">
        <v>45904.02288207176</v>
      </c>
      <c r="J560" s="41" t="n">
        <v>45907.37585006945</v>
      </c>
      <c r="K560" s="27" t="inlineStr">
        <is>
          <t>Collected</t>
        </is>
      </c>
      <c r="L560" s="27" t="inlineStr">
        <is>
          <t>Standard</t>
        </is>
      </c>
      <c r="M560" s="27" t="inlineStr">
        <is>
          <t>Gauteng</t>
        </is>
      </c>
      <c r="N560" s="27" t="n">
        <v>266.33</v>
      </c>
      <c r="O560" s="27" t="n">
        <v>0.86</v>
      </c>
      <c r="P560" s="27" t="n">
        <v>38.62</v>
      </c>
      <c r="Q560" s="42">
        <f>IF(H560="","",(H560-F560)*24)</f>
        <v/>
      </c>
      <c r="R560" s="42">
        <f>IF(J560="","",(J560-H560)*24)</f>
        <v/>
      </c>
    </row>
    <row r="561" ht="15" customHeight="1" s="24">
      <c r="A561" s="27" t="n">
        <v>796453</v>
      </c>
      <c r="B561" s="27" t="inlineStr">
        <is>
          <t>PGO10796453</t>
        </is>
      </c>
      <c r="C561" s="27" t="n">
        <v>10</v>
      </c>
      <c r="D561" s="27" t="n">
        <v>2487</v>
      </c>
      <c r="E561" s="27" t="n">
        <v>433</v>
      </c>
      <c r="F561" s="41" t="n">
        <v>45903.14640085648</v>
      </c>
      <c r="G561" s="41" t="n">
        <v>45903.47860354167</v>
      </c>
      <c r="H561" s="41" t="n">
        <v>45904.33029935185</v>
      </c>
      <c r="I561" s="41" t="n">
        <v>45904.35125969908</v>
      </c>
      <c r="J561" s="41" t="n">
        <v>45905.17053341436</v>
      </c>
      <c r="K561" s="27" t="inlineStr">
        <is>
          <t>Collected</t>
        </is>
      </c>
      <c r="L561" s="27" t="inlineStr">
        <is>
          <t>Standard</t>
        </is>
      </c>
      <c r="M561" s="27" t="inlineStr">
        <is>
          <t>Gauteng</t>
        </is>
      </c>
      <c r="N561" s="27" t="n">
        <v>3155.91</v>
      </c>
      <c r="O561" s="27" t="n">
        <v>0.93</v>
      </c>
      <c r="P561" s="27" t="n">
        <v>60.35</v>
      </c>
      <c r="Q561" s="42">
        <f>IF(H561="","",(H561-F561)*24)</f>
        <v/>
      </c>
      <c r="R561" s="42">
        <f>IF(J561="","",(J561-H561)*24)</f>
        <v/>
      </c>
    </row>
    <row r="562" ht="15" customHeight="1" s="24">
      <c r="A562" s="27" t="n">
        <v>803178</v>
      </c>
      <c r="B562" s="27" t="inlineStr">
        <is>
          <t>PGO10803178</t>
        </is>
      </c>
      <c r="C562" s="27" t="n">
        <v>2</v>
      </c>
      <c r="D562" s="27" t="n">
        <v>223</v>
      </c>
      <c r="E562" s="27" t="n">
        <v>64</v>
      </c>
      <c r="F562" s="41" t="n">
        <v>45903.29126650463</v>
      </c>
      <c r="G562" s="41" t="n">
        <v>45903.42144408564</v>
      </c>
      <c r="H562" s="41" t="n">
        <v>45904.25030292824</v>
      </c>
      <c r="I562" s="41" t="n">
        <v>45904.28682215278</v>
      </c>
      <c r="J562" s="41" t="n">
        <v>45905.24103297454</v>
      </c>
      <c r="K562" s="27" t="inlineStr">
        <is>
          <t>Collected</t>
        </is>
      </c>
      <c r="L562" s="27" t="inlineStr">
        <is>
          <t>Return-to-Retailer</t>
        </is>
      </c>
      <c r="M562" s="27" t="inlineStr">
        <is>
          <t>KwaZulu-Natal</t>
        </is>
      </c>
      <c r="N562" s="27" t="n">
        <v>44.87</v>
      </c>
      <c r="O562" s="27" t="n">
        <v>4.79</v>
      </c>
      <c r="P562" s="27" t="n">
        <v>50.3</v>
      </c>
      <c r="Q562" s="42">
        <f>IF(H562="","",(H562-F562)*24)</f>
        <v/>
      </c>
      <c r="R562" s="42">
        <f>IF(J562="","",(J562-H562)*24)</f>
        <v/>
      </c>
    </row>
    <row r="563" ht="15" customHeight="1" s="24">
      <c r="A563" s="27" t="n">
        <v>809654</v>
      </c>
      <c r="B563" s="27" t="inlineStr">
        <is>
          <t>PGO10809654</t>
        </is>
      </c>
      <c r="C563" s="27" t="n">
        <v>7</v>
      </c>
      <c r="D563" s="27" t="n">
        <v>3787</v>
      </c>
      <c r="E563" s="27" t="n">
        <v>114</v>
      </c>
      <c r="F563" s="41" t="n">
        <v>45903.52616422454</v>
      </c>
      <c r="G563" s="41" t="n">
        <v>45903.92696975695</v>
      </c>
      <c r="H563" s="41" t="n">
        <v>45905.35689636574</v>
      </c>
      <c r="I563" s="41" t="n">
        <v>45905.38508230324</v>
      </c>
      <c r="J563" s="41" t="n">
        <v>45909.31505768518</v>
      </c>
      <c r="K563" s="27" t="inlineStr">
        <is>
          <t>Collected</t>
        </is>
      </c>
      <c r="L563" s="27" t="inlineStr">
        <is>
          <t>Standard</t>
        </is>
      </c>
      <c r="M563" s="27" t="inlineStr">
        <is>
          <t>Mpumalanga</t>
        </is>
      </c>
      <c r="N563" s="27" t="n">
        <v>180.2</v>
      </c>
      <c r="O563" s="27" t="n">
        <v>2.04</v>
      </c>
      <c r="P563" s="27" t="n">
        <v>49.49</v>
      </c>
      <c r="Q563" s="42">
        <f>IF(H563="","",(H563-F563)*24)</f>
        <v/>
      </c>
      <c r="R563" s="42">
        <f>IF(J563="","",(J563-H563)*24)</f>
        <v/>
      </c>
    </row>
    <row r="564" ht="15" customHeight="1" s="24">
      <c r="A564" s="27" t="n">
        <v>806535</v>
      </c>
      <c r="B564" s="27" t="inlineStr">
        <is>
          <t>PGO10806535</t>
        </is>
      </c>
      <c r="C564" s="27" t="n">
        <v>103</v>
      </c>
      <c r="D564" s="27" t="n">
        <v>2174</v>
      </c>
      <c r="E564" s="27" t="n">
        <v>354</v>
      </c>
      <c r="F564" s="41" t="n">
        <v>45903.89302952546</v>
      </c>
      <c r="G564" s="41" t="n">
        <v>45904.22658417824</v>
      </c>
      <c r="H564" s="41" t="n">
        <v>45905.522474375</v>
      </c>
      <c r="I564" s="41" t="n">
        <v>45905.53839304398</v>
      </c>
      <c r="J564" s="41" t="n">
        <v>45906.08449431713</v>
      </c>
      <c r="K564" s="27" t="inlineStr">
        <is>
          <t>Collected</t>
        </is>
      </c>
      <c r="L564" s="27" t="inlineStr">
        <is>
          <t>Standard</t>
        </is>
      </c>
      <c r="M564" s="27" t="inlineStr">
        <is>
          <t>KwaZulu-Natal</t>
        </is>
      </c>
      <c r="N564" s="27" t="n">
        <v>61.9</v>
      </c>
      <c r="O564" s="27" t="n">
        <v>0.79</v>
      </c>
      <c r="P564" s="27" t="n">
        <v>40.97</v>
      </c>
      <c r="Q564" s="42">
        <f>IF(H564="","",(H564-F564)*24)</f>
        <v/>
      </c>
      <c r="R564" s="42">
        <f>IF(J564="","",(J564-H564)*24)</f>
        <v/>
      </c>
    </row>
    <row r="565" ht="15" customHeight="1" s="24">
      <c r="A565" s="27" t="n">
        <v>801386</v>
      </c>
      <c r="B565" s="27" t="inlineStr">
        <is>
          <t>PGO10801386</t>
        </is>
      </c>
      <c r="C565" s="27" t="n">
        <v>1</v>
      </c>
      <c r="D565" s="27" t="n">
        <v>3619</v>
      </c>
      <c r="E565" s="27" t="n">
        <v>450</v>
      </c>
      <c r="F565" s="41" t="n">
        <v>45904.45295357639</v>
      </c>
      <c r="G565" s="41" t="n">
        <v>45904.52896142361</v>
      </c>
      <c r="H565" s="41" t="n">
        <v>45905.91824607639</v>
      </c>
      <c r="I565" s="41" t="n">
        <v>45905.96523449074</v>
      </c>
      <c r="J565" s="41" t="n">
        <v>45906.94755538194</v>
      </c>
      <c r="K565" s="27" t="inlineStr">
        <is>
          <t>Collected</t>
        </is>
      </c>
      <c r="L565" s="27" t="inlineStr">
        <is>
          <t>Standard</t>
        </is>
      </c>
      <c r="M565" s="27" t="inlineStr">
        <is>
          <t>Eastern Cape</t>
        </is>
      </c>
      <c r="N565" s="27" t="n">
        <v>1610.91</v>
      </c>
      <c r="O565" s="27" t="n">
        <v>0.58</v>
      </c>
      <c r="P565" s="27" t="n">
        <v>46.68</v>
      </c>
      <c r="Q565" s="42">
        <f>IF(H565="","",(H565-F565)*24)</f>
        <v/>
      </c>
      <c r="R565" s="42">
        <f>IF(J565="","",(J565-H565)*24)</f>
        <v/>
      </c>
    </row>
    <row r="566" ht="15" customHeight="1" s="24">
      <c r="A566" s="27" t="n">
        <v>802621</v>
      </c>
      <c r="B566" s="27" t="inlineStr">
        <is>
          <t>PGO10802621</t>
        </is>
      </c>
      <c r="C566" s="27" t="n">
        <v>86</v>
      </c>
      <c r="D566" s="27" t="n">
        <v>1272</v>
      </c>
      <c r="E566" s="27" t="n">
        <v>313</v>
      </c>
      <c r="F566" s="41" t="n">
        <v>45906.6292002662</v>
      </c>
      <c r="G566" s="41" t="n">
        <v>45906.74505748843</v>
      </c>
      <c r="H566" s="41" t="n">
        <v>45907.62652083334</v>
      </c>
      <c r="I566" s="41" t="n">
        <v>45907.66653038195</v>
      </c>
      <c r="J566" s="41" t="n">
        <v>45908.434456875</v>
      </c>
      <c r="K566" s="27" t="inlineStr">
        <is>
          <t>Collected</t>
        </is>
      </c>
      <c r="L566" s="27" t="inlineStr">
        <is>
          <t>Standard</t>
        </is>
      </c>
      <c r="M566" s="27" t="inlineStr">
        <is>
          <t>Gauteng</t>
        </is>
      </c>
      <c r="N566" s="27" t="n">
        <v>194.03</v>
      </c>
      <c r="O566" s="27" t="n">
        <v>1.27</v>
      </c>
      <c r="P566" s="27" t="n">
        <v>60.85</v>
      </c>
      <c r="Q566" s="42">
        <f>IF(H566="","",(H566-F566)*24)</f>
        <v/>
      </c>
      <c r="R566" s="42">
        <f>IF(J566="","",(J566-H566)*24)</f>
        <v/>
      </c>
    </row>
    <row r="567" ht="15" customHeight="1" s="24">
      <c r="A567" s="27" t="n">
        <v>793320</v>
      </c>
      <c r="B567" s="27" t="inlineStr">
        <is>
          <t>PGO10793320</t>
        </is>
      </c>
      <c r="C567" s="27" t="n">
        <v>13</v>
      </c>
      <c r="D567" s="27" t="n">
        <v>151</v>
      </c>
      <c r="E567" s="27" t="n">
        <v>379</v>
      </c>
      <c r="F567" s="41" t="n">
        <v>45907.53189550926</v>
      </c>
      <c r="G567" s="41" t="n">
        <v>45907.58346818287</v>
      </c>
      <c r="H567" s="41" t="n">
        <v>45908.23341421296</v>
      </c>
      <c r="I567" s="41" t="n">
        <v>45908.27327836805</v>
      </c>
      <c r="J567" s="41" t="n">
        <v>45908.92283344908</v>
      </c>
      <c r="K567" s="27" t="inlineStr">
        <is>
          <t>Collected</t>
        </is>
      </c>
      <c r="L567" s="27" t="inlineStr">
        <is>
          <t>Standard</t>
        </is>
      </c>
      <c r="M567" s="27" t="inlineStr">
        <is>
          <t>Gauteng</t>
        </is>
      </c>
      <c r="N567" s="27" t="n">
        <v>312.29</v>
      </c>
      <c r="O567" s="27" t="n">
        <v>0.85</v>
      </c>
      <c r="P567" s="27" t="n">
        <v>67.89</v>
      </c>
      <c r="Q567" s="42">
        <f>IF(H567="","",(H567-F567)*24)</f>
        <v/>
      </c>
      <c r="R567" s="42">
        <f>IF(J567="","",(J567-H567)*24)</f>
        <v/>
      </c>
    </row>
    <row r="568" ht="15" customHeight="1" s="24">
      <c r="A568" s="27" t="n">
        <v>800100</v>
      </c>
      <c r="B568" s="27" t="inlineStr">
        <is>
          <t>PGO10800100</t>
        </is>
      </c>
      <c r="C568" s="27" t="n">
        <v>47</v>
      </c>
      <c r="D568" s="27" t="n">
        <v>2064</v>
      </c>
      <c r="E568" s="27" t="n">
        <v>197</v>
      </c>
      <c r="F568" s="41" t="n">
        <v>45911.25764616898</v>
      </c>
      <c r="G568" s="41" t="n">
        <v>45911.41893451389</v>
      </c>
      <c r="H568" s="41" t="n">
        <v>45912.09650907407</v>
      </c>
      <c r="I568" s="41" t="n">
        <v>45912.11960135417</v>
      </c>
      <c r="J568" s="41" t="n">
        <v>45912.97649969907</v>
      </c>
      <c r="K568" s="27" t="inlineStr">
        <is>
          <t>Collected</t>
        </is>
      </c>
      <c r="L568" s="27" t="inlineStr">
        <is>
          <t>Express</t>
        </is>
      </c>
      <c r="M568" s="27" t="inlineStr">
        <is>
          <t>Gauteng</t>
        </is>
      </c>
      <c r="N568" s="27" t="n">
        <v>546.75</v>
      </c>
      <c r="O568" s="27" t="n">
        <v>0.19</v>
      </c>
      <c r="P568" s="27" t="n">
        <v>52.97</v>
      </c>
      <c r="Q568" s="42">
        <f>IF(H568="","",(H568-F568)*24)</f>
        <v/>
      </c>
      <c r="R568" s="42">
        <f>IF(J568="","",(J568-H568)*24)</f>
        <v/>
      </c>
    </row>
    <row r="569" ht="15" customHeight="1" s="24">
      <c r="A569" s="27" t="n">
        <v>818378</v>
      </c>
      <c r="B569" s="27" t="inlineStr">
        <is>
          <t>PGO10818378</t>
        </is>
      </c>
      <c r="C569" s="27" t="n">
        <v>1</v>
      </c>
      <c r="D569" s="27" t="n">
        <v>2382</v>
      </c>
      <c r="E569" s="27" t="n">
        <v>145</v>
      </c>
      <c r="F569" s="41" t="n">
        <v>45911.85473608796</v>
      </c>
      <c r="G569" s="41" t="n">
        <v>45911.9624615625</v>
      </c>
      <c r="H569" s="41" t="n">
        <v>45912.3371968287</v>
      </c>
      <c r="I569" s="41" t="n">
        <v>45912.36444050926</v>
      </c>
      <c r="J569" s="41" t="n">
        <v>45913.36754142361</v>
      </c>
      <c r="K569" s="27" t="inlineStr">
        <is>
          <t>Collected</t>
        </is>
      </c>
      <c r="L569" s="27" t="inlineStr">
        <is>
          <t>Standard</t>
        </is>
      </c>
      <c r="M569" s="27" t="inlineStr">
        <is>
          <t>Free State</t>
        </is>
      </c>
      <c r="N569" s="27" t="n">
        <v>146.77</v>
      </c>
      <c r="O569" s="27" t="n">
        <v>1.35</v>
      </c>
      <c r="P569" s="27" t="n">
        <v>47.36</v>
      </c>
      <c r="Q569" s="42">
        <f>IF(H569="","",(H569-F569)*24)</f>
        <v/>
      </c>
      <c r="R569" s="42">
        <f>IF(J569="","",(J569-H569)*24)</f>
        <v/>
      </c>
    </row>
    <row r="570" ht="15" customHeight="1" s="24">
      <c r="A570" s="27" t="n">
        <v>822091</v>
      </c>
      <c r="B570" s="27" t="inlineStr">
        <is>
          <t>PGO10822091</t>
        </is>
      </c>
      <c r="C570" s="27" t="n">
        <v>2</v>
      </c>
      <c r="D570" s="27" t="n">
        <v>321</v>
      </c>
      <c r="E570" s="27" t="n">
        <v>361</v>
      </c>
      <c r="F570" s="41" t="n">
        <v>45912.3494399074</v>
      </c>
      <c r="G570" s="41" t="n">
        <v>45912.63156146991</v>
      </c>
      <c r="H570" s="41" t="n">
        <v>45913.49008361111</v>
      </c>
      <c r="I570" s="41" t="n">
        <v>45913.51498371528</v>
      </c>
      <c r="J570" s="41" t="n">
        <v>45914.27934723379</v>
      </c>
      <c r="K570" s="27" t="inlineStr">
        <is>
          <t>Collected</t>
        </is>
      </c>
      <c r="L570" s="27" t="inlineStr">
        <is>
          <t>Standard</t>
        </is>
      </c>
      <c r="M570" s="27" t="inlineStr">
        <is>
          <t>Gauteng</t>
        </is>
      </c>
      <c r="N570" s="27" t="n">
        <v>97.18000000000001</v>
      </c>
      <c r="O570" s="27" t="n">
        <v>0.75</v>
      </c>
      <c r="P570" s="27" t="n">
        <v>47.6</v>
      </c>
      <c r="Q570" s="42">
        <f>IF(H570="","",(H570-F570)*24)</f>
        <v/>
      </c>
      <c r="R570" s="42">
        <f>IF(J570="","",(J570-H570)*24)</f>
        <v/>
      </c>
    </row>
    <row r="571" ht="15" customHeight="1" s="24">
      <c r="A571" s="27" t="n">
        <v>822394</v>
      </c>
      <c r="B571" s="27" t="inlineStr">
        <is>
          <t>PGO10822394</t>
        </is>
      </c>
      <c r="C571" s="27" t="n">
        <v>118</v>
      </c>
      <c r="D571" s="27" t="n">
        <v>56</v>
      </c>
      <c r="E571" s="27" t="n">
        <v>181</v>
      </c>
      <c r="F571" s="41" t="n">
        <v>45915.41601611111</v>
      </c>
      <c r="G571" s="41" t="n">
        <v>45915.78460101852</v>
      </c>
      <c r="H571" s="41" t="n">
        <v>45916.41343600694</v>
      </c>
      <c r="I571" s="41" t="n">
        <v>45916.43421165509</v>
      </c>
      <c r="J571" s="41" t="n">
        <v>45917.65209821759</v>
      </c>
      <c r="K571" s="27" t="inlineStr">
        <is>
          <t>Collected</t>
        </is>
      </c>
      <c r="L571" s="27" t="inlineStr">
        <is>
          <t>Return-to-Retailer</t>
        </is>
      </c>
      <c r="M571" s="27" t="inlineStr">
        <is>
          <t>Free State</t>
        </is>
      </c>
      <c r="N571" s="27" t="n">
        <v>559.04</v>
      </c>
      <c r="O571" s="27" t="n">
        <v>0.9</v>
      </c>
      <c r="P571" s="27" t="n">
        <v>55.35</v>
      </c>
      <c r="Q571" s="42">
        <f>IF(H571="","",(H571-F571)*24)</f>
        <v/>
      </c>
      <c r="R571" s="42">
        <f>IF(J571="","",(J571-H571)*24)</f>
        <v/>
      </c>
    </row>
    <row r="572" ht="15" customHeight="1" s="24">
      <c r="A572" s="27" t="n">
        <v>792122</v>
      </c>
      <c r="B572" s="27" t="inlineStr">
        <is>
          <t>PGO10792122</t>
        </is>
      </c>
      <c r="C572" s="27" t="n">
        <v>102</v>
      </c>
      <c r="D572" s="27" t="n">
        <v>318</v>
      </c>
      <c r="E572" s="27" t="n">
        <v>389</v>
      </c>
      <c r="F572" s="41" t="n">
        <v>45915.97991976852</v>
      </c>
      <c r="G572" s="41" t="n">
        <v>45916.15953108796</v>
      </c>
      <c r="H572" s="41" t="n">
        <v>45916.9327699537</v>
      </c>
      <c r="I572" s="41" t="n">
        <v>45916.93519478009</v>
      </c>
      <c r="J572" s="41" t="n">
        <v>45918.75511001157</v>
      </c>
      <c r="K572" s="27" t="inlineStr">
        <is>
          <t>Collected</t>
        </is>
      </c>
      <c r="L572" s="27" t="inlineStr">
        <is>
          <t>Standard</t>
        </is>
      </c>
      <c r="M572" s="27" t="inlineStr">
        <is>
          <t>Mpumalanga</t>
        </is>
      </c>
      <c r="N572" s="27" t="n">
        <v>138.68</v>
      </c>
      <c r="O572" s="27" t="n">
        <v>2.25</v>
      </c>
      <c r="P572" s="27" t="n">
        <v>61.39</v>
      </c>
      <c r="Q572" s="42">
        <f>IF(H572="","",(H572-F572)*24)</f>
        <v/>
      </c>
      <c r="R572" s="42">
        <f>IF(J572="","",(J572-H572)*24)</f>
        <v/>
      </c>
    </row>
    <row r="573" ht="15" customHeight="1" s="24">
      <c r="A573" s="27" t="n">
        <v>792819</v>
      </c>
      <c r="B573" s="27" t="inlineStr">
        <is>
          <t>PGO10792819</t>
        </is>
      </c>
      <c r="C573" s="27" t="n">
        <v>5</v>
      </c>
      <c r="D573" s="27" t="n">
        <v>953</v>
      </c>
      <c r="E573" s="27" t="n">
        <v>487</v>
      </c>
      <c r="F573" s="41" t="n">
        <v>45917.08097040509</v>
      </c>
      <c r="G573" s="41" t="n">
        <v>45917.38707789352</v>
      </c>
      <c r="H573" s="41" t="n">
        <v>45917.8846643287</v>
      </c>
      <c r="I573" s="41" t="n">
        <v>45917.89553063658</v>
      </c>
      <c r="J573" s="41" t="n">
        <v>45918.83915116898</v>
      </c>
      <c r="K573" s="27" t="inlineStr">
        <is>
          <t>Collected</t>
        </is>
      </c>
      <c r="L573" s="27" t="inlineStr">
        <is>
          <t>Standard</t>
        </is>
      </c>
      <c r="M573" s="27" t="inlineStr">
        <is>
          <t>Gauteng</t>
        </is>
      </c>
      <c r="N573" s="27" t="n">
        <v>90.64</v>
      </c>
      <c r="O573" s="27" t="n">
        <v>0.47</v>
      </c>
      <c r="P573" s="27" t="n">
        <v>58.4</v>
      </c>
      <c r="Q573" s="42">
        <f>IF(H573="","",(H573-F573)*24)</f>
        <v/>
      </c>
      <c r="R573" s="42">
        <f>IF(J573="","",(J573-H573)*24)</f>
        <v/>
      </c>
    </row>
    <row r="574" ht="15" customHeight="1" s="24">
      <c r="A574" s="27" t="n">
        <v>817736</v>
      </c>
      <c r="B574" s="27" t="inlineStr">
        <is>
          <t>PGO10817736</t>
        </is>
      </c>
      <c r="C574" s="27" t="n">
        <v>31</v>
      </c>
      <c r="D574" s="27" t="n">
        <v>1957</v>
      </c>
      <c r="E574" s="27" t="n">
        <v>290</v>
      </c>
      <c r="F574" s="41" t="n">
        <v>45919.24399678241</v>
      </c>
      <c r="G574" s="41" t="n">
        <v>45919.60143734953</v>
      </c>
      <c r="H574" s="41" t="n">
        <v>45921.14917630787</v>
      </c>
      <c r="I574" s="41" t="n">
        <v>45921.16498400463</v>
      </c>
      <c r="J574" s="41" t="n">
        <v>45922.89693082176</v>
      </c>
      <c r="K574" s="27" t="inlineStr">
        <is>
          <t>Collected</t>
        </is>
      </c>
      <c r="L574" s="27" t="inlineStr">
        <is>
          <t>Standard</t>
        </is>
      </c>
      <c r="M574" s="27" t="inlineStr">
        <is>
          <t>North West</t>
        </is>
      </c>
      <c r="N574" s="27" t="n">
        <v>210.04</v>
      </c>
      <c r="O574" s="27" t="n">
        <v>0.59</v>
      </c>
      <c r="P574" s="27" t="n">
        <v>57.41</v>
      </c>
      <c r="Q574" s="42">
        <f>IF(H574="","",(H574-F574)*24)</f>
        <v/>
      </c>
      <c r="R574" s="42">
        <f>IF(J574="","",(J574-H574)*24)</f>
        <v/>
      </c>
    </row>
    <row r="575" ht="15" customHeight="1" s="24">
      <c r="A575" s="27" t="n">
        <v>793950</v>
      </c>
      <c r="B575" s="27" t="inlineStr">
        <is>
          <t>PGO10793950</t>
        </is>
      </c>
      <c r="C575" s="27" t="n">
        <v>22</v>
      </c>
      <c r="D575" s="27" t="n">
        <v>3639</v>
      </c>
      <c r="E575" s="27" t="n">
        <v>407</v>
      </c>
      <c r="F575" s="41" t="n">
        <v>45919.97490890046</v>
      </c>
      <c r="G575" s="41" t="n">
        <v>45920.06943640046</v>
      </c>
      <c r="H575" s="41" t="n">
        <v>45922.43318997685</v>
      </c>
      <c r="I575" s="41" t="n">
        <v>45922.45445024306</v>
      </c>
      <c r="J575" s="41" t="n">
        <v>45923.17169505787</v>
      </c>
      <c r="K575" s="27" t="inlineStr">
        <is>
          <t>Collected</t>
        </is>
      </c>
      <c r="L575" s="27" t="inlineStr">
        <is>
          <t>Standard</t>
        </is>
      </c>
      <c r="M575" s="27" t="inlineStr">
        <is>
          <t>Northern Cape</t>
        </is>
      </c>
      <c r="N575" s="27" t="n">
        <v>1519.04</v>
      </c>
      <c r="O575" s="27" t="n">
        <v>1.87</v>
      </c>
      <c r="P575" s="27" t="n">
        <v>56.66</v>
      </c>
      <c r="Q575" s="42">
        <f>IF(H575="","",(H575-F575)*24)</f>
        <v/>
      </c>
      <c r="R575" s="42">
        <f>IF(J575="","",(J575-H575)*24)</f>
        <v/>
      </c>
    </row>
    <row r="576" ht="15" customHeight="1" s="24">
      <c r="A576" s="27" t="n">
        <v>809254</v>
      </c>
      <c r="B576" s="27" t="inlineStr">
        <is>
          <t>PGO10809254</t>
        </is>
      </c>
      <c r="C576" s="27" t="n">
        <v>6</v>
      </c>
      <c r="D576" s="27" t="n">
        <v>3099</v>
      </c>
      <c r="E576" s="27" t="n">
        <v>487</v>
      </c>
      <c r="F576" s="41" t="n">
        <v>45921.12546436342</v>
      </c>
      <c r="G576" s="41" t="n">
        <v>45921.14640207176</v>
      </c>
      <c r="H576" s="41" t="n">
        <v>45921.63377336806</v>
      </c>
      <c r="I576" s="41" t="n">
        <v>45921.67599839121</v>
      </c>
      <c r="J576" s="41" t="n">
        <v>45923.45511398148</v>
      </c>
      <c r="K576" s="27" t="inlineStr">
        <is>
          <t>Collected</t>
        </is>
      </c>
      <c r="L576" s="27" t="inlineStr">
        <is>
          <t>Standard</t>
        </is>
      </c>
      <c r="M576" s="27" t="inlineStr">
        <is>
          <t>Gauteng</t>
        </is>
      </c>
      <c r="N576" s="27" t="n">
        <v>350.56</v>
      </c>
      <c r="O576" s="27" t="n">
        <v>0.11</v>
      </c>
      <c r="P576" s="27" t="n">
        <v>39.42</v>
      </c>
      <c r="Q576" s="42">
        <f>IF(H576="","",(H576-F576)*24)</f>
        <v/>
      </c>
      <c r="R576" s="42">
        <f>IF(J576="","",(J576-H576)*24)</f>
        <v/>
      </c>
    </row>
    <row r="577" ht="15" customHeight="1" s="24">
      <c r="A577" s="27" t="n">
        <v>804476</v>
      </c>
      <c r="B577" s="27" t="inlineStr">
        <is>
          <t>PGO10804476</t>
        </is>
      </c>
      <c r="C577" s="27" t="n">
        <v>112</v>
      </c>
      <c r="D577" s="27" t="n">
        <v>90</v>
      </c>
      <c r="E577" s="27" t="n">
        <v>37</v>
      </c>
      <c r="F577" s="41" t="n">
        <v>45921.26426929398</v>
      </c>
      <c r="G577" s="41" t="n">
        <v>45921.51585371527</v>
      </c>
      <c r="H577" s="41" t="n">
        <v>45922.5146906713</v>
      </c>
      <c r="I577" s="41" t="n">
        <v>45922.56601072917</v>
      </c>
      <c r="J577" s="41" t="n">
        <v>45923.37372052083</v>
      </c>
      <c r="K577" s="27" t="inlineStr">
        <is>
          <t>Collected</t>
        </is>
      </c>
      <c r="L577" s="27" t="inlineStr">
        <is>
          <t>Express</t>
        </is>
      </c>
      <c r="M577" s="27" t="inlineStr">
        <is>
          <t>Western Cape</t>
        </is>
      </c>
      <c r="N577" s="27" t="n">
        <v>354.87</v>
      </c>
      <c r="O577" s="27" t="n">
        <v>0.63</v>
      </c>
      <c r="P577" s="27" t="n">
        <v>57.77</v>
      </c>
      <c r="Q577" s="42">
        <f>IF(H577="","",(H577-F577)*24)</f>
        <v/>
      </c>
      <c r="R577" s="42">
        <f>IF(J577="","",(J577-H577)*24)</f>
        <v/>
      </c>
    </row>
    <row r="578" ht="15" customHeight="1" s="24">
      <c r="A578" s="27" t="n">
        <v>818660</v>
      </c>
      <c r="B578" s="27" t="inlineStr">
        <is>
          <t>PGO10818660</t>
        </is>
      </c>
      <c r="C578" s="27" t="n">
        <v>1</v>
      </c>
      <c r="D578" s="27" t="n">
        <v>3547</v>
      </c>
      <c r="E578" s="27" t="n">
        <v>172</v>
      </c>
      <c r="F578" s="41" t="n">
        <v>45922.39703171296</v>
      </c>
      <c r="G578" s="41" t="n">
        <v>45922.95386084491</v>
      </c>
      <c r="H578" s="41" t="n">
        <v>45923.80579212963</v>
      </c>
      <c r="I578" s="41" t="n">
        <v>45923.86457119213</v>
      </c>
      <c r="J578" s="41" t="n">
        <v>45926.6140196412</v>
      </c>
      <c r="K578" s="27" t="inlineStr">
        <is>
          <t>Collected</t>
        </is>
      </c>
      <c r="L578" s="27" t="inlineStr">
        <is>
          <t>Standard</t>
        </is>
      </c>
      <c r="M578" s="27" t="inlineStr">
        <is>
          <t>Limpopo</t>
        </is>
      </c>
      <c r="N578" s="27" t="n">
        <v>286.02</v>
      </c>
      <c r="O578" s="27" t="n">
        <v>0.64</v>
      </c>
      <c r="P578" s="27" t="n">
        <v>44.4</v>
      </c>
      <c r="Q578" s="42">
        <f>IF(H578="","",(H578-F578)*24)</f>
        <v/>
      </c>
      <c r="R578" s="42">
        <f>IF(J578="","",(J578-H578)*24)</f>
        <v/>
      </c>
    </row>
    <row r="579" ht="15" customHeight="1" s="24">
      <c r="A579" s="27" t="n">
        <v>790560</v>
      </c>
      <c r="B579" s="27" t="inlineStr">
        <is>
          <t>PGO10790560</t>
        </is>
      </c>
      <c r="C579" s="27" t="n">
        <v>27</v>
      </c>
      <c r="D579" s="27" t="n">
        <v>3106</v>
      </c>
      <c r="E579" s="27" t="n">
        <v>149</v>
      </c>
      <c r="F579" s="41" t="n">
        <v>45924.24937607639</v>
      </c>
      <c r="G579" s="41" t="n">
        <v>45924.32991445602</v>
      </c>
      <c r="H579" s="41" t="n">
        <v>45925.94237902778</v>
      </c>
      <c r="I579" s="41" t="n">
        <v>45925.99265607639</v>
      </c>
      <c r="J579" s="41" t="n">
        <v>45928.53344559028</v>
      </c>
      <c r="K579" s="27" t="inlineStr">
        <is>
          <t>Collected</t>
        </is>
      </c>
      <c r="L579" s="27" t="inlineStr">
        <is>
          <t>Standard</t>
        </is>
      </c>
      <c r="M579" s="27" t="inlineStr">
        <is>
          <t>Eastern Cape</t>
        </is>
      </c>
      <c r="N579" s="27" t="n">
        <v>482.57</v>
      </c>
      <c r="O579" s="27" t="n">
        <v>3.58</v>
      </c>
      <c r="P579" s="27" t="n">
        <v>60.07</v>
      </c>
      <c r="Q579" s="42">
        <f>IF(H579="","",(H579-F579)*24)</f>
        <v/>
      </c>
      <c r="R579" s="42">
        <f>IF(J579="","",(J579-H579)*24)</f>
        <v/>
      </c>
    </row>
    <row r="580" ht="15" customHeight="1" s="24">
      <c r="A580" s="27" t="n">
        <v>805152</v>
      </c>
      <c r="B580" s="27" t="inlineStr">
        <is>
          <t>PGO10805152</t>
        </is>
      </c>
      <c r="C580" s="27" t="n">
        <v>1</v>
      </c>
      <c r="D580" s="27" t="n">
        <v>972</v>
      </c>
      <c r="E580" s="27" t="n">
        <v>237</v>
      </c>
      <c r="F580" s="41" t="n">
        <v>45924.64673063657</v>
      </c>
      <c r="G580" s="41" t="n">
        <v>45924.81834840278</v>
      </c>
      <c r="H580" s="41" t="n">
        <v>45925.46932130787</v>
      </c>
      <c r="I580" s="41" t="n">
        <v>45925.48522185185</v>
      </c>
      <c r="J580" s="41" t="n">
        <v>45927.69838805556</v>
      </c>
      <c r="K580" s="27" t="inlineStr">
        <is>
          <t>Collected</t>
        </is>
      </c>
      <c r="L580" s="27" t="inlineStr">
        <is>
          <t>Standard</t>
        </is>
      </c>
      <c r="M580" s="27" t="inlineStr">
        <is>
          <t>KwaZulu-Natal</t>
        </is>
      </c>
      <c r="N580" s="27" t="n">
        <v>361.24</v>
      </c>
      <c r="O580" s="27" t="n">
        <v>0.93</v>
      </c>
      <c r="P580" s="27" t="n">
        <v>47.25</v>
      </c>
      <c r="Q580" s="42">
        <f>IF(H580="","",(H580-F580)*24)</f>
        <v/>
      </c>
      <c r="R580" s="42">
        <f>IF(J580="","",(J580-H580)*24)</f>
        <v/>
      </c>
    </row>
    <row r="581" ht="15" customHeight="1" s="24">
      <c r="A581" s="27" t="n">
        <v>820290</v>
      </c>
      <c r="B581" s="27" t="inlineStr">
        <is>
          <t>PGO10820290</t>
        </is>
      </c>
      <c r="C581" s="27" t="n">
        <v>1</v>
      </c>
      <c r="D581" s="27" t="n">
        <v>988</v>
      </c>
      <c r="E581" s="27" t="n">
        <v>21</v>
      </c>
      <c r="F581" s="41" t="n">
        <v>45924.71809443287</v>
      </c>
      <c r="G581" s="41" t="n">
        <v>45924.76608675926</v>
      </c>
      <c r="H581" s="41" t="n">
        <v>45925.12221986111</v>
      </c>
      <c r="I581" s="41" t="n">
        <v>45925.15589267361</v>
      </c>
      <c r="J581" s="41" t="n">
        <v>45925.50997224537</v>
      </c>
      <c r="K581" s="27" t="inlineStr">
        <is>
          <t>Collected</t>
        </is>
      </c>
      <c r="L581" s="27" t="inlineStr">
        <is>
          <t>Standard</t>
        </is>
      </c>
      <c r="M581" s="27" t="inlineStr">
        <is>
          <t>KwaZulu-Natal</t>
        </is>
      </c>
      <c r="N581" s="27" t="n">
        <v>1382.11</v>
      </c>
      <c r="O581" s="27" t="n">
        <v>0.63</v>
      </c>
      <c r="P581" s="27" t="n">
        <v>47.51</v>
      </c>
      <c r="Q581" s="42">
        <f>IF(H581="","",(H581-F581)*24)</f>
        <v/>
      </c>
      <c r="R581" s="42">
        <f>IF(J581="","",(J581-H581)*24)</f>
        <v/>
      </c>
    </row>
    <row r="582" ht="15" customHeight="1" s="24">
      <c r="A582" s="27" t="n">
        <v>815423</v>
      </c>
      <c r="B582" s="27" t="inlineStr">
        <is>
          <t>PGO10815423</t>
        </is>
      </c>
      <c r="C582" s="27" t="n">
        <v>3</v>
      </c>
      <c r="D582" s="27" t="n">
        <v>454</v>
      </c>
      <c r="E582" s="27" t="n">
        <v>434</v>
      </c>
      <c r="F582" s="41" t="n">
        <v>45925.26591386574</v>
      </c>
      <c r="G582" s="41" t="n">
        <v>45925.47384041666</v>
      </c>
      <c r="H582" s="41" t="n">
        <v>45927.28780050926</v>
      </c>
      <c r="I582" s="41" t="n">
        <v>45927.31049915509</v>
      </c>
      <c r="J582" s="41" t="n">
        <v>45929.30580717592</v>
      </c>
      <c r="K582" s="27" t="inlineStr">
        <is>
          <t>Collected</t>
        </is>
      </c>
      <c r="L582" s="27" t="inlineStr">
        <is>
          <t>Standard</t>
        </is>
      </c>
      <c r="M582" s="27" t="inlineStr">
        <is>
          <t>Mpumalanga</t>
        </is>
      </c>
      <c r="N582" s="27" t="n">
        <v>503.83</v>
      </c>
      <c r="O582" s="27" t="n">
        <v>6.39</v>
      </c>
      <c r="P582" s="27" t="n">
        <v>56.52</v>
      </c>
      <c r="Q582" s="42">
        <f>IF(H582="","",(H582-F582)*24)</f>
        <v/>
      </c>
      <c r="R582" s="42">
        <f>IF(J582="","",(J582-H582)*24)</f>
        <v/>
      </c>
    </row>
    <row r="583" ht="15" customHeight="1" s="24">
      <c r="A583" s="27" t="n">
        <v>796305</v>
      </c>
      <c r="B583" s="27" t="inlineStr">
        <is>
          <t>PGO10796305</t>
        </is>
      </c>
      <c r="C583" s="27" t="n">
        <v>110</v>
      </c>
      <c r="D583" s="27" t="n">
        <v>1508</v>
      </c>
      <c r="E583" s="27" t="n">
        <v>116</v>
      </c>
      <c r="F583" s="41" t="n">
        <v>45926.04924141204</v>
      </c>
      <c r="G583" s="41" t="n">
        <v>45926.15571283565</v>
      </c>
      <c r="H583" s="41" t="n">
        <v>45926.59364295139</v>
      </c>
      <c r="I583" s="41" t="n">
        <v>45926.62192456018</v>
      </c>
      <c r="J583" s="41" t="n">
        <v>45930.32111946759</v>
      </c>
      <c r="K583" s="27" t="inlineStr">
        <is>
          <t>Collected</t>
        </is>
      </c>
      <c r="L583" s="27" t="inlineStr">
        <is>
          <t>Standard</t>
        </is>
      </c>
      <c r="M583" s="27" t="inlineStr">
        <is>
          <t>Gauteng</t>
        </is>
      </c>
      <c r="N583" s="27" t="n">
        <v>504.48</v>
      </c>
      <c r="O583" s="27" t="n">
        <v>0.86</v>
      </c>
      <c r="P583" s="27" t="n">
        <v>70.31999999999999</v>
      </c>
      <c r="Q583" s="42">
        <f>IF(H583="","",(H583-F583)*24)</f>
        <v/>
      </c>
      <c r="R583" s="42">
        <f>IF(J583="","",(J583-H583)*24)</f>
        <v/>
      </c>
    </row>
    <row r="584" ht="15" customHeight="1" s="24">
      <c r="A584" s="27" t="n">
        <v>809578</v>
      </c>
      <c r="B584" s="27" t="inlineStr">
        <is>
          <t>PGO10809578</t>
        </is>
      </c>
      <c r="C584" s="27" t="n">
        <v>1</v>
      </c>
      <c r="D584" s="27" t="n">
        <v>1702</v>
      </c>
      <c r="E584" s="27" t="n">
        <v>143</v>
      </c>
      <c r="F584" s="41" t="n">
        <v>45926.77189328703</v>
      </c>
      <c r="G584" s="41" t="n">
        <v>45927.24200959491</v>
      </c>
      <c r="H584" s="41" t="n">
        <v>45928.64898960648</v>
      </c>
      <c r="I584" s="41" t="n">
        <v>45928.69558944445</v>
      </c>
      <c r="J584" s="41" t="n">
        <v>45928.9135471412</v>
      </c>
      <c r="K584" s="27" t="inlineStr">
        <is>
          <t>Collected</t>
        </is>
      </c>
      <c r="L584" s="27" t="inlineStr">
        <is>
          <t>Standard</t>
        </is>
      </c>
      <c r="M584" s="27" t="inlineStr">
        <is>
          <t>Eastern Cape</t>
        </is>
      </c>
      <c r="N584" s="27" t="n">
        <v>177.3</v>
      </c>
      <c r="O584" s="27" t="n">
        <v>0.79</v>
      </c>
      <c r="P584" s="27" t="n">
        <v>48.22</v>
      </c>
      <c r="Q584" s="42">
        <f>IF(H584="","",(H584-F584)*24)</f>
        <v/>
      </c>
      <c r="R584" s="42">
        <f>IF(J584="","",(J584-H584)*24)</f>
        <v/>
      </c>
    </row>
    <row r="585" ht="15" customHeight="1" s="24">
      <c r="A585" s="27" t="n">
        <v>822415</v>
      </c>
      <c r="B585" s="27" t="inlineStr">
        <is>
          <t>PGO10822415</t>
        </is>
      </c>
      <c r="C585" s="27" t="n">
        <v>13</v>
      </c>
      <c r="D585" s="27" t="n">
        <v>2823</v>
      </c>
      <c r="E585" s="27" t="n">
        <v>461</v>
      </c>
      <c r="F585" s="41" t="n">
        <v>45928.12207833333</v>
      </c>
      <c r="G585" s="41" t="n">
        <v>45928.46652128472</v>
      </c>
      <c r="H585" s="41" t="n">
        <v>45928.91113097222</v>
      </c>
      <c r="I585" s="41" t="n">
        <v>45928.93150094907</v>
      </c>
      <c r="J585" s="41" t="n">
        <v>45930.40639162037</v>
      </c>
      <c r="K585" s="27" t="inlineStr">
        <is>
          <t>Collected</t>
        </is>
      </c>
      <c r="L585" s="27" t="inlineStr">
        <is>
          <t>Express</t>
        </is>
      </c>
      <c r="M585" s="27" t="inlineStr">
        <is>
          <t>Eastern Cape</t>
        </is>
      </c>
      <c r="N585" s="27" t="n">
        <v>93.98</v>
      </c>
      <c r="O585" s="27" t="n">
        <v>0.27</v>
      </c>
      <c r="P585" s="27" t="n">
        <v>63.65</v>
      </c>
      <c r="Q585" s="42">
        <f>IF(H585="","",(H585-F585)*24)</f>
        <v/>
      </c>
      <c r="R585" s="42">
        <f>IF(J585="","",(J585-H585)*24)</f>
        <v/>
      </c>
    </row>
    <row r="586" ht="15" customHeight="1" s="24">
      <c r="A586" s="27" t="n">
        <v>788896</v>
      </c>
      <c r="B586" s="27" t="inlineStr">
        <is>
          <t>PGO10788896</t>
        </is>
      </c>
      <c r="C586" s="27" t="n">
        <v>35</v>
      </c>
      <c r="D586" s="27" t="n">
        <v>1909</v>
      </c>
      <c r="E586" s="27" t="n">
        <v>238</v>
      </c>
      <c r="F586" s="41" t="n">
        <v>45929.19120027778</v>
      </c>
      <c r="G586" s="41" t="n">
        <v>45929.45001179398</v>
      </c>
      <c r="H586" s="41" t="n">
        <v>45930.67876769676</v>
      </c>
      <c r="I586" s="41" t="n">
        <v>45930.73693765046</v>
      </c>
      <c r="J586" s="41" t="n">
        <v>45930.82653180556</v>
      </c>
      <c r="K586" s="27" t="inlineStr">
        <is>
          <t>Collected</t>
        </is>
      </c>
      <c r="L586" s="27" t="inlineStr">
        <is>
          <t>Standard</t>
        </is>
      </c>
      <c r="M586" s="27" t="inlineStr">
        <is>
          <t>Limpopo</t>
        </is>
      </c>
      <c r="N586" s="27" t="n">
        <v>33.38</v>
      </c>
      <c r="O586" s="27" t="n">
        <v>0.48</v>
      </c>
      <c r="P586" s="27" t="n">
        <v>40.68</v>
      </c>
      <c r="Q586" s="42">
        <f>IF(H586="","",(H586-F586)*24)</f>
        <v/>
      </c>
      <c r="R586" s="42">
        <f>IF(J586="","",(J586-H586)*24)</f>
        <v/>
      </c>
    </row>
    <row r="587" ht="15" customHeight="1" s="24">
      <c r="A587" s="27" t="n">
        <v>809873</v>
      </c>
      <c r="B587" s="27" t="inlineStr">
        <is>
          <t>PGO10809873</t>
        </is>
      </c>
      <c r="C587" s="27" t="n">
        <v>22</v>
      </c>
      <c r="D587" s="27" t="n">
        <v>3484</v>
      </c>
      <c r="E587" s="27" t="n">
        <v>287</v>
      </c>
      <c r="F587" s="41" t="n">
        <v>45930.75986972222</v>
      </c>
      <c r="G587" s="41" t="n">
        <v>45931.26818361111</v>
      </c>
      <c r="H587" s="41" t="n">
        <v>45931.64543510417</v>
      </c>
      <c r="I587" s="41" t="n">
        <v>45931.67878268519</v>
      </c>
      <c r="J587" s="41" t="n">
        <v>45931.9818403125</v>
      </c>
      <c r="K587" s="27" t="inlineStr">
        <is>
          <t>Damaged</t>
        </is>
      </c>
      <c r="L587" s="27" t="inlineStr">
        <is>
          <t>Standard</t>
        </is>
      </c>
      <c r="M587" s="27" t="inlineStr">
        <is>
          <t>Limpopo</t>
        </is>
      </c>
      <c r="N587" s="27" t="n">
        <v>672.8099999999999</v>
      </c>
      <c r="O587" s="27" t="n">
        <v>1.59</v>
      </c>
      <c r="P587" s="27" t="n">
        <v>55.81</v>
      </c>
      <c r="Q587" s="42">
        <f>IF(H587="","",(H587-F587)*24)</f>
        <v/>
      </c>
      <c r="R587" s="42">
        <f>IF(J587="","",(J587-H587)*24)</f>
        <v/>
      </c>
    </row>
    <row r="588" ht="15" customHeight="1" s="24">
      <c r="A588" s="27" t="n">
        <v>851214</v>
      </c>
      <c r="B588" s="27" t="inlineStr">
        <is>
          <t>PGO10851214</t>
        </is>
      </c>
      <c r="C588" s="27" t="n">
        <v>5</v>
      </c>
      <c r="D588" s="27" t="n">
        <v>921</v>
      </c>
      <c r="E588" s="27" t="n">
        <v>115</v>
      </c>
      <c r="F588" s="41" t="n">
        <v>45932.18710612268</v>
      </c>
      <c r="G588" s="41" t="n">
        <v>45932.45592721065</v>
      </c>
      <c r="H588" s="41" t="n">
        <v>45933.16020126158</v>
      </c>
      <c r="I588" s="41" t="n">
        <v>45933.20685976852</v>
      </c>
      <c r="J588" s="41" t="n">
        <v>45936.33331734953</v>
      </c>
      <c r="K588" s="27" t="inlineStr">
        <is>
          <t>Collected</t>
        </is>
      </c>
      <c r="L588" s="27" t="inlineStr">
        <is>
          <t>Express</t>
        </is>
      </c>
      <c r="M588" s="27" t="inlineStr">
        <is>
          <t>Eastern Cape</t>
        </is>
      </c>
      <c r="N588" s="27" t="n">
        <v>577.76</v>
      </c>
      <c r="O588" s="27" t="n">
        <v>0.6899999999999999</v>
      </c>
      <c r="P588" s="27" t="n">
        <v>56.51</v>
      </c>
      <c r="Q588" s="42">
        <f>IF(H588="","",(H588-F588)*24)</f>
        <v/>
      </c>
      <c r="R588" s="42">
        <f>IF(J588="","",(J588-H588)*24)</f>
        <v/>
      </c>
    </row>
    <row r="589" ht="15" customHeight="1" s="24">
      <c r="A589" s="27" t="n">
        <v>839562</v>
      </c>
      <c r="B589" s="27" t="inlineStr">
        <is>
          <t>PGO10839562</t>
        </is>
      </c>
      <c r="C589" s="27" t="n">
        <v>1</v>
      </c>
      <c r="D589" s="27" t="n">
        <v>3945</v>
      </c>
      <c r="E589" s="27" t="n">
        <v>496</v>
      </c>
      <c r="F589" s="41" t="n">
        <v>45933.09568334491</v>
      </c>
      <c r="G589" s="41" t="n">
        <v>45933.23845344908</v>
      </c>
      <c r="H589" s="41" t="n">
        <v>45933.65041547453</v>
      </c>
      <c r="I589" s="41" t="n">
        <v>45933.66099724537</v>
      </c>
      <c r="J589" s="41" t="n">
        <v>45935.80777153935</v>
      </c>
      <c r="K589" s="27" t="inlineStr">
        <is>
          <t>Collected</t>
        </is>
      </c>
      <c r="L589" s="27" t="inlineStr">
        <is>
          <t>Standard</t>
        </is>
      </c>
      <c r="M589" s="27" t="inlineStr">
        <is>
          <t>Gauteng</t>
        </is>
      </c>
      <c r="N589" s="27" t="n">
        <v>296.64</v>
      </c>
      <c r="O589" s="27" t="n">
        <v>2.14</v>
      </c>
      <c r="P589" s="27" t="n">
        <v>45.06</v>
      </c>
      <c r="Q589" s="42">
        <f>IF(H589="","",(H589-F589)*24)</f>
        <v/>
      </c>
      <c r="R589" s="42">
        <f>IF(J589="","",(J589-H589)*24)</f>
        <v/>
      </c>
    </row>
    <row r="590" ht="15" customHeight="1" s="24">
      <c r="A590" s="27" t="n">
        <v>828047</v>
      </c>
      <c r="B590" s="27" t="inlineStr">
        <is>
          <t>PGO10828047</t>
        </is>
      </c>
      <c r="C590" s="27" t="n">
        <v>45</v>
      </c>
      <c r="D590" s="27" t="n">
        <v>2267</v>
      </c>
      <c r="E590" s="27" t="n">
        <v>391</v>
      </c>
      <c r="F590" s="41" t="n">
        <v>45933.30703737269</v>
      </c>
      <c r="G590" s="41" t="n">
        <v>45933.68892763889</v>
      </c>
      <c r="H590" s="41" t="n">
        <v>45934.73668131945</v>
      </c>
      <c r="I590" s="41" t="n">
        <v>45934.77331354166</v>
      </c>
      <c r="J590" s="41" t="n">
        <v>45935.40325399306</v>
      </c>
      <c r="K590" s="27" t="inlineStr">
        <is>
          <t>Collected</t>
        </is>
      </c>
      <c r="L590" s="27" t="inlineStr">
        <is>
          <t>Standard</t>
        </is>
      </c>
      <c r="M590" s="27" t="inlineStr">
        <is>
          <t>Eastern Cape</t>
        </is>
      </c>
      <c r="N590" s="27" t="n">
        <v>326.27</v>
      </c>
      <c r="O590" s="27" t="n">
        <v>1.34</v>
      </c>
      <c r="P590" s="27" t="n">
        <v>66.47</v>
      </c>
      <c r="Q590" s="42">
        <f>IF(H590="","",(H590-F590)*24)</f>
        <v/>
      </c>
      <c r="R590" s="42">
        <f>IF(J590="","",(J590-H590)*24)</f>
        <v/>
      </c>
    </row>
    <row r="591" ht="15" customHeight="1" s="24">
      <c r="A591" s="27" t="n">
        <v>831328</v>
      </c>
      <c r="B591" s="27" t="inlineStr">
        <is>
          <t>PGO10831328</t>
        </is>
      </c>
      <c r="C591" s="27" t="n">
        <v>97</v>
      </c>
      <c r="D591" s="27" t="n">
        <v>3939</v>
      </c>
      <c r="E591" s="27" t="n">
        <v>407</v>
      </c>
      <c r="F591" s="41" t="n">
        <v>45933.82625009259</v>
      </c>
      <c r="G591" s="41" t="n">
        <v>45933.9143028125</v>
      </c>
      <c r="H591" s="41" t="n">
        <v>45934.8834609375</v>
      </c>
      <c r="I591" s="41" t="n">
        <v>45934.91167391204</v>
      </c>
      <c r="J591" s="41" t="n">
        <v>45936.58780456019</v>
      </c>
      <c r="K591" s="27" t="inlineStr">
        <is>
          <t>Collected</t>
        </is>
      </c>
      <c r="L591" s="27" t="inlineStr">
        <is>
          <t>Return-to-Retailer</t>
        </is>
      </c>
      <c r="M591" s="27" t="inlineStr">
        <is>
          <t>Northern Cape</t>
        </is>
      </c>
      <c r="N591" s="27" t="n">
        <v>249.85</v>
      </c>
      <c r="O591" s="27" t="n">
        <v>0.67</v>
      </c>
      <c r="P591" s="27" t="n">
        <v>45.18</v>
      </c>
      <c r="Q591" s="42">
        <f>IF(H591="","",(H591-F591)*24)</f>
        <v/>
      </c>
      <c r="R591" s="42">
        <f>IF(J591="","",(J591-H591)*24)</f>
        <v/>
      </c>
    </row>
    <row r="592" ht="15" customHeight="1" s="24">
      <c r="A592" s="27" t="n">
        <v>826212</v>
      </c>
      <c r="B592" s="27" t="inlineStr">
        <is>
          <t>PGO10826212</t>
        </is>
      </c>
      <c r="C592" s="27" t="n">
        <v>3</v>
      </c>
      <c r="D592" s="27" t="n">
        <v>1742</v>
      </c>
      <c r="E592" s="27" t="n">
        <v>457</v>
      </c>
      <c r="F592" s="41" t="n">
        <v>45935.07964822917</v>
      </c>
      <c r="G592" s="41" t="n">
        <v>45935.67889961805</v>
      </c>
      <c r="H592" s="41" t="n">
        <v>45936.76568435185</v>
      </c>
      <c r="I592" s="41" t="n">
        <v>45936.81964422454</v>
      </c>
      <c r="J592" s="41" t="n">
        <v>45937.78419674769</v>
      </c>
      <c r="K592" s="27" t="inlineStr">
        <is>
          <t>Collected</t>
        </is>
      </c>
      <c r="L592" s="27" t="inlineStr">
        <is>
          <t>Standard</t>
        </is>
      </c>
      <c r="M592" s="27" t="inlineStr">
        <is>
          <t>Gauteng</t>
        </is>
      </c>
      <c r="N592" s="27" t="n">
        <v>110.55</v>
      </c>
      <c r="O592" s="27" t="n">
        <v>0.47</v>
      </c>
      <c r="P592" s="27" t="n">
        <v>39.22</v>
      </c>
      <c r="Q592" s="42">
        <f>IF(H592="","",(H592-F592)*24)</f>
        <v/>
      </c>
      <c r="R592" s="42">
        <f>IF(J592="","",(J592-H592)*24)</f>
        <v/>
      </c>
    </row>
    <row r="593" ht="15" customHeight="1" s="24">
      <c r="A593" s="27" t="n">
        <v>853153</v>
      </c>
      <c r="B593" s="27" t="inlineStr">
        <is>
          <t>PGO10853153</t>
        </is>
      </c>
      <c r="C593" s="27" t="n">
        <v>137</v>
      </c>
      <c r="D593" s="27" t="n">
        <v>2356</v>
      </c>
      <c r="E593" s="27" t="n">
        <v>139</v>
      </c>
      <c r="F593" s="41" t="n">
        <v>45935.14322586806</v>
      </c>
      <c r="G593" s="41" t="n">
        <v>45935.53667635417</v>
      </c>
      <c r="H593" s="41" t="n">
        <v>45936.07553263889</v>
      </c>
      <c r="I593" s="41" t="n">
        <v>45936.13338607639</v>
      </c>
      <c r="J593" s="41" t="n">
        <v>45938.93870467593</v>
      </c>
      <c r="K593" s="27" t="inlineStr">
        <is>
          <t>Collected</t>
        </is>
      </c>
      <c r="L593" s="27" t="inlineStr">
        <is>
          <t>Return-to-Retailer</t>
        </is>
      </c>
      <c r="M593" s="27" t="inlineStr">
        <is>
          <t>Gauteng</t>
        </is>
      </c>
      <c r="N593" s="27" t="n">
        <v>484.94</v>
      </c>
      <c r="O593" s="27" t="n">
        <v>0.63</v>
      </c>
      <c r="P593" s="27" t="n">
        <v>74.31999999999999</v>
      </c>
      <c r="Q593" s="42">
        <f>IF(H593="","",(H593-F593)*24)</f>
        <v/>
      </c>
      <c r="R593" s="42">
        <f>IF(J593="","",(J593-H593)*24)</f>
        <v/>
      </c>
    </row>
    <row r="594" ht="15" customHeight="1" s="24">
      <c r="A594" s="27" t="n">
        <v>827714</v>
      </c>
      <c r="B594" s="27" t="inlineStr">
        <is>
          <t>PGO10827714</t>
        </is>
      </c>
      <c r="C594" s="27" t="n">
        <v>58</v>
      </c>
      <c r="D594" s="27" t="n">
        <v>3614</v>
      </c>
      <c r="E594" s="27" t="n">
        <v>56</v>
      </c>
      <c r="F594" s="41" t="n">
        <v>45936.62473616898</v>
      </c>
      <c r="G594" s="41" t="n">
        <v>45936.81644939815</v>
      </c>
      <c r="H594" s="41" t="n">
        <v>45937.84911584491</v>
      </c>
      <c r="I594" s="41" t="n">
        <v>45937.85648469908</v>
      </c>
      <c r="J594" s="41" t="n">
        <v>45938.64508965277</v>
      </c>
      <c r="K594" s="27" t="inlineStr">
        <is>
          <t>Collected</t>
        </is>
      </c>
      <c r="L594" s="27" t="inlineStr">
        <is>
          <t>Standard</t>
        </is>
      </c>
      <c r="M594" s="27" t="inlineStr">
        <is>
          <t>Mpumalanga</t>
        </is>
      </c>
      <c r="N594" s="27" t="n">
        <v>66.38</v>
      </c>
      <c r="O594" s="27" t="n">
        <v>1.62</v>
      </c>
      <c r="P594" s="27" t="n">
        <v>44.7</v>
      </c>
      <c r="Q594" s="42">
        <f>IF(H594="","",(H594-F594)*24)</f>
        <v/>
      </c>
      <c r="R594" s="42">
        <f>IF(J594="","",(J594-H594)*24)</f>
        <v/>
      </c>
    </row>
    <row r="595" ht="15" customHeight="1" s="24">
      <c r="A595" s="27" t="n">
        <v>857601</v>
      </c>
      <c r="B595" s="27" t="inlineStr">
        <is>
          <t>PGO10857601</t>
        </is>
      </c>
      <c r="C595" s="27" t="n">
        <v>13</v>
      </c>
      <c r="D595" s="27" t="n">
        <v>372</v>
      </c>
      <c r="E595" s="27" t="n">
        <v>6</v>
      </c>
      <c r="F595" s="41" t="n">
        <v>45936.75300733796</v>
      </c>
      <c r="G595" s="41" t="n">
        <v>45936.96107513889</v>
      </c>
      <c r="H595" s="41" t="n">
        <v>45937.41343123843</v>
      </c>
      <c r="I595" s="41" t="n">
        <v>45937.44084371527</v>
      </c>
      <c r="J595" s="41" t="n">
        <v>45937.52943765046</v>
      </c>
      <c r="K595" s="27" t="inlineStr">
        <is>
          <t>Collected</t>
        </is>
      </c>
      <c r="L595" s="27" t="inlineStr">
        <is>
          <t>Standard</t>
        </is>
      </c>
      <c r="M595" s="27" t="inlineStr">
        <is>
          <t>Eastern Cape</t>
        </is>
      </c>
      <c r="N595" s="27" t="n">
        <v>474.65</v>
      </c>
      <c r="O595" s="27" t="n">
        <v>1.78</v>
      </c>
      <c r="P595" s="27" t="n">
        <v>62.59</v>
      </c>
      <c r="Q595" s="42">
        <f>IF(H595="","",(H595-F595)*24)</f>
        <v/>
      </c>
      <c r="R595" s="42">
        <f>IF(J595="","",(J595-H595)*24)</f>
        <v/>
      </c>
    </row>
    <row r="596" ht="15" customHeight="1" s="24">
      <c r="A596" s="27" t="n">
        <v>853419</v>
      </c>
      <c r="B596" s="27" t="inlineStr">
        <is>
          <t>PGO10853419</t>
        </is>
      </c>
      <c r="C596" s="27" t="n">
        <v>6</v>
      </c>
      <c r="D596" s="27" t="n">
        <v>243</v>
      </c>
      <c r="E596" s="27" t="n">
        <v>150</v>
      </c>
      <c r="F596" s="41" t="n">
        <v>45937.62508685185</v>
      </c>
      <c r="G596" s="41" t="n">
        <v>45937.71953570602</v>
      </c>
      <c r="H596" s="41" t="n">
        <v>45938.63583145833</v>
      </c>
      <c r="I596" s="41" t="n">
        <v>45938.64351534722</v>
      </c>
      <c r="J596" s="41" t="n">
        <v>45940.50641725695</v>
      </c>
      <c r="K596" s="27" t="inlineStr">
        <is>
          <t>Collected</t>
        </is>
      </c>
      <c r="L596" s="27" t="inlineStr">
        <is>
          <t>Standard</t>
        </is>
      </c>
      <c r="M596" s="27" t="inlineStr">
        <is>
          <t>Western Cape</t>
        </is>
      </c>
      <c r="N596" s="27" t="n">
        <v>623.97</v>
      </c>
      <c r="O596" s="27" t="n">
        <v>1.27</v>
      </c>
      <c r="P596" s="27" t="n">
        <v>41.47</v>
      </c>
      <c r="Q596" s="42">
        <f>IF(H596="","",(H596-F596)*24)</f>
        <v/>
      </c>
      <c r="R596" s="42">
        <f>IF(J596="","",(J596-H596)*24)</f>
        <v/>
      </c>
    </row>
    <row r="597" ht="15" customHeight="1" s="24">
      <c r="A597" s="27" t="n">
        <v>826231</v>
      </c>
      <c r="B597" s="27" t="inlineStr">
        <is>
          <t>PGO10826231</t>
        </is>
      </c>
      <c r="C597" s="27" t="n">
        <v>65</v>
      </c>
      <c r="D597" s="27" t="n">
        <v>2664</v>
      </c>
      <c r="E597" s="27" t="n">
        <v>288</v>
      </c>
      <c r="F597" s="41" t="n">
        <v>45937.67870311342</v>
      </c>
      <c r="G597" s="41" t="n">
        <v>45937.88110104167</v>
      </c>
      <c r="H597" s="41" t="n">
        <v>45938.63399577546</v>
      </c>
      <c r="I597" s="41" t="n">
        <v>45938.69605807871</v>
      </c>
      <c r="J597" s="41" t="n">
        <v>45943.28445875</v>
      </c>
      <c r="K597" s="27" t="inlineStr">
        <is>
          <t>Collected</t>
        </is>
      </c>
      <c r="L597" s="27" t="inlineStr">
        <is>
          <t>Standard</t>
        </is>
      </c>
      <c r="M597" s="27" t="inlineStr">
        <is>
          <t>Mpumalanga</t>
        </is>
      </c>
      <c r="N597" s="27" t="n">
        <v>363.49</v>
      </c>
      <c r="O597" s="27" t="n">
        <v>0.54</v>
      </c>
      <c r="P597" s="27" t="n">
        <v>56.33</v>
      </c>
      <c r="Q597" s="42">
        <f>IF(H597="","",(H597-F597)*24)</f>
        <v/>
      </c>
      <c r="R597" s="42">
        <f>IF(J597="","",(J597-H597)*24)</f>
        <v/>
      </c>
    </row>
    <row r="598" ht="15" customHeight="1" s="24">
      <c r="A598" s="27" t="n">
        <v>841222</v>
      </c>
      <c r="B598" s="27" t="inlineStr">
        <is>
          <t>PGO10841222</t>
        </is>
      </c>
      <c r="C598" s="27" t="n">
        <v>2</v>
      </c>
      <c r="D598" s="27" t="n">
        <v>907</v>
      </c>
      <c r="E598" s="27" t="n">
        <v>83</v>
      </c>
      <c r="F598" s="41" t="n">
        <v>45941.12743462963</v>
      </c>
      <c r="G598" s="41" t="n">
        <v>45941.19375165509</v>
      </c>
      <c r="H598" s="41" t="n">
        <v>45942.14017334491</v>
      </c>
      <c r="I598" s="41" t="n">
        <v>45942.19705474537</v>
      </c>
      <c r="J598" s="41" t="n">
        <v>45942.84141447917</v>
      </c>
      <c r="K598" s="27" t="inlineStr">
        <is>
          <t>Collected</t>
        </is>
      </c>
      <c r="L598" s="27" t="inlineStr">
        <is>
          <t>Express</t>
        </is>
      </c>
      <c r="M598" s="27" t="inlineStr">
        <is>
          <t>KwaZulu-Natal</t>
        </is>
      </c>
      <c r="N598" s="27" t="n">
        <v>304.87</v>
      </c>
      <c r="O598" s="27" t="n">
        <v>1.59</v>
      </c>
      <c r="P598" s="27" t="n">
        <v>48.33</v>
      </c>
      <c r="Q598" s="42">
        <f>IF(H598="","",(H598-F598)*24)</f>
        <v/>
      </c>
      <c r="R598" s="42">
        <f>IF(J598="","",(J598-H598)*24)</f>
        <v/>
      </c>
    </row>
    <row r="599" ht="15" customHeight="1" s="24">
      <c r="A599" s="27" t="n">
        <v>834710</v>
      </c>
      <c r="B599" s="27" t="inlineStr">
        <is>
          <t>PGO10834710</t>
        </is>
      </c>
      <c r="C599" s="27" t="n">
        <v>12</v>
      </c>
      <c r="D599" s="27" t="n">
        <v>2435</v>
      </c>
      <c r="E599" s="27" t="n">
        <v>174</v>
      </c>
      <c r="F599" s="41" t="n">
        <v>45946.64790983796</v>
      </c>
      <c r="G599" s="41" t="n">
        <v>45946.76688979167</v>
      </c>
      <c r="H599" s="41" t="n">
        <v>45947.15818137732</v>
      </c>
      <c r="I599" s="41" t="n">
        <v>45947.18903623843</v>
      </c>
      <c r="J599" s="41" t="n">
        <v>45948.98266824074</v>
      </c>
      <c r="K599" s="27" t="inlineStr">
        <is>
          <t>Collected</t>
        </is>
      </c>
      <c r="L599" s="27" t="inlineStr">
        <is>
          <t>Standard</t>
        </is>
      </c>
      <c r="M599" s="27" t="inlineStr">
        <is>
          <t>Gauteng</t>
        </is>
      </c>
      <c r="N599" s="27" t="n">
        <v>85.05</v>
      </c>
      <c r="O599" s="27" t="n">
        <v>1.91</v>
      </c>
      <c r="P599" s="27" t="n">
        <v>68.17</v>
      </c>
      <c r="Q599" s="42">
        <f>IF(H599="","",(H599-F599)*24)</f>
        <v/>
      </c>
      <c r="R599" s="42">
        <f>IF(J599="","",(J599-H599)*24)</f>
        <v/>
      </c>
    </row>
    <row r="600" ht="15" customHeight="1" s="24">
      <c r="A600" s="27" t="n">
        <v>843594</v>
      </c>
      <c r="B600" s="27" t="inlineStr">
        <is>
          <t>PGO10843594</t>
        </is>
      </c>
      <c r="C600" s="27" t="n">
        <v>23</v>
      </c>
      <c r="D600" s="27" t="n">
        <v>3311</v>
      </c>
      <c r="E600" s="27" t="n">
        <v>478</v>
      </c>
      <c r="F600" s="41" t="n">
        <v>45948.93010631944</v>
      </c>
      <c r="G600" s="41" t="n">
        <v>45949.06570769676</v>
      </c>
      <c r="H600" s="41" t="n">
        <v>45949.38593479167</v>
      </c>
      <c r="I600" s="41" t="n">
        <v>45949.41412306713</v>
      </c>
      <c r="J600" s="41" t="n">
        <v>45952.69191392361</v>
      </c>
      <c r="K600" s="27" t="inlineStr">
        <is>
          <t>Collected</t>
        </is>
      </c>
      <c r="L600" s="27" t="inlineStr">
        <is>
          <t>Return-to-Retailer</t>
        </is>
      </c>
      <c r="M600" s="27" t="inlineStr">
        <is>
          <t>Gauteng</t>
        </is>
      </c>
      <c r="N600" s="27" t="n">
        <v>359.77</v>
      </c>
      <c r="O600" s="27" t="n">
        <v>3.04</v>
      </c>
      <c r="P600" s="27" t="n">
        <v>50.7</v>
      </c>
      <c r="Q600" s="42">
        <f>IF(H600="","",(H600-F600)*24)</f>
        <v/>
      </c>
      <c r="R600" s="42">
        <f>IF(J600="","",(J600-H600)*24)</f>
        <v/>
      </c>
    </row>
    <row r="601" ht="15" customHeight="1" s="24">
      <c r="A601" s="27" t="n">
        <v>857913</v>
      </c>
      <c r="B601" s="27" t="inlineStr">
        <is>
          <t>PGO10857913</t>
        </is>
      </c>
      <c r="C601" s="27" t="n">
        <v>150</v>
      </c>
      <c r="D601" s="27" t="n">
        <v>47</v>
      </c>
      <c r="E601" s="27" t="n">
        <v>441</v>
      </c>
      <c r="F601" s="41" t="n">
        <v>45955.95137087963</v>
      </c>
      <c r="G601" s="41" t="n">
        <v>45956.1226125</v>
      </c>
      <c r="H601" s="41" t="n">
        <v>45957.30115891204</v>
      </c>
      <c r="I601" s="41" t="n">
        <v>45957.33924439815</v>
      </c>
      <c r="J601" s="41" t="n">
        <v>45957.79364319445</v>
      </c>
      <c r="K601" s="27" t="inlineStr">
        <is>
          <t>Collected</t>
        </is>
      </c>
      <c r="L601" s="27" t="inlineStr">
        <is>
          <t>Standard</t>
        </is>
      </c>
      <c r="M601" s="27" t="inlineStr">
        <is>
          <t>Northern Cape</t>
        </is>
      </c>
      <c r="N601" s="27" t="n">
        <v>774.65</v>
      </c>
      <c r="O601" s="27" t="n">
        <v>2.18</v>
      </c>
      <c r="P601" s="27" t="n">
        <v>56.26</v>
      </c>
      <c r="Q601" s="42">
        <f>IF(H601="","",(H601-F601)*24)</f>
        <v/>
      </c>
      <c r="R601" s="42">
        <f>IF(J601="","",(J601-H601)*24)</f>
        <v/>
      </c>
    </row>
    <row r="602" ht="15" customHeight="1" s="24">
      <c r="A602" s="27" t="n">
        <v>852124</v>
      </c>
      <c r="B602" s="27" t="inlineStr">
        <is>
          <t>PGO10852124</t>
        </is>
      </c>
      <c r="C602" s="27" t="n">
        <v>23</v>
      </c>
      <c r="D602" s="27" t="n">
        <v>1834</v>
      </c>
      <c r="E602" s="27" t="n">
        <v>39</v>
      </c>
      <c r="F602" s="41" t="n">
        <v>45957.39088614583</v>
      </c>
      <c r="G602" s="41" t="n">
        <v>45957.52401905093</v>
      </c>
      <c r="H602" s="41" t="n">
        <v>45958.31601040509</v>
      </c>
      <c r="I602" s="41" t="n">
        <v>45958.34618417824</v>
      </c>
      <c r="J602" s="41" t="n">
        <v>45959.69775480324</v>
      </c>
      <c r="K602" s="27" t="inlineStr">
        <is>
          <t>Collected</t>
        </is>
      </c>
      <c r="L602" s="27" t="inlineStr">
        <is>
          <t>Express</t>
        </is>
      </c>
      <c r="M602" s="27" t="inlineStr">
        <is>
          <t>Gauteng</t>
        </is>
      </c>
      <c r="N602" s="27" t="n">
        <v>122.09</v>
      </c>
      <c r="O602" s="27" t="n">
        <v>0.59</v>
      </c>
      <c r="P602" s="27" t="n">
        <v>50.07</v>
      </c>
      <c r="Q602" s="42">
        <f>IF(H602="","",(H602-F602)*24)</f>
        <v/>
      </c>
      <c r="R602" s="42">
        <f>IF(J602="","",(J602-H602)*24)</f>
        <v/>
      </c>
    </row>
    <row r="603" ht="15" customHeight="1" s="24">
      <c r="A603" s="27" t="n">
        <v>836519</v>
      </c>
      <c r="B603" s="27" t="inlineStr">
        <is>
          <t>PGO10836519</t>
        </is>
      </c>
      <c r="C603" s="27" t="n">
        <v>23</v>
      </c>
      <c r="D603" s="27" t="n">
        <v>2152</v>
      </c>
      <c r="E603" s="27" t="n">
        <v>150</v>
      </c>
      <c r="F603" s="41" t="n">
        <v>45958.5931478125</v>
      </c>
      <c r="G603" s="41" t="n">
        <v>45958.9275741551</v>
      </c>
      <c r="H603" s="41" t="n">
        <v>45959.53445373842</v>
      </c>
      <c r="I603" s="41" t="n">
        <v>45959.56221696759</v>
      </c>
      <c r="J603" s="41" t="n">
        <v>45959.71876037037</v>
      </c>
      <c r="K603" s="27" t="inlineStr">
        <is>
          <t>Collected</t>
        </is>
      </c>
      <c r="L603" s="27" t="inlineStr">
        <is>
          <t>Standard</t>
        </is>
      </c>
      <c r="M603" s="27" t="inlineStr">
        <is>
          <t>Western Cape</t>
        </is>
      </c>
      <c r="N603" s="27" t="n">
        <v>153.54</v>
      </c>
      <c r="O603" s="27" t="n">
        <v>0.98</v>
      </c>
      <c r="P603" s="27" t="n">
        <v>50.71</v>
      </c>
      <c r="Q603" s="42">
        <f>IF(H603="","",(H603-F603)*24)</f>
        <v/>
      </c>
      <c r="R603" s="42">
        <f>IF(J603="","",(J603-H603)*24)</f>
        <v/>
      </c>
    </row>
    <row r="604" ht="15" customHeight="1" s="24">
      <c r="A604" s="27" t="n">
        <v>857205</v>
      </c>
      <c r="B604" s="27" t="inlineStr">
        <is>
          <t>PGO10857205</t>
        </is>
      </c>
      <c r="C604" s="27" t="n">
        <v>146</v>
      </c>
      <c r="D604" s="27" t="n">
        <v>3090</v>
      </c>
      <c r="E604" s="27" t="n">
        <v>159</v>
      </c>
      <c r="F604" s="41" t="n">
        <v>45960.51619002315</v>
      </c>
      <c r="G604" s="41" t="n">
        <v>45960.73250887731</v>
      </c>
      <c r="H604" s="41" t="n">
        <v>45961.40542150463</v>
      </c>
      <c r="I604" s="41" t="n">
        <v>45961.4196540162</v>
      </c>
      <c r="J604" s="41" t="n">
        <v>45961.62727590278</v>
      </c>
      <c r="K604" s="27" t="inlineStr">
        <is>
          <t>Collected</t>
        </is>
      </c>
      <c r="L604" s="27" t="inlineStr">
        <is>
          <t>Standard</t>
        </is>
      </c>
      <c r="M604" s="27" t="inlineStr">
        <is>
          <t>Limpopo</t>
        </is>
      </c>
      <c r="N604" s="27" t="n">
        <v>266.46</v>
      </c>
      <c r="O604" s="27" t="n">
        <v>1.76</v>
      </c>
      <c r="P604" s="27" t="n">
        <v>63.34</v>
      </c>
      <c r="Q604" s="42">
        <f>IF(H604="","",(H604-F604)*24)</f>
        <v/>
      </c>
      <c r="R604" s="42">
        <f>IF(J604="","",(J604-H604)*24)</f>
        <v/>
      </c>
    </row>
    <row r="605" ht="15" customHeight="1" s="24">
      <c r="A605" s="27" t="n">
        <v>851616</v>
      </c>
      <c r="B605" s="27" t="inlineStr">
        <is>
          <t>PGO10851616</t>
        </is>
      </c>
      <c r="C605" s="27" t="n">
        <v>7</v>
      </c>
      <c r="D605" s="27" t="n">
        <v>3832</v>
      </c>
      <c r="E605" s="27" t="n">
        <v>201</v>
      </c>
      <c r="F605" s="41" t="n">
        <v>45960.68013361111</v>
      </c>
      <c r="G605" s="41" t="n">
        <v>45960.87657672453</v>
      </c>
      <c r="H605" s="41" t="n">
        <v>45961.31952491898</v>
      </c>
      <c r="I605" s="41" t="n">
        <v>45961.37204469908</v>
      </c>
      <c r="J605" s="41" t="n">
        <v>45961.85413650463</v>
      </c>
      <c r="K605" s="27" t="inlineStr">
        <is>
          <t>Collected</t>
        </is>
      </c>
      <c r="L605" s="27" t="inlineStr">
        <is>
          <t>Standard</t>
        </is>
      </c>
      <c r="M605" s="27" t="inlineStr">
        <is>
          <t>KwaZulu-Natal</t>
        </is>
      </c>
      <c r="N605" s="27" t="n">
        <v>146.37</v>
      </c>
      <c r="O605" s="27" t="n">
        <v>1.04</v>
      </c>
      <c r="P605" s="27" t="n">
        <v>48.6</v>
      </c>
      <c r="Q605" s="42">
        <f>IF(H605="","",(H605-F605)*24)</f>
        <v/>
      </c>
      <c r="R605" s="42">
        <f>IF(J605="","",(J605-H605)*24)</f>
        <v/>
      </c>
    </row>
    <row r="606" ht="15" customHeight="1" s="24">
      <c r="A606" s="27" t="n">
        <v>846503</v>
      </c>
      <c r="B606" s="27" t="inlineStr">
        <is>
          <t>PGO10846503</t>
        </is>
      </c>
      <c r="C606" s="27" t="n">
        <v>103</v>
      </c>
      <c r="D606" s="27" t="n">
        <v>719</v>
      </c>
      <c r="E606" s="27" t="n">
        <v>209</v>
      </c>
      <c r="F606" s="41" t="n">
        <v>45961.77979784722</v>
      </c>
      <c r="G606" s="41" t="n">
        <v>45961.90224335648</v>
      </c>
      <c r="H606" s="41" t="n">
        <v>45962.51243226852</v>
      </c>
      <c r="I606" s="41" t="n">
        <v>45962.5407765625</v>
      </c>
      <c r="J606" s="41" t="n">
        <v>45963.55738508102</v>
      </c>
      <c r="K606" s="27" t="inlineStr">
        <is>
          <t>Collected</t>
        </is>
      </c>
      <c r="L606" s="27" t="inlineStr">
        <is>
          <t>Standard</t>
        </is>
      </c>
      <c r="M606" s="27" t="inlineStr">
        <is>
          <t>Western Cape</t>
        </is>
      </c>
      <c r="N606" s="27" t="n">
        <v>63.57</v>
      </c>
      <c r="O606" s="27" t="n">
        <v>0.76</v>
      </c>
      <c r="P606" s="27" t="n">
        <v>40.2</v>
      </c>
      <c r="Q606" s="42">
        <f>IF(H606="","",(H606-F606)*24)</f>
        <v/>
      </c>
      <c r="R606" s="42">
        <f>IF(J606="","",(J606-H606)*24)</f>
        <v/>
      </c>
    </row>
    <row r="607" ht="15" customHeight="1" s="24">
      <c r="A607" s="27" t="n">
        <v>851566</v>
      </c>
      <c r="B607" s="27" t="inlineStr">
        <is>
          <t>PGO10851566</t>
        </is>
      </c>
      <c r="C607" s="27" t="n">
        <v>8</v>
      </c>
      <c r="D607" s="27" t="n">
        <v>2110</v>
      </c>
      <c r="E607" s="27" t="n">
        <v>356</v>
      </c>
      <c r="F607" s="41" t="n">
        <v>45962.21227446759</v>
      </c>
      <c r="G607" s="41" t="n">
        <v>45962.45477813658</v>
      </c>
      <c r="H607" s="41" t="n">
        <v>45962.95880577547</v>
      </c>
      <c r="I607" s="41" t="n">
        <v>45963.02128859954</v>
      </c>
      <c r="J607" s="41" t="n">
        <v>45963.82264046296</v>
      </c>
      <c r="K607" s="27" t="inlineStr">
        <is>
          <t>Collected</t>
        </is>
      </c>
      <c r="L607" s="27" t="inlineStr">
        <is>
          <t>Standard</t>
        </is>
      </c>
      <c r="M607" s="27" t="inlineStr">
        <is>
          <t>Gauteng</t>
        </is>
      </c>
      <c r="N607" s="27" t="n">
        <v>418.67</v>
      </c>
      <c r="O607" s="27" t="n">
        <v>2.34</v>
      </c>
      <c r="P607" s="27" t="n">
        <v>54.48</v>
      </c>
      <c r="Q607" s="42">
        <f>IF(H607="","",(H607-F607)*24)</f>
        <v/>
      </c>
      <c r="R607" s="42">
        <f>IF(J607="","",(J607-H607)*24)</f>
        <v/>
      </c>
    </row>
    <row r="608" ht="15" customHeight="1" s="24">
      <c r="A608" s="27" t="n">
        <v>841540</v>
      </c>
      <c r="B608" s="27" t="inlineStr">
        <is>
          <t>PGO10841540</t>
        </is>
      </c>
      <c r="C608" s="27" t="n">
        <v>141</v>
      </c>
      <c r="D608" s="27" t="n">
        <v>1120</v>
      </c>
      <c r="E608" s="27" t="n">
        <v>398</v>
      </c>
      <c r="F608" s="41" t="n">
        <v>45962.33228702546</v>
      </c>
      <c r="G608" s="41" t="n">
        <v>45962.48048708333</v>
      </c>
      <c r="H608" s="41" t="n">
        <v>45962.87943023148</v>
      </c>
      <c r="I608" s="41" t="n">
        <v>45962.92869068287</v>
      </c>
      <c r="J608" s="41" t="n">
        <v>45964.79365994213</v>
      </c>
      <c r="K608" s="27" t="inlineStr">
        <is>
          <t>Collected</t>
        </is>
      </c>
      <c r="L608" s="27" t="inlineStr">
        <is>
          <t>Return-to-Retailer</t>
        </is>
      </c>
      <c r="M608" s="27" t="inlineStr">
        <is>
          <t>Gauteng</t>
        </is>
      </c>
      <c r="N608" s="27" t="n">
        <v>660.79</v>
      </c>
      <c r="O608" s="27" t="n">
        <v>2.19</v>
      </c>
      <c r="P608" s="27" t="n">
        <v>58.37</v>
      </c>
      <c r="Q608" s="42">
        <f>IF(H608="","",(H608-F608)*24)</f>
        <v/>
      </c>
      <c r="R608" s="42">
        <f>IF(J608="","",(J608-H608)*24)</f>
        <v/>
      </c>
    </row>
    <row r="609" ht="15" customHeight="1" s="24">
      <c r="A609" s="27" t="n">
        <v>893630</v>
      </c>
      <c r="B609" s="27" t="inlineStr">
        <is>
          <t>PGO10893630</t>
        </is>
      </c>
      <c r="C609" s="27" t="n">
        <v>1</v>
      </c>
      <c r="D609" s="27" t="n">
        <v>2869</v>
      </c>
      <c r="E609" s="27" t="n">
        <v>425</v>
      </c>
      <c r="F609" s="41" t="n">
        <v>45963.28867701389</v>
      </c>
      <c r="G609" s="41" t="n">
        <v>45963.54419861111</v>
      </c>
      <c r="H609" s="41" t="n">
        <v>45964.52425023148</v>
      </c>
      <c r="I609" s="41" t="n">
        <v>45964.55851424768</v>
      </c>
      <c r="J609" s="41" t="n">
        <v>45965.37995787037</v>
      </c>
      <c r="K609" s="27" t="inlineStr">
        <is>
          <t>Collected</t>
        </is>
      </c>
      <c r="L609" s="27" t="inlineStr">
        <is>
          <t>Standard</t>
        </is>
      </c>
      <c r="M609" s="27" t="inlineStr">
        <is>
          <t>Western Cape</t>
        </is>
      </c>
      <c r="N609" s="27" t="n">
        <v>1005.92</v>
      </c>
      <c r="O609" s="27" t="n">
        <v>0.47</v>
      </c>
      <c r="P609" s="27" t="n">
        <v>48.17</v>
      </c>
      <c r="Q609" s="42">
        <f>IF(H609="","",(H609-F609)*24)</f>
        <v/>
      </c>
      <c r="R609" s="42">
        <f>IF(J609="","",(J609-H609)*24)</f>
        <v/>
      </c>
    </row>
    <row r="610" ht="15" customHeight="1" s="24">
      <c r="A610" s="27" t="n">
        <v>927332</v>
      </c>
      <c r="B610" s="27" t="inlineStr">
        <is>
          <t>PGO10927332</t>
        </is>
      </c>
      <c r="C610" s="27" t="n">
        <v>26</v>
      </c>
      <c r="D610" s="27" t="n">
        <v>3837</v>
      </c>
      <c r="E610" s="27" t="n">
        <v>105</v>
      </c>
      <c r="F610" s="41" t="n">
        <v>45964.43002342593</v>
      </c>
      <c r="G610" s="41" t="n">
        <v>45965.11803148148</v>
      </c>
      <c r="H610" s="41" t="n">
        <v>45965.56812462963</v>
      </c>
      <c r="I610" s="41" t="n">
        <v>45965.60490748843</v>
      </c>
      <c r="J610" s="41" t="n">
        <v>45968.44126390047</v>
      </c>
      <c r="K610" s="27" t="inlineStr">
        <is>
          <t>Collected</t>
        </is>
      </c>
      <c r="L610" s="27" t="inlineStr">
        <is>
          <t>Express</t>
        </is>
      </c>
      <c r="M610" s="27" t="inlineStr">
        <is>
          <t>Gauteng</t>
        </is>
      </c>
      <c r="N610" s="27" t="n">
        <v>253.88</v>
      </c>
      <c r="O610" s="27" t="n">
        <v>4.46</v>
      </c>
      <c r="P610" s="27" t="n">
        <v>56.69</v>
      </c>
      <c r="Q610" s="42">
        <f>IF(H610="","",(H610-F610)*24)</f>
        <v/>
      </c>
      <c r="R610" s="42">
        <f>IF(J610="","",(J610-H610)*24)</f>
        <v/>
      </c>
    </row>
    <row r="611" ht="15" customHeight="1" s="24">
      <c r="A611" s="27" t="n">
        <v>883195</v>
      </c>
      <c r="B611" s="27" t="inlineStr">
        <is>
          <t>PGO10883195</t>
        </is>
      </c>
      <c r="C611" s="27" t="n">
        <v>1</v>
      </c>
      <c r="D611" s="27" t="n">
        <v>362</v>
      </c>
      <c r="E611" s="27" t="n">
        <v>278</v>
      </c>
      <c r="F611" s="41" t="n">
        <v>45964.93210734954</v>
      </c>
      <c r="G611" s="41" t="n">
        <v>45965.16784966435</v>
      </c>
      <c r="H611" s="41" t="n">
        <v>45966.42332113426</v>
      </c>
      <c r="I611" s="41" t="n">
        <v>45966.46752775463</v>
      </c>
      <c r="J611" s="41" t="n">
        <v>45967.36964709491</v>
      </c>
      <c r="K611" s="27" t="inlineStr">
        <is>
          <t>Collected</t>
        </is>
      </c>
      <c r="L611" s="27" t="inlineStr">
        <is>
          <t>Standard</t>
        </is>
      </c>
      <c r="M611" s="27" t="inlineStr">
        <is>
          <t>KwaZulu-Natal</t>
        </is>
      </c>
      <c r="N611" s="27" t="n">
        <v>295.49</v>
      </c>
      <c r="O611" s="27" t="n">
        <v>7.52</v>
      </c>
      <c r="P611" s="27" t="n">
        <v>64.02</v>
      </c>
      <c r="Q611" s="42">
        <f>IF(H611="","",(H611-F611)*24)</f>
        <v/>
      </c>
      <c r="R611" s="42">
        <f>IF(J611="","",(J611-H611)*24)</f>
        <v/>
      </c>
    </row>
    <row r="612" ht="15" customHeight="1" s="24">
      <c r="A612" s="27" t="n">
        <v>879048</v>
      </c>
      <c r="B612" s="27" t="inlineStr">
        <is>
          <t>PGO10879048</t>
        </is>
      </c>
      <c r="C612" s="27" t="n">
        <v>7</v>
      </c>
      <c r="D612" s="27" t="n">
        <v>3264</v>
      </c>
      <c r="E612" s="27" t="n">
        <v>252</v>
      </c>
      <c r="F612" s="41" t="n">
        <v>45965.39986773148</v>
      </c>
      <c r="G612" s="41" t="n">
        <v>45965.47269528935</v>
      </c>
      <c r="H612" s="41" t="n">
        <v>45966.54039167824</v>
      </c>
      <c r="I612" s="41" t="n">
        <v>45966.56461921296</v>
      </c>
      <c r="J612" s="41" t="n">
        <v>45970.15963172453</v>
      </c>
      <c r="K612" s="27" t="inlineStr">
        <is>
          <t>Collected</t>
        </is>
      </c>
      <c r="L612" s="27" t="inlineStr">
        <is>
          <t>Standard</t>
        </is>
      </c>
      <c r="M612" s="27" t="inlineStr">
        <is>
          <t>Mpumalanga</t>
        </is>
      </c>
      <c r="N612" s="27" t="n">
        <v>588.34</v>
      </c>
      <c r="O612" s="27" t="n">
        <v>-1.02</v>
      </c>
      <c r="P612" s="27" t="n">
        <v>47.45</v>
      </c>
      <c r="Q612" s="42">
        <f>IF(H612="","",(H612-F612)*24)</f>
        <v/>
      </c>
      <c r="R612" s="42">
        <f>IF(J612="","",(J612-H612)*24)</f>
        <v/>
      </c>
    </row>
    <row r="613" ht="15" customHeight="1" s="24">
      <c r="A613" s="27" t="n">
        <v>885270</v>
      </c>
      <c r="B613" s="27" t="inlineStr">
        <is>
          <t>PGO10885270</t>
        </is>
      </c>
      <c r="C613" s="27" t="n">
        <v>1</v>
      </c>
      <c r="D613" s="27" t="n">
        <v>2425</v>
      </c>
      <c r="E613" s="27" t="n">
        <v>325</v>
      </c>
      <c r="F613" s="41" t="n">
        <v>45965.50018592593</v>
      </c>
      <c r="G613" s="41" t="n">
        <v>45965.57406137732</v>
      </c>
      <c r="H613" s="41" t="n">
        <v>45966.3231905787</v>
      </c>
      <c r="I613" s="41" t="n">
        <v>45966.34089118055</v>
      </c>
      <c r="J613" s="41" t="n">
        <v>45968.49911570602</v>
      </c>
      <c r="K613" s="27" t="inlineStr">
        <is>
          <t>Collected</t>
        </is>
      </c>
      <c r="L613" s="27" t="inlineStr">
        <is>
          <t>Standard</t>
        </is>
      </c>
      <c r="M613" s="27" t="inlineStr">
        <is>
          <t>Western Cape</t>
        </is>
      </c>
      <c r="N613" s="27" t="n">
        <v>1032.01</v>
      </c>
      <c r="O613" s="27" t="n">
        <v>0.68</v>
      </c>
      <c r="P613" s="27" t="n">
        <v>45.31</v>
      </c>
      <c r="Q613" s="42">
        <f>IF(H613="","",(H613-F613)*24)</f>
        <v/>
      </c>
      <c r="R613" s="42">
        <f>IF(J613="","",(J613-H613)*24)</f>
        <v/>
      </c>
    </row>
    <row r="614" ht="15" customHeight="1" s="24">
      <c r="A614" s="27" t="n">
        <v>911842</v>
      </c>
      <c r="B614" s="27" t="inlineStr">
        <is>
          <t>PGO10911842</t>
        </is>
      </c>
      <c r="C614" s="27" t="n">
        <v>13</v>
      </c>
      <c r="D614" s="27" t="n">
        <v>3347</v>
      </c>
      <c r="E614" s="27" t="n">
        <v>405</v>
      </c>
      <c r="F614" s="41" t="n">
        <v>45965.82845085648</v>
      </c>
      <c r="G614" s="41" t="n">
        <v>45965.90843851852</v>
      </c>
      <c r="H614" s="41" t="n">
        <v>45967.24133836805</v>
      </c>
      <c r="I614" s="41" t="n">
        <v>45967.24610946759</v>
      </c>
      <c r="J614" s="41" t="n">
        <v>45968.45432274305</v>
      </c>
      <c r="K614" s="27" t="inlineStr">
        <is>
          <t>Collected</t>
        </is>
      </c>
      <c r="L614" s="27" t="inlineStr">
        <is>
          <t>Standard</t>
        </is>
      </c>
      <c r="M614" s="27" t="inlineStr">
        <is>
          <t>KwaZulu-Natal</t>
        </is>
      </c>
      <c r="N614" s="27" t="n">
        <v>47.67</v>
      </c>
      <c r="O614" s="27" t="n">
        <v>1.18</v>
      </c>
      <c r="P614" s="27" t="n">
        <v>65.43000000000001</v>
      </c>
      <c r="Q614" s="42">
        <f>IF(H614="","",(H614-F614)*24)</f>
        <v/>
      </c>
      <c r="R614" s="42">
        <f>IF(J614="","",(J614-H614)*24)</f>
        <v/>
      </c>
    </row>
    <row r="615" ht="15" customHeight="1" s="24">
      <c r="A615" s="27" t="n">
        <v>867780</v>
      </c>
      <c r="B615" s="27" t="inlineStr">
        <is>
          <t>PGO10867780</t>
        </is>
      </c>
      <c r="C615" s="27" t="n">
        <v>104</v>
      </c>
      <c r="D615" s="27" t="n">
        <v>612</v>
      </c>
      <c r="E615" s="27" t="n">
        <v>82</v>
      </c>
      <c r="F615" s="41" t="n">
        <v>45966.15873598379</v>
      </c>
      <c r="G615" s="41" t="n">
        <v>45966.62376931713</v>
      </c>
      <c r="H615" s="41" t="n">
        <v>45967.16248966436</v>
      </c>
      <c r="I615" s="41" t="n">
        <v>45967.16723146991</v>
      </c>
      <c r="J615" s="41" t="n">
        <v>45967.92814121528</v>
      </c>
      <c r="K615" s="27" t="inlineStr">
        <is>
          <t>Collected</t>
        </is>
      </c>
      <c r="L615" s="27" t="inlineStr">
        <is>
          <t>Standard</t>
        </is>
      </c>
      <c r="M615" s="27" t="inlineStr">
        <is>
          <t>KwaZulu-Natal</t>
        </is>
      </c>
      <c r="N615" s="27" t="n">
        <v>163.02</v>
      </c>
      <c r="O615" s="27" t="n">
        <v>1.19</v>
      </c>
      <c r="P615" s="27" t="n">
        <v>59.64</v>
      </c>
      <c r="Q615" s="42">
        <f>IF(H615="","",(H615-F615)*24)</f>
        <v/>
      </c>
      <c r="R615" s="42">
        <f>IF(J615="","",(J615-H615)*24)</f>
        <v/>
      </c>
    </row>
    <row r="616" ht="15" customHeight="1" s="24">
      <c r="A616" s="27" t="n">
        <v>919999</v>
      </c>
      <c r="B616" s="27" t="inlineStr">
        <is>
          <t>PGO10919999</t>
        </is>
      </c>
      <c r="C616" s="27" t="n">
        <v>3</v>
      </c>
      <c r="D616" s="27" t="n">
        <v>3394</v>
      </c>
      <c r="E616" s="27" t="n">
        <v>14</v>
      </c>
      <c r="F616" s="41" t="n">
        <v>45967.09015895833</v>
      </c>
      <c r="G616" s="41" t="n">
        <v>45967.14276006944</v>
      </c>
      <c r="H616" s="41" t="n">
        <v>45967.89752822916</v>
      </c>
      <c r="I616" s="41" t="n">
        <v>45967.92439856481</v>
      </c>
      <c r="J616" s="41" t="n">
        <v>45969.16007241898</v>
      </c>
      <c r="K616" s="27" t="inlineStr">
        <is>
          <t>Collected</t>
        </is>
      </c>
      <c r="L616" s="27" t="inlineStr">
        <is>
          <t>Standard</t>
        </is>
      </c>
      <c r="M616" s="27" t="inlineStr">
        <is>
          <t>Free State</t>
        </is>
      </c>
      <c r="N616" s="27" t="n">
        <v>178.03</v>
      </c>
      <c r="O616" s="27" t="n">
        <v>1.35</v>
      </c>
      <c r="P616" s="27" t="n">
        <v>37.73</v>
      </c>
      <c r="Q616" s="42">
        <f>IF(H616="","",(H616-F616)*24)</f>
        <v/>
      </c>
      <c r="R616" s="42">
        <f>IF(J616="","",(J616-H616)*24)</f>
        <v/>
      </c>
    </row>
    <row r="617" ht="15" customHeight="1" s="24">
      <c r="A617" s="27" t="n">
        <v>927275</v>
      </c>
      <c r="B617" s="27" t="inlineStr">
        <is>
          <t>PGO10927275</t>
        </is>
      </c>
      <c r="C617" s="27" t="n">
        <v>126</v>
      </c>
      <c r="D617" s="27" t="n">
        <v>3850</v>
      </c>
      <c r="E617" s="27" t="n">
        <v>81</v>
      </c>
      <c r="F617" s="41" t="n">
        <v>45967.27394912037</v>
      </c>
      <c r="G617" s="41" t="n">
        <v>45967.73070332176</v>
      </c>
      <c r="H617" s="41" t="n">
        <v>45968.21397337963</v>
      </c>
      <c r="I617" s="41" t="n">
        <v>45968.23038472222</v>
      </c>
      <c r="J617" s="41" t="n">
        <v>45968.67443108797</v>
      </c>
      <c r="K617" s="27" t="inlineStr">
        <is>
          <t>Collected</t>
        </is>
      </c>
      <c r="L617" s="27" t="inlineStr">
        <is>
          <t>Standard</t>
        </is>
      </c>
      <c r="M617" s="27" t="inlineStr">
        <is>
          <t>Gauteng</t>
        </is>
      </c>
      <c r="N617" s="27" t="n">
        <v>296.63</v>
      </c>
      <c r="O617" s="27" t="n">
        <v>0.57</v>
      </c>
      <c r="P617" s="27" t="n">
        <v>70.06999999999999</v>
      </c>
      <c r="Q617" s="42">
        <f>IF(H617="","",(H617-F617)*24)</f>
        <v/>
      </c>
      <c r="R617" s="42">
        <f>IF(J617="","",(J617-H617)*24)</f>
        <v/>
      </c>
    </row>
    <row r="618" ht="15" customHeight="1" s="24">
      <c r="A618" s="27" t="n">
        <v>900413</v>
      </c>
      <c r="B618" s="27" t="inlineStr">
        <is>
          <t>PGO10900413</t>
        </is>
      </c>
      <c r="C618" s="27" t="n">
        <v>7</v>
      </c>
      <c r="D618" s="27" t="n">
        <v>424</v>
      </c>
      <c r="E618" s="27" t="n">
        <v>79</v>
      </c>
      <c r="F618" s="41" t="n">
        <v>45967.45294163194</v>
      </c>
      <c r="G618" s="41" t="n">
        <v>45967.59214190972</v>
      </c>
      <c r="H618" s="41" t="n">
        <v>45969.0457559838</v>
      </c>
      <c r="I618" s="41" t="n">
        <v>45969.10137146991</v>
      </c>
      <c r="J618" s="41" t="n">
        <v>45971.98173163195</v>
      </c>
      <c r="K618" s="27" t="inlineStr">
        <is>
          <t>Collected</t>
        </is>
      </c>
      <c r="L618" s="27" t="inlineStr">
        <is>
          <t>Standard</t>
        </is>
      </c>
      <c r="M618" s="27" t="inlineStr">
        <is>
          <t>Limpopo</t>
        </is>
      </c>
      <c r="N618" s="27" t="n">
        <v>313.32</v>
      </c>
      <c r="O618" s="27" t="n">
        <v>0.55</v>
      </c>
      <c r="P618" s="27" t="n">
        <v>49.29</v>
      </c>
      <c r="Q618" s="42">
        <f>IF(H618="","",(H618-F618)*24)</f>
        <v/>
      </c>
      <c r="R618" s="42">
        <f>IF(J618="","",(J618-H618)*24)</f>
        <v/>
      </c>
    </row>
    <row r="619" ht="15" customHeight="1" s="24">
      <c r="A619" s="27" t="n">
        <v>900323</v>
      </c>
      <c r="B619" s="27" t="inlineStr">
        <is>
          <t>PGO10900323</t>
        </is>
      </c>
      <c r="C619" s="27" t="n">
        <v>89</v>
      </c>
      <c r="D619" s="27" t="n">
        <v>629</v>
      </c>
      <c r="E619" s="27" t="n">
        <v>469</v>
      </c>
      <c r="F619" s="41" t="n">
        <v>45967.51637954861</v>
      </c>
      <c r="G619" s="41" t="n">
        <v>45967.95780706019</v>
      </c>
      <c r="H619" s="41" t="n">
        <v>45968.30479362269</v>
      </c>
      <c r="I619" s="41" t="n">
        <v>45968.33102912037</v>
      </c>
      <c r="J619" s="41" t="n">
        <v>45970.86932795139</v>
      </c>
      <c r="K619" s="27" t="inlineStr">
        <is>
          <t>Collected</t>
        </is>
      </c>
      <c r="L619" s="27" t="inlineStr">
        <is>
          <t>Express</t>
        </is>
      </c>
      <c r="M619" s="27" t="inlineStr">
        <is>
          <t>Western Cape</t>
        </is>
      </c>
      <c r="N619" s="27" t="n">
        <v>1253.27</v>
      </c>
      <c r="O619" s="27" t="n">
        <v>2.07</v>
      </c>
      <c r="P619" s="27" t="n">
        <v>66.26000000000001</v>
      </c>
      <c r="Q619" s="42">
        <f>IF(H619="","",(H619-F619)*24)</f>
        <v/>
      </c>
      <c r="R619" s="42">
        <f>IF(J619="","",(J619-H619)*24)</f>
        <v/>
      </c>
    </row>
    <row r="620" ht="15" customHeight="1" s="24">
      <c r="A620" s="27" t="n">
        <v>909943</v>
      </c>
      <c r="B620" s="27" t="inlineStr">
        <is>
          <t>PGO10909943</t>
        </is>
      </c>
      <c r="C620" s="27" t="n">
        <v>2</v>
      </c>
      <c r="D620" s="27" t="n">
        <v>1423</v>
      </c>
      <c r="E620" s="27" t="n">
        <v>1</v>
      </c>
      <c r="F620" s="41" t="n">
        <v>45967.7997122801</v>
      </c>
      <c r="G620" s="41" t="n">
        <v>45968.39740494213</v>
      </c>
      <c r="H620" s="41" t="n">
        <v>45968.87804130787</v>
      </c>
      <c r="I620" s="41" t="n">
        <v>45968.93316872685</v>
      </c>
      <c r="J620" s="41" t="n">
        <v>45971.71154370371</v>
      </c>
      <c r="K620" s="27" t="inlineStr">
        <is>
          <t>Collected</t>
        </is>
      </c>
      <c r="L620" s="27" t="inlineStr">
        <is>
          <t>Standard</t>
        </is>
      </c>
      <c r="M620" s="27" t="inlineStr">
        <is>
          <t>KwaZulu-Natal</t>
        </is>
      </c>
      <c r="N620" s="27" t="n">
        <v>546.37</v>
      </c>
      <c r="O620" s="27" t="n">
        <v>1.93</v>
      </c>
      <c r="P620" s="27" t="n">
        <v>51.7</v>
      </c>
      <c r="Q620" s="42">
        <f>IF(H620="","",(H620-F620)*24)</f>
        <v/>
      </c>
      <c r="R620" s="42">
        <f>IF(J620="","",(J620-H620)*24)</f>
        <v/>
      </c>
    </row>
    <row r="621" ht="15" customHeight="1" s="24">
      <c r="A621" s="27" t="n">
        <v>884725</v>
      </c>
      <c r="B621" s="27" t="inlineStr">
        <is>
          <t>PGO10884725</t>
        </is>
      </c>
      <c r="C621" s="27" t="n">
        <v>64</v>
      </c>
      <c r="D621" s="27" t="n">
        <v>3809</v>
      </c>
      <c r="E621" s="27" t="n">
        <v>300</v>
      </c>
      <c r="F621" s="41" t="n">
        <v>45968.62167046296</v>
      </c>
      <c r="G621" s="41" t="n">
        <v>45968.95118231481</v>
      </c>
      <c r="H621" s="41" t="n">
        <v>45969.82397745371</v>
      </c>
      <c r="I621" s="41" t="n">
        <v>45969.87862528936</v>
      </c>
      <c r="J621" s="41" t="n">
        <v>45972.27601784722</v>
      </c>
      <c r="K621" s="27" t="inlineStr">
        <is>
          <t>Collected</t>
        </is>
      </c>
      <c r="L621" s="27" t="inlineStr">
        <is>
          <t>Standard</t>
        </is>
      </c>
      <c r="M621" s="27" t="inlineStr">
        <is>
          <t>Eastern Cape</t>
        </is>
      </c>
      <c r="N621" s="27" t="n">
        <v>214.1</v>
      </c>
      <c r="O621" s="27" t="n">
        <v>3.08</v>
      </c>
      <c r="P621" s="27" t="n">
        <v>67.83</v>
      </c>
      <c r="Q621" s="42">
        <f>IF(H621="","",(H621-F621)*24)</f>
        <v/>
      </c>
      <c r="R621" s="42">
        <f>IF(J621="","",(J621-H621)*24)</f>
        <v/>
      </c>
    </row>
    <row r="622" ht="15" customHeight="1" s="24">
      <c r="A622" s="27" t="n">
        <v>893658</v>
      </c>
      <c r="B622" s="27" t="inlineStr">
        <is>
          <t>PGO10893658</t>
        </is>
      </c>
      <c r="C622" s="27" t="n">
        <v>1</v>
      </c>
      <c r="D622" s="27" t="n">
        <v>1996</v>
      </c>
      <c r="E622" s="27" t="n">
        <v>91</v>
      </c>
      <c r="F622" s="41" t="n">
        <v>45968.65368314815</v>
      </c>
      <c r="G622" s="41" t="n">
        <v>45968.80811967592</v>
      </c>
      <c r="H622" s="41" t="n">
        <v>45969.50023498842</v>
      </c>
      <c r="I622" s="41" t="n">
        <v>45969.50946668981</v>
      </c>
      <c r="J622" s="41" t="n">
        <v>45971.12443354166</v>
      </c>
      <c r="K622" s="27" t="inlineStr">
        <is>
          <t>Collected</t>
        </is>
      </c>
      <c r="L622" s="27" t="inlineStr">
        <is>
          <t>Standard</t>
        </is>
      </c>
      <c r="M622" s="27" t="inlineStr">
        <is>
          <t>Gauteng</t>
        </is>
      </c>
      <c r="N622" s="27" t="n">
        <v>250.75</v>
      </c>
      <c r="O622" s="27" t="n">
        <v>1.7</v>
      </c>
      <c r="P622" s="27" t="n">
        <v>46.43</v>
      </c>
      <c r="Q622" s="42">
        <f>IF(H622="","",(H622-F622)*24)</f>
        <v/>
      </c>
      <c r="R622" s="42">
        <f>IF(J622="","",(J622-H622)*24)</f>
        <v/>
      </c>
    </row>
    <row r="623" ht="15" customHeight="1" s="24">
      <c r="A623" s="27" t="n">
        <v>887523</v>
      </c>
      <c r="B623" s="27" t="inlineStr">
        <is>
          <t>PGO10887523</t>
        </is>
      </c>
      <c r="C623" s="27" t="n">
        <v>10</v>
      </c>
      <c r="D623" s="27" t="n">
        <v>3027</v>
      </c>
      <c r="E623" s="27" t="n">
        <v>113</v>
      </c>
      <c r="F623" s="41" t="n">
        <v>45968.78020059028</v>
      </c>
      <c r="G623" s="41" t="n">
        <v>45969.0636603125</v>
      </c>
      <c r="H623" s="41" t="n">
        <v>45969.4841975</v>
      </c>
      <c r="I623" s="41" t="n">
        <v>45969.53315236111</v>
      </c>
      <c r="J623" s="41" t="n">
        <v>45970.32478704861</v>
      </c>
      <c r="K623" s="27" t="inlineStr">
        <is>
          <t>Collected</t>
        </is>
      </c>
      <c r="L623" s="27" t="inlineStr">
        <is>
          <t>Standard</t>
        </is>
      </c>
      <c r="M623" s="27" t="inlineStr">
        <is>
          <t>Gauteng</t>
        </is>
      </c>
      <c r="N623" s="27" t="n">
        <v>328.08</v>
      </c>
      <c r="O623" s="27" t="n">
        <v>1.36</v>
      </c>
      <c r="P623" s="27" t="n">
        <v>64.56999999999999</v>
      </c>
      <c r="Q623" s="42">
        <f>IF(H623="","",(H623-F623)*24)</f>
        <v/>
      </c>
      <c r="R623" s="42">
        <f>IF(J623="","",(J623-H623)*24)</f>
        <v/>
      </c>
    </row>
    <row r="624" ht="15" customHeight="1" s="24">
      <c r="A624" s="27" t="n">
        <v>876683</v>
      </c>
      <c r="B624" s="27" t="inlineStr">
        <is>
          <t>PGO10876683</t>
        </is>
      </c>
      <c r="C624" s="27" t="n">
        <v>1</v>
      </c>
      <c r="D624" s="27" t="n">
        <v>3793</v>
      </c>
      <c r="E624" s="27" t="n">
        <v>372</v>
      </c>
      <c r="F624" s="41" t="n">
        <v>45969.81560047454</v>
      </c>
      <c r="G624" s="41" t="n">
        <v>45969.8497190625</v>
      </c>
      <c r="H624" s="41" t="n">
        <v>45970.64017929398</v>
      </c>
      <c r="I624" s="41" t="n">
        <v>45970.6823841088</v>
      </c>
      <c r="J624" s="41" t="n">
        <v>45971.61893667824</v>
      </c>
      <c r="K624" s="27" t="inlineStr">
        <is>
          <t>Collected</t>
        </is>
      </c>
      <c r="L624" s="27" t="inlineStr">
        <is>
          <t>Express</t>
        </is>
      </c>
      <c r="M624" s="27" t="inlineStr">
        <is>
          <t>Gauteng</t>
        </is>
      </c>
      <c r="N624" s="27" t="n">
        <v>418.17</v>
      </c>
      <c r="O624" s="27" t="n">
        <v>0.48</v>
      </c>
      <c r="P624" s="27" t="n">
        <v>47.56</v>
      </c>
      <c r="Q624" s="42">
        <f>IF(H624="","",(H624-F624)*24)</f>
        <v/>
      </c>
      <c r="R624" s="42">
        <f>IF(J624="","",(J624-H624)*24)</f>
        <v/>
      </c>
    </row>
    <row r="625" ht="15" customHeight="1" s="24">
      <c r="A625" s="27" t="n">
        <v>908871</v>
      </c>
      <c r="B625" s="27" t="inlineStr">
        <is>
          <t>PGO10908871</t>
        </is>
      </c>
      <c r="C625" s="27" t="n">
        <v>1</v>
      </c>
      <c r="D625" s="27" t="n">
        <v>3791</v>
      </c>
      <c r="E625" s="27" t="n">
        <v>222</v>
      </c>
      <c r="F625" s="41" t="n">
        <v>45969.83741899305</v>
      </c>
      <c r="G625" s="41" t="n">
        <v>45969.99812831019</v>
      </c>
      <c r="H625" s="41" t="n">
        <v>45970.73772407408</v>
      </c>
      <c r="I625" s="41" t="n">
        <v>45970.78818505787</v>
      </c>
      <c r="J625" s="41" t="n">
        <v>45971.06628826389</v>
      </c>
      <c r="K625" s="27" t="inlineStr">
        <is>
          <t>Collected</t>
        </is>
      </c>
      <c r="L625" s="27" t="inlineStr">
        <is>
          <t>Standard</t>
        </is>
      </c>
      <c r="M625" s="27" t="inlineStr">
        <is>
          <t>Western Cape</t>
        </is>
      </c>
      <c r="N625" s="27" t="n">
        <v>346.52</v>
      </c>
      <c r="O625" s="27" t="n">
        <v>5.08</v>
      </c>
      <c r="P625" s="27" t="n">
        <v>65.7</v>
      </c>
      <c r="Q625" s="42">
        <f>IF(H625="","",(H625-F625)*24)</f>
        <v/>
      </c>
      <c r="R625" s="42">
        <f>IF(J625="","",(J625-H625)*24)</f>
        <v/>
      </c>
    </row>
    <row r="626" ht="15" customHeight="1" s="24">
      <c r="A626" s="27" t="n">
        <v>861542</v>
      </c>
      <c r="B626" s="27" t="inlineStr">
        <is>
          <t>PGO10861542</t>
        </is>
      </c>
      <c r="C626" s="27" t="n">
        <v>102</v>
      </c>
      <c r="D626" s="27" t="n">
        <v>1742</v>
      </c>
      <c r="E626" s="27" t="n">
        <v>80</v>
      </c>
      <c r="F626" s="41" t="n">
        <v>45970.21850666666</v>
      </c>
      <c r="G626" s="41" t="n">
        <v>45970.38407295139</v>
      </c>
      <c r="H626" s="41" t="n">
        <v>45971.27084224537</v>
      </c>
      <c r="I626" s="41" t="n">
        <v>45971.28301440972</v>
      </c>
      <c r="J626" s="41" t="n">
        <v>45975.51379201389</v>
      </c>
      <c r="K626" s="27" t="inlineStr">
        <is>
          <t>Collected</t>
        </is>
      </c>
      <c r="L626" s="27" t="inlineStr">
        <is>
          <t>Standard</t>
        </is>
      </c>
      <c r="M626" s="27" t="inlineStr">
        <is>
          <t>Gauteng</t>
        </is>
      </c>
      <c r="N626" s="27" t="n">
        <v>668.14</v>
      </c>
      <c r="O626" s="27" t="n">
        <v>1.05</v>
      </c>
      <c r="P626" s="27" t="n">
        <v>64.7</v>
      </c>
      <c r="Q626" s="42">
        <f>IF(H626="","",(H626-F626)*24)</f>
        <v/>
      </c>
      <c r="R626" s="42">
        <f>IF(J626="","",(J626-H626)*24)</f>
        <v/>
      </c>
    </row>
    <row r="627" ht="15" customHeight="1" s="24">
      <c r="A627" s="27" t="n">
        <v>920439</v>
      </c>
      <c r="B627" s="27" t="inlineStr">
        <is>
          <t>PGO10920439</t>
        </is>
      </c>
      <c r="C627" s="27" t="n">
        <v>65</v>
      </c>
      <c r="D627" s="27" t="n">
        <v>1264</v>
      </c>
      <c r="E627" s="27" t="n">
        <v>261</v>
      </c>
      <c r="F627" s="41" t="n">
        <v>45970.52261357639</v>
      </c>
      <c r="G627" s="41" t="n">
        <v>45970.94758265046</v>
      </c>
      <c r="H627" s="41" t="n">
        <v>45971.91338954861</v>
      </c>
      <c r="I627" s="41" t="n">
        <v>45971.93478155092</v>
      </c>
      <c r="J627" s="41" t="n">
        <v>45972.16332611111</v>
      </c>
      <c r="K627" s="27" t="inlineStr">
        <is>
          <t>Collected</t>
        </is>
      </c>
      <c r="L627" s="27" t="inlineStr">
        <is>
          <t>Standard</t>
        </is>
      </c>
      <c r="M627" s="27" t="inlineStr">
        <is>
          <t>Limpopo</t>
        </is>
      </c>
      <c r="N627" s="27" t="n">
        <v>383.52</v>
      </c>
      <c r="O627" s="27" t="n">
        <v>3.01</v>
      </c>
      <c r="P627" s="27" t="n">
        <v>57.25</v>
      </c>
      <c r="Q627" s="42">
        <f>IF(H627="","",(H627-F627)*24)</f>
        <v/>
      </c>
      <c r="R627" s="42">
        <f>IF(J627="","",(J627-H627)*24)</f>
        <v/>
      </c>
    </row>
    <row r="628" ht="15" customHeight="1" s="24">
      <c r="A628" s="27" t="n">
        <v>862307</v>
      </c>
      <c r="B628" s="27" t="inlineStr">
        <is>
          <t>PGO10862307</t>
        </is>
      </c>
      <c r="C628" s="27" t="n">
        <v>84</v>
      </c>
      <c r="D628" s="27" t="n">
        <v>2015</v>
      </c>
      <c r="E628" s="27" t="n">
        <v>142</v>
      </c>
      <c r="F628" s="41" t="n">
        <v>45970.59395141204</v>
      </c>
      <c r="G628" s="41" t="n">
        <v>45970.81809354167</v>
      </c>
      <c r="H628" s="41" t="n">
        <v>45971.99257512731</v>
      </c>
      <c r="I628" s="41" t="n">
        <v>45972.02911025463</v>
      </c>
      <c r="J628" s="41" t="n">
        <v>45972.87666556713</v>
      </c>
      <c r="K628" s="27" t="inlineStr">
        <is>
          <t>Collected</t>
        </is>
      </c>
      <c r="L628" s="27" t="inlineStr">
        <is>
          <t>Standard</t>
        </is>
      </c>
      <c r="M628" s="27" t="inlineStr">
        <is>
          <t>Limpopo</t>
        </is>
      </c>
      <c r="N628" s="27" t="n">
        <v>417.54</v>
      </c>
      <c r="O628" s="27" t="n">
        <v>2.9</v>
      </c>
      <c r="P628" s="27" t="n">
        <v>49.08</v>
      </c>
      <c r="Q628" s="42">
        <f>IF(H628="","",(H628-F628)*24)</f>
        <v/>
      </c>
      <c r="R628" s="42">
        <f>IF(J628="","",(J628-H628)*24)</f>
        <v/>
      </c>
    </row>
    <row r="629" ht="15" customHeight="1" s="24">
      <c r="A629" s="27" t="n">
        <v>919588</v>
      </c>
      <c r="B629" s="27" t="inlineStr">
        <is>
          <t>PGO10919588</t>
        </is>
      </c>
      <c r="C629" s="27" t="n">
        <v>3</v>
      </c>
      <c r="D629" s="27" t="n">
        <v>1239</v>
      </c>
      <c r="E629" s="27" t="n">
        <v>114</v>
      </c>
      <c r="F629" s="41" t="n">
        <v>45971.2794399537</v>
      </c>
      <c r="G629" s="41" t="n">
        <v>45971.46092054398</v>
      </c>
      <c r="H629" s="41" t="n">
        <v>45971.98755179398</v>
      </c>
      <c r="I629" s="41" t="n">
        <v>45972.02722583334</v>
      </c>
      <c r="J629" s="41" t="n">
        <v>45972.60275601852</v>
      </c>
      <c r="K629" s="27" t="inlineStr">
        <is>
          <t>Collected</t>
        </is>
      </c>
      <c r="L629" s="27" t="inlineStr">
        <is>
          <t>Standard</t>
        </is>
      </c>
      <c r="M629" s="27" t="inlineStr">
        <is>
          <t>Mpumalanga</t>
        </is>
      </c>
      <c r="N629" s="27" t="n">
        <v>185.63</v>
      </c>
      <c r="O629" s="27" t="n">
        <v>0.74</v>
      </c>
      <c r="P629" s="27" t="n">
        <v>39.95</v>
      </c>
      <c r="Q629" s="42">
        <f>IF(H629="","",(H629-F629)*24)</f>
        <v/>
      </c>
      <c r="R629" s="42">
        <f>IF(J629="","",(J629-H629)*24)</f>
        <v/>
      </c>
    </row>
    <row r="630" ht="15" customHeight="1" s="24">
      <c r="A630" s="27" t="n">
        <v>927972</v>
      </c>
      <c r="B630" s="27" t="inlineStr">
        <is>
          <t>PGO10927972</t>
        </is>
      </c>
      <c r="C630" s="27" t="n">
        <v>35</v>
      </c>
      <c r="D630" s="27" t="n">
        <v>2329</v>
      </c>
      <c r="E630" s="27" t="n">
        <v>306</v>
      </c>
      <c r="F630" s="41" t="n">
        <v>45971.43478092593</v>
      </c>
      <c r="G630" s="41" t="n">
        <v>45971.4896577662</v>
      </c>
      <c r="H630" s="41" t="n">
        <v>45972.28943582176</v>
      </c>
      <c r="I630" s="41" t="n">
        <v>45972.32414623842</v>
      </c>
      <c r="J630" s="41" t="n">
        <v>45972.67766732639</v>
      </c>
      <c r="K630" s="27" t="inlineStr">
        <is>
          <t>Collected</t>
        </is>
      </c>
      <c r="L630" s="27" t="inlineStr">
        <is>
          <t>Standard</t>
        </is>
      </c>
      <c r="M630" s="27" t="inlineStr">
        <is>
          <t>KwaZulu-Natal</t>
        </is>
      </c>
      <c r="N630" s="27" t="n">
        <v>515.3099999999999</v>
      </c>
      <c r="O630" s="27" t="n">
        <v>1.28</v>
      </c>
      <c r="P630" s="27" t="n">
        <v>37.74</v>
      </c>
      <c r="Q630" s="42">
        <f>IF(H630="","",(H630-F630)*24)</f>
        <v/>
      </c>
      <c r="R630" s="42">
        <f>IF(J630="","",(J630-H630)*24)</f>
        <v/>
      </c>
    </row>
    <row r="631" ht="15" customHeight="1" s="24">
      <c r="A631" s="27" t="n">
        <v>884229</v>
      </c>
      <c r="B631" s="27" t="inlineStr">
        <is>
          <t>PGO10884229</t>
        </is>
      </c>
      <c r="C631" s="27" t="n">
        <v>16</v>
      </c>
      <c r="D631" s="27" t="n">
        <v>1650</v>
      </c>
      <c r="E631" s="27" t="n">
        <v>80</v>
      </c>
      <c r="F631" s="41" t="n">
        <v>45971.50561072917</v>
      </c>
      <c r="G631" s="41" t="n">
        <v>45971.80826568287</v>
      </c>
      <c r="H631" s="41" t="n">
        <v>45972.35582429398</v>
      </c>
      <c r="I631" s="41" t="n">
        <v>45972.40741332176</v>
      </c>
      <c r="J631" s="41" t="n">
        <v>45975.22071586805</v>
      </c>
      <c r="K631" s="27" t="inlineStr">
        <is>
          <t>Collected</t>
        </is>
      </c>
      <c r="L631" s="27" t="inlineStr">
        <is>
          <t>Express</t>
        </is>
      </c>
      <c r="M631" s="27" t="inlineStr">
        <is>
          <t>Gauteng</t>
        </is>
      </c>
      <c r="N631" s="27" t="n">
        <v>91.92</v>
      </c>
      <c r="O631" s="27" t="n">
        <v>1.01</v>
      </c>
      <c r="P631" s="27" t="n">
        <v>62.54</v>
      </c>
      <c r="Q631" s="42">
        <f>IF(H631="","",(H631-F631)*24)</f>
        <v/>
      </c>
      <c r="R631" s="42">
        <f>IF(J631="","",(J631-H631)*24)</f>
        <v/>
      </c>
    </row>
    <row r="632" ht="15" customHeight="1" s="24">
      <c r="A632" s="27" t="n">
        <v>901953</v>
      </c>
      <c r="B632" s="27" t="inlineStr">
        <is>
          <t>PGO10901953</t>
        </is>
      </c>
      <c r="C632" s="27" t="n">
        <v>1</v>
      </c>
      <c r="D632" s="27" t="n">
        <v>242</v>
      </c>
      <c r="E632" s="27" t="n">
        <v>143</v>
      </c>
      <c r="F632" s="41" t="n">
        <v>45971.70060690972</v>
      </c>
      <c r="G632" s="41" t="n">
        <v>45971.85708707176</v>
      </c>
      <c r="H632" s="41" t="n">
        <v>45972.85071177084</v>
      </c>
      <c r="I632" s="41" t="n">
        <v>45972.90546474537</v>
      </c>
      <c r="J632" s="41" t="n">
        <v>45974.23305425926</v>
      </c>
      <c r="K632" s="27" t="inlineStr">
        <is>
          <t>Collected</t>
        </is>
      </c>
      <c r="L632" s="27" t="inlineStr">
        <is>
          <t>Express</t>
        </is>
      </c>
      <c r="M632" s="27" t="inlineStr">
        <is>
          <t>Eastern Cape</t>
        </is>
      </c>
      <c r="N632" s="27" t="n">
        <v>141.88</v>
      </c>
      <c r="O632" s="27" t="n">
        <v>2.31</v>
      </c>
      <c r="P632" s="27" t="n">
        <v>44.33</v>
      </c>
      <c r="Q632" s="42">
        <f>IF(H632="","",(H632-F632)*24)</f>
        <v/>
      </c>
      <c r="R632" s="42">
        <f>IF(J632="","",(J632-H632)*24)</f>
        <v/>
      </c>
    </row>
    <row r="633" ht="15" customHeight="1" s="24">
      <c r="A633" s="27" t="n">
        <v>919585</v>
      </c>
      <c r="B633" s="27" t="inlineStr">
        <is>
          <t>PGO10919585</t>
        </is>
      </c>
      <c r="C633" s="27" t="n">
        <v>112</v>
      </c>
      <c r="D633" s="27" t="n">
        <v>1993</v>
      </c>
      <c r="E633" s="27" t="n">
        <v>207</v>
      </c>
      <c r="F633" s="41" t="n">
        <v>45971.86468630787</v>
      </c>
      <c r="G633" s="41" t="n">
        <v>45971.89435586805</v>
      </c>
      <c r="H633" s="41" t="n">
        <v>45972.5189553125</v>
      </c>
      <c r="I633" s="41" t="n">
        <v>45972.54018163194</v>
      </c>
      <c r="J633" s="41" t="n">
        <v>45972.68511929398</v>
      </c>
      <c r="K633" s="27" t="inlineStr">
        <is>
          <t>Collected</t>
        </is>
      </c>
      <c r="L633" s="27" t="inlineStr">
        <is>
          <t>Express</t>
        </is>
      </c>
      <c r="M633" s="27" t="inlineStr">
        <is>
          <t>KwaZulu-Natal</t>
        </is>
      </c>
      <c r="N633" s="27" t="n">
        <v>813.3099999999999</v>
      </c>
      <c r="O633" s="27" t="n">
        <v>2.43</v>
      </c>
      <c r="P633" s="27" t="n">
        <v>57.5</v>
      </c>
      <c r="Q633" s="42">
        <f>IF(H633="","",(H633-F633)*24)</f>
        <v/>
      </c>
      <c r="R633" s="42">
        <f>IF(J633="","",(J633-H633)*24)</f>
        <v/>
      </c>
    </row>
    <row r="634" ht="15" customHeight="1" s="24">
      <c r="A634" s="27" t="n">
        <v>873904</v>
      </c>
      <c r="B634" s="27" t="inlineStr">
        <is>
          <t>PGO10873904</t>
        </is>
      </c>
      <c r="C634" s="27" t="n">
        <v>17</v>
      </c>
      <c r="D634" s="27" t="n">
        <v>3858</v>
      </c>
      <c r="E634" s="27" t="n">
        <v>257</v>
      </c>
      <c r="F634" s="41" t="n">
        <v>45972.12958739583</v>
      </c>
      <c r="G634" s="41" t="n">
        <v>45972.25068481481</v>
      </c>
      <c r="H634" s="41" t="n">
        <v>45973.22901704861</v>
      </c>
      <c r="I634" s="41" t="n">
        <v>45973.27324787037</v>
      </c>
      <c r="J634" s="41" t="n">
        <v>45975.27703052083</v>
      </c>
      <c r="K634" s="27" t="inlineStr">
        <is>
          <t>Collected</t>
        </is>
      </c>
      <c r="L634" s="27" t="inlineStr">
        <is>
          <t>Standard</t>
        </is>
      </c>
      <c r="M634" s="27" t="inlineStr">
        <is>
          <t>KwaZulu-Natal</t>
        </is>
      </c>
      <c r="N634" s="27" t="n">
        <v>900.9299999999999</v>
      </c>
      <c r="O634" s="27" t="n">
        <v>0.4</v>
      </c>
      <c r="P634" s="27" t="n">
        <v>53.97</v>
      </c>
      <c r="Q634" s="42">
        <f>IF(H634="","",(H634-F634)*24)</f>
        <v/>
      </c>
      <c r="R634" s="42">
        <f>IF(J634="","",(J634-H634)*24)</f>
        <v/>
      </c>
    </row>
    <row r="635" ht="15" customHeight="1" s="24">
      <c r="A635" s="27" t="n">
        <v>887575</v>
      </c>
      <c r="B635" s="27" t="inlineStr">
        <is>
          <t>PGO10887575</t>
        </is>
      </c>
      <c r="C635" s="27" t="n">
        <v>4</v>
      </c>
      <c r="D635" s="27" t="n">
        <v>1432</v>
      </c>
      <c r="E635" s="27" t="n">
        <v>203</v>
      </c>
      <c r="F635" s="41" t="n">
        <v>45972.15826766204</v>
      </c>
      <c r="G635" s="41" t="n">
        <v>45972.2437062963</v>
      </c>
      <c r="H635" s="41" t="n">
        <v>45973.13122063658</v>
      </c>
      <c r="I635" s="41" t="n">
        <v>45973.17439778935</v>
      </c>
      <c r="J635" s="41" t="n">
        <v>45974.55956033565</v>
      </c>
      <c r="K635" s="27" t="inlineStr">
        <is>
          <t>Collected</t>
        </is>
      </c>
      <c r="L635" s="27" t="inlineStr">
        <is>
          <t>Standard</t>
        </is>
      </c>
      <c r="M635" s="27" t="inlineStr">
        <is>
          <t>KwaZulu-Natal</t>
        </is>
      </c>
      <c r="N635" s="27" t="n">
        <v>1086.04</v>
      </c>
      <c r="O635" s="27" t="n">
        <v>0.42</v>
      </c>
      <c r="P635" s="27" t="n">
        <v>41.73</v>
      </c>
      <c r="Q635" s="42">
        <f>IF(H635="","",(H635-F635)*24)</f>
        <v/>
      </c>
      <c r="R635" s="42">
        <f>IF(J635="","",(J635-H635)*24)</f>
        <v/>
      </c>
    </row>
    <row r="636" ht="15" customHeight="1" s="24">
      <c r="A636" s="27" t="n">
        <v>889407</v>
      </c>
      <c r="B636" s="27" t="inlineStr">
        <is>
          <t>PGO10889407</t>
        </is>
      </c>
      <c r="C636" s="27" t="n">
        <v>1</v>
      </c>
      <c r="D636" s="27" t="n">
        <v>286</v>
      </c>
      <c r="E636" s="27" t="n">
        <v>210</v>
      </c>
      <c r="F636" s="41" t="n">
        <v>45972.22899884259</v>
      </c>
      <c r="G636" s="41" t="n">
        <v>45972.33392641204</v>
      </c>
      <c r="H636" s="41" t="n">
        <v>45973.0801533449</v>
      </c>
      <c r="I636" s="41" t="n">
        <v>45973.09117334491</v>
      </c>
      <c r="J636" s="41" t="n"/>
      <c r="K636" s="27" t="inlineStr">
        <is>
          <t>ExpiredRTS</t>
        </is>
      </c>
      <c r="L636" s="27" t="inlineStr">
        <is>
          <t>Return-to-Retailer</t>
        </is>
      </c>
      <c r="M636" s="27" t="inlineStr">
        <is>
          <t>KwaZulu-Natal</t>
        </is>
      </c>
      <c r="N636" s="27" t="n">
        <v>132.92</v>
      </c>
      <c r="O636" s="27" t="n">
        <v>0.38</v>
      </c>
      <c r="P636" s="27" t="n">
        <v>46.13</v>
      </c>
      <c r="Q636" s="42">
        <f>IF(H636="","",(H636-F636)*24)</f>
        <v/>
      </c>
      <c r="R636" s="42">
        <f>IF(J636="","",(J636-H636)*24)</f>
        <v/>
      </c>
    </row>
    <row r="637" ht="15" customHeight="1" s="24">
      <c r="A637" s="27" t="n">
        <v>869810</v>
      </c>
      <c r="B637" s="27" t="inlineStr">
        <is>
          <t>PGO10869810</t>
        </is>
      </c>
      <c r="C637" s="27" t="n">
        <v>12</v>
      </c>
      <c r="D637" s="27" t="n">
        <v>932</v>
      </c>
      <c r="E637" s="27" t="n">
        <v>338</v>
      </c>
      <c r="F637" s="41" t="n">
        <v>45973.00625421296</v>
      </c>
      <c r="G637" s="41" t="n">
        <v>45973.24200325232</v>
      </c>
      <c r="H637" s="41" t="n">
        <v>45973.94587130787</v>
      </c>
      <c r="I637" s="41" t="n">
        <v>45973.97037993056</v>
      </c>
      <c r="J637" s="41" t="n">
        <v>45974.97868225694</v>
      </c>
      <c r="K637" s="27" t="inlineStr">
        <is>
          <t>Collected</t>
        </is>
      </c>
      <c r="L637" s="27" t="inlineStr">
        <is>
          <t>Standard</t>
        </is>
      </c>
      <c r="M637" s="27" t="inlineStr">
        <is>
          <t>Eastern Cape</t>
        </is>
      </c>
      <c r="N637" s="27" t="n">
        <v>221.06</v>
      </c>
      <c r="O637" s="27" t="n">
        <v>0.44</v>
      </c>
      <c r="P637" s="27" t="n">
        <v>68.53</v>
      </c>
      <c r="Q637" s="42">
        <f>IF(H637="","",(H637-F637)*24)</f>
        <v/>
      </c>
      <c r="R637" s="42">
        <f>IF(J637="","",(J637-H637)*24)</f>
        <v/>
      </c>
    </row>
    <row r="638" ht="15" customHeight="1" s="24">
      <c r="A638" s="27" t="n">
        <v>899082</v>
      </c>
      <c r="B638" s="27" t="inlineStr">
        <is>
          <t>PGO10899082</t>
        </is>
      </c>
      <c r="C638" s="27" t="n">
        <v>2</v>
      </c>
      <c r="D638" s="27" t="n">
        <v>3546</v>
      </c>
      <c r="E638" s="27" t="n">
        <v>479</v>
      </c>
      <c r="F638" s="41" t="n">
        <v>45973.46001716435</v>
      </c>
      <c r="G638" s="41" t="n">
        <v>45973.72425527778</v>
      </c>
      <c r="H638" s="41" t="n">
        <v>45974.08607349537</v>
      </c>
      <c r="I638" s="41" t="n">
        <v>45974.09336442129</v>
      </c>
      <c r="J638" s="41" t="n">
        <v>45975.02831475694</v>
      </c>
      <c r="K638" s="27" t="inlineStr">
        <is>
          <t>Collected</t>
        </is>
      </c>
      <c r="L638" s="27" t="inlineStr">
        <is>
          <t>Standard</t>
        </is>
      </c>
      <c r="M638" s="27" t="inlineStr">
        <is>
          <t>Gauteng</t>
        </is>
      </c>
      <c r="N638" s="27" t="n">
        <v>821.62</v>
      </c>
      <c r="O638" s="27" t="n">
        <v>0.87</v>
      </c>
      <c r="P638" s="27" t="n">
        <v>50.84</v>
      </c>
      <c r="Q638" s="42">
        <f>IF(H638="","",(H638-F638)*24)</f>
        <v/>
      </c>
      <c r="R638" s="42">
        <f>IF(J638="","",(J638-H638)*24)</f>
        <v/>
      </c>
    </row>
    <row r="639" ht="15" customHeight="1" s="24">
      <c r="A639" s="27" t="n">
        <v>921079</v>
      </c>
      <c r="B639" s="27" t="inlineStr">
        <is>
          <t>PGO10921079</t>
        </is>
      </c>
      <c r="C639" s="27" t="n">
        <v>91</v>
      </c>
      <c r="D639" s="27" t="n">
        <v>3695</v>
      </c>
      <c r="E639" s="27" t="n">
        <v>150</v>
      </c>
      <c r="F639" s="41" t="n">
        <v>45978.13475665509</v>
      </c>
      <c r="G639" s="41" t="n">
        <v>45978.33906497686</v>
      </c>
      <c r="H639" s="41" t="n">
        <v>45978.69875715278</v>
      </c>
      <c r="I639" s="41" t="n">
        <v>45978.73487178241</v>
      </c>
      <c r="J639" s="41" t="n">
        <v>45979.79703207176</v>
      </c>
      <c r="K639" s="27" t="inlineStr">
        <is>
          <t>Collected</t>
        </is>
      </c>
      <c r="L639" s="27" t="inlineStr">
        <is>
          <t>Express</t>
        </is>
      </c>
      <c r="M639" s="27" t="inlineStr">
        <is>
          <t>Western Cape</t>
        </is>
      </c>
      <c r="N639" s="27" t="n">
        <v>337.15</v>
      </c>
      <c r="O639" s="27" t="n">
        <v>1.48</v>
      </c>
      <c r="P639" s="27" t="n">
        <v>38.8</v>
      </c>
      <c r="Q639" s="42">
        <f>IF(H639="","",(H639-F639)*24)</f>
        <v/>
      </c>
      <c r="R639" s="42">
        <f>IF(J639="","",(J639-H639)*24)</f>
        <v/>
      </c>
    </row>
    <row r="640" ht="15" customHeight="1" s="24">
      <c r="A640" s="27" t="n">
        <v>898731</v>
      </c>
      <c r="B640" s="27" t="inlineStr">
        <is>
          <t>PGO10898731</t>
        </is>
      </c>
      <c r="C640" s="27" t="n">
        <v>17</v>
      </c>
      <c r="D640" s="27" t="n">
        <v>3769</v>
      </c>
      <c r="E640" s="27" t="n">
        <v>120</v>
      </c>
      <c r="F640" s="41" t="n">
        <v>45978.15171412037</v>
      </c>
      <c r="G640" s="41" t="n">
        <v>45978.16823959491</v>
      </c>
      <c r="H640" s="41" t="n">
        <v>45978.96462181713</v>
      </c>
      <c r="I640" s="41" t="n">
        <v>45979.0098969213</v>
      </c>
      <c r="J640" s="41" t="n">
        <v>45981.36158313658</v>
      </c>
      <c r="K640" s="27" t="inlineStr">
        <is>
          <t>Collected</t>
        </is>
      </c>
      <c r="L640" s="27" t="inlineStr">
        <is>
          <t>Standard</t>
        </is>
      </c>
      <c r="M640" s="27" t="inlineStr">
        <is>
          <t>Mpumalanga</t>
        </is>
      </c>
      <c r="N640" s="27" t="n">
        <v>532.4</v>
      </c>
      <c r="O640" s="27" t="n">
        <v>0.73</v>
      </c>
      <c r="P640" s="27" t="n">
        <v>56.65</v>
      </c>
      <c r="Q640" s="42">
        <f>IF(H640="","",(H640-F640)*24)</f>
        <v/>
      </c>
      <c r="R640" s="42">
        <f>IF(J640="","",(J640-H640)*24)</f>
        <v/>
      </c>
    </row>
    <row r="641" ht="15" customHeight="1" s="24">
      <c r="A641" s="27" t="n">
        <v>927117</v>
      </c>
      <c r="B641" s="27" t="inlineStr">
        <is>
          <t>PGO10927117</t>
        </is>
      </c>
      <c r="C641" s="27" t="n">
        <v>43</v>
      </c>
      <c r="D641" s="27" t="n">
        <v>2373</v>
      </c>
      <c r="E641" s="27" t="n">
        <v>95</v>
      </c>
      <c r="F641" s="41" t="n">
        <v>45978.31637646991</v>
      </c>
      <c r="G641" s="41" t="n">
        <v>45978.4483230324</v>
      </c>
      <c r="H641" s="41" t="n">
        <v>45979.67025935185</v>
      </c>
      <c r="I641" s="41" t="n">
        <v>45979.7164378125</v>
      </c>
      <c r="J641" s="41" t="n">
        <v>45980.33775570602</v>
      </c>
      <c r="K641" s="27" t="inlineStr">
        <is>
          <t>Collected</t>
        </is>
      </c>
      <c r="L641" s="27" t="inlineStr">
        <is>
          <t>Standard</t>
        </is>
      </c>
      <c r="M641" s="27" t="inlineStr">
        <is>
          <t>Eastern Cape</t>
        </is>
      </c>
      <c r="N641" s="27" t="n">
        <v>418.83</v>
      </c>
      <c r="O641" s="27" t="n">
        <v>1.74</v>
      </c>
      <c r="P641" s="27" t="n">
        <v>51.18</v>
      </c>
      <c r="Q641" s="42">
        <f>IF(H641="","",(H641-F641)*24)</f>
        <v/>
      </c>
      <c r="R641" s="42">
        <f>IF(J641="","",(J641-H641)*24)</f>
        <v/>
      </c>
    </row>
    <row r="642" ht="15" customHeight="1" s="24">
      <c r="A642" s="27" t="n">
        <v>882058</v>
      </c>
      <c r="B642" s="27" t="inlineStr">
        <is>
          <t>PGO10882058</t>
        </is>
      </c>
      <c r="C642" s="27" t="n">
        <v>23</v>
      </c>
      <c r="D642" s="27" t="n">
        <v>3224</v>
      </c>
      <c r="E642" s="27" t="n">
        <v>434</v>
      </c>
      <c r="F642" s="41" t="n">
        <v>45978.52600568287</v>
      </c>
      <c r="G642" s="41" t="n">
        <v>45978.90431982639</v>
      </c>
      <c r="H642" s="41" t="n">
        <v>45979.52245262732</v>
      </c>
      <c r="I642" s="41" t="n">
        <v>45979.5824831713</v>
      </c>
      <c r="J642" s="41" t="n">
        <v>45980.48150217593</v>
      </c>
      <c r="K642" s="27" t="inlineStr">
        <is>
          <t>Collected</t>
        </is>
      </c>
      <c r="L642" s="27" t="inlineStr">
        <is>
          <t>Return-to-Retailer</t>
        </is>
      </c>
      <c r="M642" s="27" t="inlineStr">
        <is>
          <t>Mpumalanga</t>
        </is>
      </c>
      <c r="N642" s="27" t="n">
        <v>152.52</v>
      </c>
      <c r="O642" s="27" t="n">
        <v>1.03</v>
      </c>
      <c r="P642" s="27" t="n">
        <v>47.18</v>
      </c>
      <c r="Q642" s="42">
        <f>IF(H642="","",(H642-F642)*24)</f>
        <v/>
      </c>
      <c r="R642" s="42">
        <f>IF(J642="","",(J642-H642)*24)</f>
        <v/>
      </c>
    </row>
    <row r="643" ht="15" customHeight="1" s="24">
      <c r="A643" s="27" t="n">
        <v>916609</v>
      </c>
      <c r="B643" s="27" t="inlineStr">
        <is>
          <t>PGO10916609</t>
        </is>
      </c>
      <c r="C643" s="27" t="n">
        <v>58</v>
      </c>
      <c r="D643" s="27" t="n">
        <v>2905</v>
      </c>
      <c r="E643" s="27" t="n">
        <v>175</v>
      </c>
      <c r="F643" s="41" t="n">
        <v>45979.45116650463</v>
      </c>
      <c r="G643" s="41" t="n">
        <v>45979.81142788194</v>
      </c>
      <c r="H643" s="41" t="n">
        <v>45980.70689256945</v>
      </c>
      <c r="I643" s="41" t="n">
        <v>45980.71444271991</v>
      </c>
      <c r="J643" s="41" t="n">
        <v>45982.6904733449</v>
      </c>
      <c r="K643" s="27" t="inlineStr">
        <is>
          <t>Collected</t>
        </is>
      </c>
      <c r="L643" s="27" t="inlineStr">
        <is>
          <t>Express</t>
        </is>
      </c>
      <c r="M643" s="27" t="inlineStr">
        <is>
          <t>Mpumalanga</t>
        </is>
      </c>
      <c r="N643" s="27" t="n">
        <v>90.02</v>
      </c>
      <c r="O643" s="27" t="n">
        <v>0.7</v>
      </c>
      <c r="P643" s="27" t="n">
        <v>46.24</v>
      </c>
      <c r="Q643" s="42">
        <f>IF(H643="","",(H643-F643)*24)</f>
        <v/>
      </c>
      <c r="R643" s="42">
        <f>IF(J643="","",(J643-H643)*24)</f>
        <v/>
      </c>
    </row>
    <row r="644" ht="15" customHeight="1" s="24">
      <c r="A644" s="27" t="n">
        <v>922129</v>
      </c>
      <c r="B644" s="27" t="inlineStr">
        <is>
          <t>PGO10922129</t>
        </is>
      </c>
      <c r="C644" s="27" t="n">
        <v>7</v>
      </c>
      <c r="D644" s="27" t="n">
        <v>3215</v>
      </c>
      <c r="E644" s="27" t="n">
        <v>349</v>
      </c>
      <c r="F644" s="41" t="n">
        <v>45979.92927876157</v>
      </c>
      <c r="G644" s="41" t="n">
        <v>45980.01453631945</v>
      </c>
      <c r="H644" s="41" t="n">
        <v>45980.44145032408</v>
      </c>
      <c r="I644" s="41" t="n">
        <v>45980.49745730324</v>
      </c>
      <c r="J644" s="41" t="n">
        <v>45981.34785859954</v>
      </c>
      <c r="K644" s="27" t="inlineStr">
        <is>
          <t>Collected</t>
        </is>
      </c>
      <c r="L644" s="27" t="inlineStr">
        <is>
          <t>Standard</t>
        </is>
      </c>
      <c r="M644" s="27" t="inlineStr">
        <is>
          <t>Gauteng</t>
        </is>
      </c>
      <c r="N644" s="27" t="n">
        <v>300.82</v>
      </c>
      <c r="O644" s="27" t="n">
        <v>0.77</v>
      </c>
      <c r="P644" s="27" t="n">
        <v>48.92</v>
      </c>
      <c r="Q644" s="42">
        <f>IF(H644="","",(H644-F644)*24)</f>
        <v/>
      </c>
      <c r="R644" s="42">
        <f>IF(J644="","",(J644-H644)*24)</f>
        <v/>
      </c>
    </row>
    <row r="645" ht="15" customHeight="1" s="24">
      <c r="A645" s="27" t="n">
        <v>873285</v>
      </c>
      <c r="B645" s="27" t="inlineStr">
        <is>
          <t>PGO10873285</t>
        </is>
      </c>
      <c r="C645" s="27" t="n">
        <v>51</v>
      </c>
      <c r="D645" s="27" t="n">
        <v>3334</v>
      </c>
      <c r="E645" s="27" t="n">
        <v>140</v>
      </c>
      <c r="F645" s="41" t="n">
        <v>45980.34076063657</v>
      </c>
      <c r="G645" s="41" t="n">
        <v>45980.87989296296</v>
      </c>
      <c r="H645" s="41" t="n">
        <v>45981.97584564815</v>
      </c>
      <c r="I645" s="41" t="n">
        <v>45982.00741768518</v>
      </c>
      <c r="J645" s="41" t="n">
        <v>45982.38540545139</v>
      </c>
      <c r="K645" s="27" t="inlineStr">
        <is>
          <t>Collected</t>
        </is>
      </c>
      <c r="L645" s="27" t="inlineStr">
        <is>
          <t>Standard</t>
        </is>
      </c>
      <c r="M645" s="27" t="inlineStr">
        <is>
          <t>Western Cape</t>
        </is>
      </c>
      <c r="N645" s="27" t="n">
        <v>87.13</v>
      </c>
      <c r="O645" s="27" t="n">
        <v>0.18</v>
      </c>
      <c r="P645" s="27" t="n">
        <v>55.53</v>
      </c>
      <c r="Q645" s="42">
        <f>IF(H645="","",(H645-F645)*24)</f>
        <v/>
      </c>
      <c r="R645" s="42">
        <f>IF(J645="","",(J645-H645)*24)</f>
        <v/>
      </c>
    </row>
    <row r="646" ht="15" customHeight="1" s="24">
      <c r="A646" s="27" t="n">
        <v>868613</v>
      </c>
      <c r="B646" s="27" t="inlineStr">
        <is>
          <t>PGO10868613</t>
        </is>
      </c>
      <c r="C646" s="27" t="n">
        <v>145</v>
      </c>
      <c r="D646" s="27" t="n">
        <v>3041</v>
      </c>
      <c r="E646" s="27" t="n">
        <v>87</v>
      </c>
      <c r="F646" s="41" t="n">
        <v>45980.34865657407</v>
      </c>
      <c r="G646" s="41" t="n">
        <v>45980.80875423611</v>
      </c>
      <c r="H646" s="41" t="n">
        <v>45981.11979464121</v>
      </c>
      <c r="I646" s="41" t="n">
        <v>45981.15882717592</v>
      </c>
      <c r="J646" s="41" t="n">
        <v>45982.80371592593</v>
      </c>
      <c r="K646" s="27" t="inlineStr">
        <is>
          <t>Collected</t>
        </is>
      </c>
      <c r="L646" s="27" t="inlineStr">
        <is>
          <t>Standard</t>
        </is>
      </c>
      <c r="M646" s="27" t="inlineStr">
        <is>
          <t>Gauteng</t>
        </is>
      </c>
      <c r="N646" s="27" t="n">
        <v>3549.12</v>
      </c>
      <c r="O646" s="27" t="n">
        <v>0.42</v>
      </c>
      <c r="P646" s="27" t="n">
        <v>57.81</v>
      </c>
      <c r="Q646" s="42">
        <f>IF(H646="","",(H646-F646)*24)</f>
        <v/>
      </c>
      <c r="R646" s="42">
        <f>IF(J646="","",(J646-H646)*24)</f>
        <v/>
      </c>
    </row>
    <row r="647" ht="15" customHeight="1" s="24">
      <c r="A647" s="27" t="n">
        <v>874456</v>
      </c>
      <c r="B647" s="27" t="inlineStr">
        <is>
          <t>PGO10874456</t>
        </is>
      </c>
      <c r="C647" s="27" t="n">
        <v>144</v>
      </c>
      <c r="D647" s="27" t="n">
        <v>3297</v>
      </c>
      <c r="E647" s="27" t="n">
        <v>59</v>
      </c>
      <c r="F647" s="41" t="n">
        <v>45980.64297457176</v>
      </c>
      <c r="G647" s="41" t="n">
        <v>45980.84817600695</v>
      </c>
      <c r="H647" s="41" t="n">
        <v>45981.91862033565</v>
      </c>
      <c r="I647" s="41" t="n">
        <v>45981.96961793982</v>
      </c>
      <c r="J647" s="41" t="n">
        <v>45983.31199935185</v>
      </c>
      <c r="K647" s="27" t="inlineStr">
        <is>
          <t>Collected</t>
        </is>
      </c>
      <c r="L647" s="27" t="inlineStr">
        <is>
          <t>Standard</t>
        </is>
      </c>
      <c r="M647" s="27" t="inlineStr">
        <is>
          <t>KwaZulu-Natal</t>
        </is>
      </c>
      <c r="N647" s="27" t="n">
        <v>252.35</v>
      </c>
      <c r="O647" s="27" t="n">
        <v>3.04</v>
      </c>
      <c r="P647" s="27" t="n">
        <v>44.14</v>
      </c>
      <c r="Q647" s="42">
        <f>IF(H647="","",(H647-F647)*24)</f>
        <v/>
      </c>
      <c r="R647" s="42">
        <f>IF(J647="","",(J647-H647)*24)</f>
        <v/>
      </c>
    </row>
    <row r="648" ht="15" customHeight="1" s="24">
      <c r="A648" s="27" t="n">
        <v>883111</v>
      </c>
      <c r="B648" s="27" t="inlineStr">
        <is>
          <t>PGO10883111</t>
        </is>
      </c>
      <c r="C648" s="27" t="n">
        <v>1</v>
      </c>
      <c r="D648" s="27" t="n">
        <v>1321</v>
      </c>
      <c r="E648" s="27" t="n">
        <v>299</v>
      </c>
      <c r="F648" s="41" t="n">
        <v>45980.74778105324</v>
      </c>
      <c r="G648" s="41" t="n">
        <v>45980.83893575231</v>
      </c>
      <c r="H648" s="41" t="n">
        <v>45981.96738987268</v>
      </c>
      <c r="I648" s="41" t="n">
        <v>45981.97997704861</v>
      </c>
      <c r="J648" s="41" t="n">
        <v>45985.22665289352</v>
      </c>
      <c r="K648" s="27" t="inlineStr">
        <is>
          <t>Collected</t>
        </is>
      </c>
      <c r="L648" s="27" t="inlineStr">
        <is>
          <t>Standard</t>
        </is>
      </c>
      <c r="M648" s="27" t="inlineStr">
        <is>
          <t>Eastern Cape</t>
        </is>
      </c>
      <c r="N648" s="27" t="n">
        <v>930.88</v>
      </c>
      <c r="O648" s="27" t="n">
        <v>1.54</v>
      </c>
      <c r="P648" s="27" t="n">
        <v>45.64</v>
      </c>
      <c r="Q648" s="42">
        <f>IF(H648="","",(H648-F648)*24)</f>
        <v/>
      </c>
      <c r="R648" s="42">
        <f>IF(J648="","",(J648-H648)*24)</f>
        <v/>
      </c>
    </row>
    <row r="649" ht="15" customHeight="1" s="24">
      <c r="A649" s="27" t="n">
        <v>891694</v>
      </c>
      <c r="B649" s="27" t="inlineStr">
        <is>
          <t>PGO10891694</t>
        </is>
      </c>
      <c r="C649" s="27" t="n">
        <v>97</v>
      </c>
      <c r="D649" s="27" t="n">
        <v>3266</v>
      </c>
      <c r="E649" s="27" t="n">
        <v>309</v>
      </c>
      <c r="F649" s="41" t="n">
        <v>45980.89388876157</v>
      </c>
      <c r="G649" s="41" t="n">
        <v>45981.00324784722</v>
      </c>
      <c r="H649" s="41" t="n">
        <v>45982.39428737268</v>
      </c>
      <c r="I649" s="41" t="n">
        <v>45982.40121546296</v>
      </c>
      <c r="J649" s="41" t="n">
        <v>45984.22498212963</v>
      </c>
      <c r="K649" s="27" t="inlineStr">
        <is>
          <t>Collected</t>
        </is>
      </c>
      <c r="L649" s="27" t="inlineStr">
        <is>
          <t>Standard</t>
        </is>
      </c>
      <c r="M649" s="27" t="inlineStr">
        <is>
          <t>North West</t>
        </is>
      </c>
      <c r="N649" s="27" t="n">
        <v>381.72</v>
      </c>
      <c r="O649" s="27" t="n">
        <v>0.2</v>
      </c>
      <c r="P649" s="27" t="n">
        <v>47.56</v>
      </c>
      <c r="Q649" s="42">
        <f>IF(H649="","",(H649-F649)*24)</f>
        <v/>
      </c>
      <c r="R649" s="42">
        <f>IF(J649="","",(J649-H649)*24)</f>
        <v/>
      </c>
    </row>
    <row r="650" ht="15" customHeight="1" s="24">
      <c r="A650" s="27" t="n">
        <v>864148</v>
      </c>
      <c r="B650" s="27" t="inlineStr">
        <is>
          <t>PGO10864148</t>
        </is>
      </c>
      <c r="C650" s="27" t="n">
        <v>39</v>
      </c>
      <c r="D650" s="27" t="n">
        <v>506</v>
      </c>
      <c r="E650" s="27" t="n">
        <v>350</v>
      </c>
      <c r="F650" s="41" t="n">
        <v>45982.93766819444</v>
      </c>
      <c r="G650" s="41" t="n">
        <v>45983.01036219907</v>
      </c>
      <c r="H650" s="41" t="n">
        <v>45983.5697946412</v>
      </c>
      <c r="I650" s="41" t="n">
        <v>45983.59189184027</v>
      </c>
      <c r="J650" s="41" t="n">
        <v>45985.21114756945</v>
      </c>
      <c r="K650" s="27" t="inlineStr">
        <is>
          <t>Collected</t>
        </is>
      </c>
      <c r="L650" s="27" t="inlineStr">
        <is>
          <t>Standard</t>
        </is>
      </c>
      <c r="M650" s="27" t="inlineStr">
        <is>
          <t>Gauteng</t>
        </is>
      </c>
      <c r="N650" s="27" t="n">
        <v>344.81</v>
      </c>
      <c r="O650" s="27" t="n">
        <v>0.72</v>
      </c>
      <c r="P650" s="27" t="n">
        <v>58.29</v>
      </c>
      <c r="Q650" s="42">
        <f>IF(H650="","",(H650-F650)*24)</f>
        <v/>
      </c>
      <c r="R650" s="42">
        <f>IF(J650="","",(J650-H650)*24)</f>
        <v/>
      </c>
    </row>
    <row r="651" ht="15" customHeight="1" s="24">
      <c r="A651" s="27" t="n">
        <v>867866</v>
      </c>
      <c r="B651" s="27" t="inlineStr">
        <is>
          <t>PGO10867866</t>
        </is>
      </c>
      <c r="C651" s="27" t="n">
        <v>52</v>
      </c>
      <c r="D651" s="27" t="n">
        <v>2280</v>
      </c>
      <c r="E651" s="27" t="n">
        <v>444</v>
      </c>
      <c r="F651" s="41" t="n">
        <v>45983.01871194445</v>
      </c>
      <c r="G651" s="41" t="n">
        <v>45983.26852621528</v>
      </c>
      <c r="H651" s="41" t="n">
        <v>45983.78570837963</v>
      </c>
      <c r="I651" s="41" t="n">
        <v>45983.82979726852</v>
      </c>
      <c r="J651" s="41" t="n">
        <v>45984.27482898148</v>
      </c>
      <c r="K651" s="27" t="inlineStr">
        <is>
          <t>Collected</t>
        </is>
      </c>
      <c r="L651" s="27" t="inlineStr">
        <is>
          <t>Express</t>
        </is>
      </c>
      <c r="M651" s="27" t="inlineStr">
        <is>
          <t>Gauteng</t>
        </is>
      </c>
      <c r="N651" s="27" t="n">
        <v>94.43000000000001</v>
      </c>
      <c r="O651" s="27" t="n">
        <v>0.76</v>
      </c>
      <c r="P651" s="27" t="n">
        <v>49.12</v>
      </c>
      <c r="Q651" s="42">
        <f>IF(H651="","",(H651-F651)*24)</f>
        <v/>
      </c>
      <c r="R651" s="42">
        <f>IF(J651="","",(J651-H651)*24)</f>
        <v/>
      </c>
    </row>
    <row r="652" ht="15" customHeight="1" s="24">
      <c r="A652" s="27" t="n">
        <v>871024</v>
      </c>
      <c r="B652" s="27" t="inlineStr">
        <is>
          <t>PGO10871024</t>
        </is>
      </c>
      <c r="C652" s="27" t="n">
        <v>8</v>
      </c>
      <c r="D652" s="27" t="n">
        <v>3071</v>
      </c>
      <c r="E652" s="27" t="n">
        <v>39</v>
      </c>
      <c r="F652" s="41" t="n">
        <v>45983.14692938657</v>
      </c>
      <c r="G652" s="41" t="n">
        <v>45983.71152986111</v>
      </c>
      <c r="H652" s="41" t="n">
        <v>45984.14947355324</v>
      </c>
      <c r="I652" s="41" t="n">
        <v>45984.15433715278</v>
      </c>
      <c r="J652" s="41" t="n">
        <v>45985.72767170139</v>
      </c>
      <c r="K652" s="27" t="inlineStr">
        <is>
          <t>Collected</t>
        </is>
      </c>
      <c r="L652" s="27" t="inlineStr">
        <is>
          <t>Standard</t>
        </is>
      </c>
      <c r="M652" s="27" t="inlineStr">
        <is>
          <t>Gauteng</t>
        </is>
      </c>
      <c r="N652" s="27" t="n">
        <v>1393.94</v>
      </c>
      <c r="O652" s="27" t="n">
        <v>1.33</v>
      </c>
      <c r="P652" s="27" t="n">
        <v>55.55</v>
      </c>
      <c r="Q652" s="42">
        <f>IF(H652="","",(H652-F652)*24)</f>
        <v/>
      </c>
      <c r="R652" s="42">
        <f>IF(J652="","",(J652-H652)*24)</f>
        <v/>
      </c>
    </row>
    <row r="653" ht="15" customHeight="1" s="24">
      <c r="A653" s="27" t="n">
        <v>877486</v>
      </c>
      <c r="B653" s="27" t="inlineStr">
        <is>
          <t>PGO10877486</t>
        </is>
      </c>
      <c r="C653" s="27" t="n">
        <v>1</v>
      </c>
      <c r="D653" s="27" t="n">
        <v>3853</v>
      </c>
      <c r="E653" s="27" t="n">
        <v>292</v>
      </c>
      <c r="F653" s="41" t="n">
        <v>45983.31053706018</v>
      </c>
      <c r="G653" s="41" t="n">
        <v>45983.40905390046</v>
      </c>
      <c r="H653" s="41" t="n">
        <v>45983.82950111111</v>
      </c>
      <c r="I653" s="41" t="n">
        <v>45983.87134537037</v>
      </c>
      <c r="J653" s="41" t="n">
        <v>45984.9006543287</v>
      </c>
      <c r="K653" s="27" t="inlineStr">
        <is>
          <t>Collected</t>
        </is>
      </c>
      <c r="L653" s="27" t="inlineStr">
        <is>
          <t>Standard</t>
        </is>
      </c>
      <c r="M653" s="27" t="inlineStr">
        <is>
          <t>KwaZulu-Natal</t>
        </is>
      </c>
      <c r="N653" s="27" t="n">
        <v>1338.65</v>
      </c>
      <c r="O653" s="27" t="n">
        <v>1.12</v>
      </c>
      <c r="P653" s="27" t="n">
        <v>47.07</v>
      </c>
      <c r="Q653" s="42">
        <f>IF(H653="","",(H653-F653)*24)</f>
        <v/>
      </c>
      <c r="R653" s="42">
        <f>IF(J653="","",(J653-H653)*24)</f>
        <v/>
      </c>
    </row>
    <row r="654" ht="15" customHeight="1" s="24">
      <c r="A654" s="27" t="n">
        <v>869736</v>
      </c>
      <c r="B654" s="27" t="inlineStr">
        <is>
          <t>PGO10869736</t>
        </is>
      </c>
      <c r="C654" s="27" t="n">
        <v>1</v>
      </c>
      <c r="D654" s="27" t="n">
        <v>853</v>
      </c>
      <c r="E654" s="27" t="n">
        <v>463</v>
      </c>
      <c r="F654" s="41" t="n">
        <v>45983.50676650463</v>
      </c>
      <c r="G654" s="41" t="n">
        <v>45983.80975491898</v>
      </c>
      <c r="H654" s="41" t="n">
        <v>45985.05738234954</v>
      </c>
      <c r="I654" s="41" t="n">
        <v>45985.0794009838</v>
      </c>
      <c r="J654" s="41" t="n">
        <v>45985.24068447917</v>
      </c>
      <c r="K654" s="27" t="inlineStr">
        <is>
          <t>Collected</t>
        </is>
      </c>
      <c r="L654" s="27" t="inlineStr">
        <is>
          <t>Standard</t>
        </is>
      </c>
      <c r="M654" s="27" t="inlineStr">
        <is>
          <t>Gauteng</t>
        </is>
      </c>
      <c r="N654" s="27" t="n">
        <v>527.26</v>
      </c>
      <c r="O654" s="27" t="n">
        <v>3.73</v>
      </c>
      <c r="P654" s="27" t="n">
        <v>46.16</v>
      </c>
      <c r="Q654" s="42">
        <f>IF(H654="","",(H654-F654)*24)</f>
        <v/>
      </c>
      <c r="R654" s="42">
        <f>IF(J654="","",(J654-H654)*24)</f>
        <v/>
      </c>
    </row>
    <row r="655" ht="15" customHeight="1" s="24">
      <c r="A655" s="27" t="n">
        <v>879752</v>
      </c>
      <c r="B655" s="27" t="inlineStr">
        <is>
          <t>PGO10879752</t>
        </is>
      </c>
      <c r="C655" s="27" t="n">
        <v>2</v>
      </c>
      <c r="D655" s="27" t="n">
        <v>3978</v>
      </c>
      <c r="E655" s="27" t="n">
        <v>457</v>
      </c>
      <c r="F655" s="41" t="n">
        <v>45984.18937541667</v>
      </c>
      <c r="G655" s="41" t="n">
        <v>45984.4761019213</v>
      </c>
      <c r="H655" s="41" t="n">
        <v>45985.10838741898</v>
      </c>
      <c r="I655" s="41" t="n">
        <v>45985.1611171875</v>
      </c>
      <c r="J655" s="41" t="n">
        <v>45986.55289767361</v>
      </c>
      <c r="K655" s="27" t="inlineStr">
        <is>
          <t>Collected</t>
        </is>
      </c>
      <c r="L655" s="27" t="inlineStr">
        <is>
          <t>Standard</t>
        </is>
      </c>
      <c r="M655" s="27" t="inlineStr">
        <is>
          <t>Gauteng</t>
        </is>
      </c>
      <c r="N655" s="27" t="n">
        <v>65.25</v>
      </c>
      <c r="O655" s="27" t="n">
        <v>2.03</v>
      </c>
      <c r="P655" s="27" t="n">
        <v>47.39</v>
      </c>
      <c r="Q655" s="42">
        <f>IF(H655="","",(H655-F655)*24)</f>
        <v/>
      </c>
      <c r="R655" s="42">
        <f>IF(J655="","",(J655-H655)*24)</f>
        <v/>
      </c>
    </row>
    <row r="656" ht="15" customHeight="1" s="24">
      <c r="A656" s="27" t="n">
        <v>906523</v>
      </c>
      <c r="B656" s="27" t="inlineStr">
        <is>
          <t>PGO10906523</t>
        </is>
      </c>
      <c r="C656" s="27" t="n">
        <v>104</v>
      </c>
      <c r="D656" s="27" t="n">
        <v>3</v>
      </c>
      <c r="E656" s="27" t="n">
        <v>447</v>
      </c>
      <c r="F656" s="41" t="n">
        <v>45984.33680114584</v>
      </c>
      <c r="G656" s="41" t="n">
        <v>45984.69727215278</v>
      </c>
      <c r="H656" s="41" t="n">
        <v>45986.17503295139</v>
      </c>
      <c r="I656" s="41" t="n">
        <v>45986.22818078704</v>
      </c>
      <c r="J656" s="41" t="n">
        <v>45991.63340005787</v>
      </c>
      <c r="K656" s="27" t="inlineStr">
        <is>
          <t>Collected</t>
        </is>
      </c>
      <c r="L656" s="27" t="inlineStr">
        <is>
          <t>Standard</t>
        </is>
      </c>
      <c r="M656" s="27" t="inlineStr">
        <is>
          <t>Mpumalanga</t>
        </is>
      </c>
      <c r="N656" s="27" t="n">
        <v>174.79</v>
      </c>
      <c r="O656" s="27" t="n">
        <v>3.62</v>
      </c>
      <c r="P656" s="27" t="n">
        <v>59.38</v>
      </c>
      <c r="Q656" s="42">
        <f>IF(H656="","",(H656-F656)*24)</f>
        <v/>
      </c>
      <c r="R656" s="42">
        <f>IF(J656="","",(J656-H656)*24)</f>
        <v/>
      </c>
    </row>
    <row r="657" ht="15" customHeight="1" s="24">
      <c r="A657" s="27" t="n">
        <v>888990</v>
      </c>
      <c r="B657" s="27" t="inlineStr">
        <is>
          <t>PGO10888990</t>
        </is>
      </c>
      <c r="C657" s="27" t="n">
        <v>84</v>
      </c>
      <c r="D657" s="27" t="n">
        <v>3734</v>
      </c>
      <c r="E657" s="27" t="n">
        <v>159</v>
      </c>
      <c r="F657" s="41" t="n">
        <v>45985.19835341435</v>
      </c>
      <c r="G657" s="41" t="n">
        <v>45985.28977952546</v>
      </c>
      <c r="H657" s="41" t="n">
        <v>45985.96830072917</v>
      </c>
      <c r="I657" s="41" t="n">
        <v>45985.98362247685</v>
      </c>
      <c r="J657" s="41" t="n">
        <v>45986.98730179398</v>
      </c>
      <c r="K657" s="27" t="inlineStr">
        <is>
          <t>Collected</t>
        </is>
      </c>
      <c r="L657" s="27" t="inlineStr">
        <is>
          <t>Express</t>
        </is>
      </c>
      <c r="M657" s="27" t="inlineStr">
        <is>
          <t>Limpopo</t>
        </is>
      </c>
      <c r="N657" s="27" t="n">
        <v>241.37</v>
      </c>
      <c r="O657" s="27" t="n">
        <v>5.71</v>
      </c>
      <c r="P657" s="27" t="n">
        <v>65.69</v>
      </c>
      <c r="Q657" s="42">
        <f>IF(H657="","",(H657-F657)*24)</f>
        <v/>
      </c>
      <c r="R657" s="42">
        <f>IF(J657="","",(J657-H657)*24)</f>
        <v/>
      </c>
    </row>
    <row r="658" ht="15" customHeight="1" s="24">
      <c r="A658" s="27" t="n">
        <v>865955</v>
      </c>
      <c r="B658" s="27" t="inlineStr">
        <is>
          <t>PGO10865955</t>
        </is>
      </c>
      <c r="C658" s="27" t="n">
        <v>118</v>
      </c>
      <c r="D658" s="27" t="n">
        <v>600</v>
      </c>
      <c r="E658" s="27" t="n">
        <v>134</v>
      </c>
      <c r="F658" s="41" t="n">
        <v>45985.42596092592</v>
      </c>
      <c r="G658" s="41" t="n">
        <v>45985.69111693287</v>
      </c>
      <c r="H658" s="41" t="n">
        <v>45986.13301303241</v>
      </c>
      <c r="I658" s="41" t="n">
        <v>45986.13939585648</v>
      </c>
      <c r="J658" s="41" t="n">
        <v>45986.5318397338</v>
      </c>
      <c r="K658" s="27" t="inlineStr">
        <is>
          <t>Collected</t>
        </is>
      </c>
      <c r="L658" s="27" t="inlineStr">
        <is>
          <t>Standard</t>
        </is>
      </c>
      <c r="M658" s="27" t="inlineStr">
        <is>
          <t>Free State</t>
        </is>
      </c>
      <c r="N658" s="27" t="n">
        <v>157.57</v>
      </c>
      <c r="O658" s="27" t="n">
        <v>0.96</v>
      </c>
      <c r="P658" s="27" t="n">
        <v>57.34</v>
      </c>
      <c r="Q658" s="42">
        <f>IF(H658="","",(H658-F658)*24)</f>
        <v/>
      </c>
      <c r="R658" s="42">
        <f>IF(J658="","",(J658-H658)*24)</f>
        <v/>
      </c>
    </row>
    <row r="659" ht="15" customHeight="1" s="24">
      <c r="A659" s="27" t="n">
        <v>907481</v>
      </c>
      <c r="B659" s="27" t="inlineStr">
        <is>
          <t>PGO10907481</t>
        </is>
      </c>
      <c r="C659" s="27" t="n">
        <v>1</v>
      </c>
      <c r="D659" s="27" t="n">
        <v>3695</v>
      </c>
      <c r="E659" s="27" t="n">
        <v>286</v>
      </c>
      <c r="F659" s="41" t="n">
        <v>45986.81661503472</v>
      </c>
      <c r="G659" s="41" t="n">
        <v>45987.02828489583</v>
      </c>
      <c r="H659" s="41" t="n">
        <v>45987.47215326389</v>
      </c>
      <c r="I659" s="41" t="n">
        <v>45987.47468332176</v>
      </c>
      <c r="J659" s="41" t="n">
        <v>45988.10342239583</v>
      </c>
      <c r="K659" s="27" t="inlineStr">
        <is>
          <t>Collected</t>
        </is>
      </c>
      <c r="L659" s="27" t="inlineStr">
        <is>
          <t>Return-to-Retailer</t>
        </is>
      </c>
      <c r="M659" s="27" t="inlineStr">
        <is>
          <t>Western Cape</t>
        </is>
      </c>
      <c r="N659" s="27" t="n">
        <v>197.71</v>
      </c>
      <c r="O659" s="27" t="n">
        <v>0.82</v>
      </c>
      <c r="P659" s="27" t="n">
        <v>45.52</v>
      </c>
      <c r="Q659" s="42">
        <f>IF(H659="","",(H659-F659)*24)</f>
        <v/>
      </c>
      <c r="R659" s="42">
        <f>IF(J659="","",(J659-H659)*24)</f>
        <v/>
      </c>
    </row>
    <row r="660" ht="15" customHeight="1" s="24">
      <c r="A660" s="27" t="n">
        <v>881212</v>
      </c>
      <c r="B660" s="27" t="inlineStr">
        <is>
          <t>PGO10881212</t>
        </is>
      </c>
      <c r="C660" s="27" t="n">
        <v>2</v>
      </c>
      <c r="D660" s="27" t="n">
        <v>2280</v>
      </c>
      <c r="E660" s="27" t="n">
        <v>331</v>
      </c>
      <c r="F660" s="41" t="n">
        <v>45986.92720228009</v>
      </c>
      <c r="G660" s="41" t="n">
        <v>45987.0070071412</v>
      </c>
      <c r="H660" s="41" t="n">
        <v>45988.41478065972</v>
      </c>
      <c r="I660" s="41" t="n">
        <v>45988.46908653935</v>
      </c>
      <c r="J660" s="41" t="n">
        <v>45989.80587752315</v>
      </c>
      <c r="K660" s="27" t="inlineStr">
        <is>
          <t>Collected</t>
        </is>
      </c>
      <c r="L660" s="27" t="inlineStr">
        <is>
          <t>Express</t>
        </is>
      </c>
      <c r="M660" s="27" t="inlineStr">
        <is>
          <t>Gauteng</t>
        </is>
      </c>
      <c r="N660" s="27" t="n">
        <v>89.31</v>
      </c>
      <c r="O660" s="27" t="n">
        <v>1.83</v>
      </c>
      <c r="P660" s="27" t="n">
        <v>51.56</v>
      </c>
      <c r="Q660" s="42">
        <f>IF(H660="","",(H660-F660)*24)</f>
        <v/>
      </c>
      <c r="R660" s="42">
        <f>IF(J660="","",(J660-H660)*24)</f>
        <v/>
      </c>
    </row>
    <row r="661" ht="15" customHeight="1" s="24">
      <c r="A661" s="27" t="n">
        <v>893944</v>
      </c>
      <c r="B661" s="27" t="inlineStr">
        <is>
          <t>PGO10893944</t>
        </is>
      </c>
      <c r="C661" s="27" t="n">
        <v>17</v>
      </c>
      <c r="D661" s="27" t="n">
        <v>3978</v>
      </c>
      <c r="E661" s="27" t="n">
        <v>375</v>
      </c>
      <c r="F661" s="41" t="n">
        <v>45987.2983284838</v>
      </c>
      <c r="G661" s="41" t="n">
        <v>45987.75497422454</v>
      </c>
      <c r="H661" s="41" t="n">
        <v>45988.311619375</v>
      </c>
      <c r="I661" s="41" t="n">
        <v>45988.33825819445</v>
      </c>
      <c r="J661" s="41" t="n">
        <v>45989.86859892361</v>
      </c>
      <c r="K661" s="27" t="inlineStr">
        <is>
          <t>Collected</t>
        </is>
      </c>
      <c r="L661" s="27" t="inlineStr">
        <is>
          <t>Standard</t>
        </is>
      </c>
      <c r="M661" s="27" t="inlineStr">
        <is>
          <t>Gauteng</t>
        </is>
      </c>
      <c r="N661" s="27" t="n">
        <v>357.56</v>
      </c>
      <c r="O661" s="27" t="n">
        <v>1.15</v>
      </c>
      <c r="P661" s="27" t="n">
        <v>51.94</v>
      </c>
      <c r="Q661" s="42">
        <f>IF(H661="","",(H661-F661)*24)</f>
        <v/>
      </c>
      <c r="R661" s="42">
        <f>IF(J661="","",(J661-H661)*24)</f>
        <v/>
      </c>
    </row>
    <row r="662" ht="15" customHeight="1" s="24">
      <c r="A662" s="27" t="n">
        <v>861012</v>
      </c>
      <c r="B662" s="27" t="inlineStr">
        <is>
          <t>PGO10861012</t>
        </is>
      </c>
      <c r="C662" s="27" t="n">
        <v>17</v>
      </c>
      <c r="D662" s="27" t="n">
        <v>1301</v>
      </c>
      <c r="E662" s="27" t="n">
        <v>160</v>
      </c>
      <c r="F662" s="41" t="n">
        <v>45987.69539108796</v>
      </c>
      <c r="G662" s="41" t="n">
        <v>45988.09977266203</v>
      </c>
      <c r="H662" s="41" t="n">
        <v>45988.94671956018</v>
      </c>
      <c r="I662" s="41" t="n">
        <v>45988.95461546296</v>
      </c>
      <c r="J662" s="41" t="n">
        <v>45990.08715168981</v>
      </c>
      <c r="K662" s="27" t="inlineStr">
        <is>
          <t>Collected</t>
        </is>
      </c>
      <c r="L662" s="27" t="inlineStr">
        <is>
          <t>Standard</t>
        </is>
      </c>
      <c r="M662" s="27" t="inlineStr">
        <is>
          <t>Limpopo</t>
        </is>
      </c>
      <c r="N662" s="27" t="n">
        <v>371.65</v>
      </c>
      <c r="O662" s="27" t="n">
        <v>0.83</v>
      </c>
      <c r="P662" s="27" t="n">
        <v>56.81</v>
      </c>
      <c r="Q662" s="42">
        <f>IF(H662="","",(H662-F662)*24)</f>
        <v/>
      </c>
      <c r="R662" s="42">
        <f>IF(J662="","",(J662-H662)*24)</f>
        <v/>
      </c>
    </row>
    <row r="663" ht="15" customHeight="1" s="24">
      <c r="A663" s="27" t="n">
        <v>922390</v>
      </c>
      <c r="B663" s="27" t="inlineStr">
        <is>
          <t>PGO10922390</t>
        </is>
      </c>
      <c r="C663" s="27" t="n">
        <v>22</v>
      </c>
      <c r="D663" s="27" t="n">
        <v>3775</v>
      </c>
      <c r="E663" s="27" t="n">
        <v>229</v>
      </c>
      <c r="F663" s="41" t="n">
        <v>45988.26296594908</v>
      </c>
      <c r="G663" s="41" t="n">
        <v>45988.5132903125</v>
      </c>
      <c r="H663" s="41" t="n">
        <v>45989.4170028588</v>
      </c>
      <c r="I663" s="41" t="n">
        <v>45989.46590131945</v>
      </c>
      <c r="J663" s="41" t="n">
        <v>45992.65251087963</v>
      </c>
      <c r="K663" s="27" t="inlineStr">
        <is>
          <t>Collected</t>
        </is>
      </c>
      <c r="L663" s="27" t="inlineStr">
        <is>
          <t>Standard</t>
        </is>
      </c>
      <c r="M663" s="27" t="inlineStr">
        <is>
          <t>KwaZulu-Natal</t>
        </is>
      </c>
      <c r="N663" s="27" t="n">
        <v>130.25</v>
      </c>
      <c r="O663" s="27" t="n">
        <v>1.83</v>
      </c>
      <c r="P663" s="27" t="n">
        <v>53.47</v>
      </c>
      <c r="Q663" s="42">
        <f>IF(H663="","",(H663-F663)*24)</f>
        <v/>
      </c>
      <c r="R663" s="42">
        <f>IF(J663="","",(J663-H663)*24)</f>
        <v/>
      </c>
    </row>
    <row r="664" ht="15" customHeight="1" s="24">
      <c r="A664" s="27" t="n">
        <v>918084</v>
      </c>
      <c r="B664" s="27" t="inlineStr">
        <is>
          <t>PGO10918084</t>
        </is>
      </c>
      <c r="C664" s="27" t="n">
        <v>82</v>
      </c>
      <c r="D664" s="27" t="n">
        <v>1672</v>
      </c>
      <c r="E664" s="27" t="n">
        <v>324</v>
      </c>
      <c r="F664" s="41" t="n">
        <v>45988.39817524306</v>
      </c>
      <c r="G664" s="41" t="n">
        <v>45988.94784763889</v>
      </c>
      <c r="H664" s="41" t="n">
        <v>45989.2754430787</v>
      </c>
      <c r="I664" s="41" t="n">
        <v>45989.29068847223</v>
      </c>
      <c r="J664" s="41" t="n">
        <v>45990.3400683912</v>
      </c>
      <c r="K664" s="27" t="inlineStr">
        <is>
          <t>Collected</t>
        </is>
      </c>
      <c r="L664" s="27" t="inlineStr">
        <is>
          <t>Standard</t>
        </is>
      </c>
      <c r="M664" s="27" t="inlineStr">
        <is>
          <t>Eastern Cape</t>
        </is>
      </c>
      <c r="N664" s="27" t="n">
        <v>235.39</v>
      </c>
      <c r="O664" s="27" t="n">
        <v>1.57</v>
      </c>
      <c r="P664" s="27" t="n">
        <v>51.41</v>
      </c>
      <c r="Q664" s="42">
        <f>IF(H664="","",(H664-F664)*24)</f>
        <v/>
      </c>
      <c r="R664" s="42">
        <f>IF(J664="","",(J664-H664)*24)</f>
        <v/>
      </c>
    </row>
    <row r="665" ht="15" customHeight="1" s="24">
      <c r="A665" s="27" t="n">
        <v>906050</v>
      </c>
      <c r="B665" s="27" t="inlineStr">
        <is>
          <t>PGO10906050</t>
        </is>
      </c>
      <c r="C665" s="27" t="n">
        <v>1</v>
      </c>
      <c r="D665" s="27" t="n">
        <v>907</v>
      </c>
      <c r="E665" s="27" t="n">
        <v>229</v>
      </c>
      <c r="F665" s="41" t="n">
        <v>45990.75415630787</v>
      </c>
      <c r="G665" s="41" t="n">
        <v>45991.09426453704</v>
      </c>
      <c r="H665" s="41" t="n">
        <v>45991.87959469907</v>
      </c>
      <c r="I665" s="41" t="n">
        <v>45991.88970553241</v>
      </c>
      <c r="J665" s="41" t="n">
        <v>45994.7200984375</v>
      </c>
      <c r="K665" s="27" t="inlineStr">
        <is>
          <t>Collected</t>
        </is>
      </c>
      <c r="L665" s="27" t="inlineStr">
        <is>
          <t>Standard</t>
        </is>
      </c>
      <c r="M665" s="27" t="inlineStr">
        <is>
          <t>KwaZulu-Natal</t>
        </is>
      </c>
      <c r="N665" s="27" t="n">
        <v>57.28</v>
      </c>
      <c r="O665" s="27" t="n">
        <v>3.96</v>
      </c>
      <c r="P665" s="27" t="n">
        <v>44.7</v>
      </c>
      <c r="Q665" s="42">
        <f>IF(H665="","",(H665-F665)*24)</f>
        <v/>
      </c>
      <c r="R665" s="42">
        <f>IF(J665="","",(J665-H665)*24)</f>
        <v/>
      </c>
    </row>
    <row r="666" ht="15" customHeight="1" s="24">
      <c r="A666" s="27" t="n">
        <v>922732</v>
      </c>
      <c r="B666" s="27" t="inlineStr">
        <is>
          <t>PGO10922732</t>
        </is>
      </c>
      <c r="C666" s="27" t="n">
        <v>1</v>
      </c>
      <c r="D666" s="27" t="n">
        <v>1519</v>
      </c>
      <c r="E666" s="27" t="n">
        <v>483</v>
      </c>
      <c r="F666" s="41" t="n">
        <v>45990.9726549537</v>
      </c>
      <c r="G666" s="41" t="n">
        <v>45991.17657686343</v>
      </c>
      <c r="H666" s="41" t="n">
        <v>45992.26209305556</v>
      </c>
      <c r="I666" s="41" t="n">
        <v>45992.32072461805</v>
      </c>
      <c r="J666" s="41" t="n">
        <v>45993.58365988426</v>
      </c>
      <c r="K666" s="27" t="inlineStr">
        <is>
          <t>Collected</t>
        </is>
      </c>
      <c r="L666" s="27" t="inlineStr">
        <is>
          <t>Standard</t>
        </is>
      </c>
      <c r="M666" s="27" t="inlineStr">
        <is>
          <t>Mpumalanga</t>
        </is>
      </c>
      <c r="N666" s="27" t="n">
        <v>305.64</v>
      </c>
      <c r="O666" s="27" t="n">
        <v>0.24</v>
      </c>
      <c r="P666" s="27" t="n">
        <v>46.03</v>
      </c>
      <c r="Q666" s="42">
        <f>IF(H666="","",(H666-F666)*24)</f>
        <v/>
      </c>
      <c r="R666" s="42">
        <f>IF(J666="","",(J666-H666)*24)</f>
        <v/>
      </c>
    </row>
    <row r="667" ht="15" customHeight="1" s="24">
      <c r="A667" s="27" t="n">
        <v>911892</v>
      </c>
      <c r="B667" s="27" t="inlineStr">
        <is>
          <t>PGO10911892</t>
        </is>
      </c>
      <c r="C667" s="27" t="n">
        <v>110</v>
      </c>
      <c r="D667" s="27" t="n">
        <v>2766</v>
      </c>
      <c r="E667" s="27" t="n">
        <v>389</v>
      </c>
      <c r="F667" s="41" t="n">
        <v>45991.060003125</v>
      </c>
      <c r="G667" s="41" t="n">
        <v>45991.5974384375</v>
      </c>
      <c r="H667" s="41" t="n">
        <v>45992.43591846065</v>
      </c>
      <c r="I667" s="41" t="n">
        <v>45992.484639375</v>
      </c>
      <c r="J667" s="41" t="n">
        <v>45993.93245958333</v>
      </c>
      <c r="K667" s="27" t="inlineStr">
        <is>
          <t>Collected</t>
        </is>
      </c>
      <c r="L667" s="27" t="inlineStr">
        <is>
          <t>Standard</t>
        </is>
      </c>
      <c r="M667" s="27" t="inlineStr">
        <is>
          <t>Mpumalanga</t>
        </is>
      </c>
      <c r="N667" s="27" t="n">
        <v>306.06</v>
      </c>
      <c r="O667" s="27" t="n">
        <v>0.99</v>
      </c>
      <c r="P667" s="27" t="n">
        <v>68.84999999999999</v>
      </c>
      <c r="Q667" s="42">
        <f>IF(H667="","",(H667-F667)*24)</f>
        <v/>
      </c>
      <c r="R667" s="42">
        <f>IF(J667="","",(J667-H667)*24)</f>
        <v/>
      </c>
    </row>
    <row r="668" ht="15" customHeight="1" s="24">
      <c r="A668" s="27" t="n">
        <v>921793</v>
      </c>
      <c r="B668" s="27" t="inlineStr">
        <is>
          <t>PGO10921793</t>
        </is>
      </c>
      <c r="C668" s="27" t="n">
        <v>2</v>
      </c>
      <c r="D668" s="27" t="n">
        <v>2941</v>
      </c>
      <c r="E668" s="27" t="n">
        <v>157</v>
      </c>
      <c r="F668" s="41" t="n">
        <v>45991.31584878472</v>
      </c>
      <c r="G668" s="41" t="n">
        <v>45991.9424637037</v>
      </c>
      <c r="H668" s="41" t="n">
        <v>45992.38781561342</v>
      </c>
      <c r="I668" s="41" t="n">
        <v>45992.39074657408</v>
      </c>
      <c r="J668" s="41" t="n">
        <v>45992.63409078704</v>
      </c>
      <c r="K668" s="27" t="inlineStr">
        <is>
          <t>Collected</t>
        </is>
      </c>
      <c r="L668" s="27" t="inlineStr">
        <is>
          <t>Standard</t>
        </is>
      </c>
      <c r="M668" s="27" t="inlineStr">
        <is>
          <t>Free State</t>
        </is>
      </c>
      <c r="N668" s="27" t="n">
        <v>351.45</v>
      </c>
      <c r="O668" s="27" t="n">
        <v>2.09</v>
      </c>
      <c r="P668" s="27" t="n">
        <v>49.04</v>
      </c>
      <c r="Q668" s="42">
        <f>IF(H668="","",(H668-F668)*24)</f>
        <v/>
      </c>
      <c r="R668" s="42">
        <f>IF(J668="","",(J668-H668)*24)</f>
        <v/>
      </c>
    </row>
    <row r="669" ht="15" customHeight="1" s="24">
      <c r="A669" s="27" t="n">
        <v>891903</v>
      </c>
      <c r="B669" s="27" t="inlineStr">
        <is>
          <t>PGO10891903</t>
        </is>
      </c>
      <c r="C669" s="27" t="n">
        <v>105</v>
      </c>
      <c r="D669" s="27" t="n">
        <v>2396</v>
      </c>
      <c r="E669" s="27" t="n">
        <v>284</v>
      </c>
      <c r="F669" s="41" t="n">
        <v>45991.48408356481</v>
      </c>
      <c r="G669" s="41" t="n">
        <v>45992.09779020833</v>
      </c>
      <c r="H669" s="41" t="n">
        <v>45992.51718583333</v>
      </c>
      <c r="I669" s="41" t="n">
        <v>45992.54855009259</v>
      </c>
      <c r="J669" s="41" t="n">
        <v>45994.4176253125</v>
      </c>
      <c r="K669" s="27" t="inlineStr">
        <is>
          <t>Collected</t>
        </is>
      </c>
      <c r="L669" s="27" t="inlineStr">
        <is>
          <t>Standard</t>
        </is>
      </c>
      <c r="M669" s="27" t="inlineStr">
        <is>
          <t>KwaZulu-Natal</t>
        </is>
      </c>
      <c r="N669" s="27" t="n">
        <v>197.05</v>
      </c>
      <c r="O669" s="27" t="n">
        <v>0.92</v>
      </c>
      <c r="P669" s="27" t="n">
        <v>53.51</v>
      </c>
      <c r="Q669" s="42">
        <f>IF(H669="","",(H669-F669)*24)</f>
        <v/>
      </c>
      <c r="R669" s="42">
        <f>IF(J669="","",(J669-H669)*24)</f>
        <v/>
      </c>
    </row>
    <row r="670" ht="15" customHeight="1" s="24">
      <c r="A670" s="27" t="n">
        <v>912140</v>
      </c>
      <c r="B670" s="27" t="inlineStr">
        <is>
          <t>PGO10912140</t>
        </is>
      </c>
      <c r="C670" s="27" t="n">
        <v>1</v>
      </c>
      <c r="D670" s="27" t="n">
        <v>3038</v>
      </c>
      <c r="E670" s="27" t="n">
        <v>105</v>
      </c>
      <c r="F670" s="41" t="n">
        <v>45991.78369321759</v>
      </c>
      <c r="G670" s="41" t="n">
        <v>45992.06910596065</v>
      </c>
      <c r="H670" s="41" t="n">
        <v>45992.79525890046</v>
      </c>
      <c r="I670" s="41" t="n">
        <v>45992.8441265162</v>
      </c>
      <c r="J670" s="41" t="n">
        <v>45995.97415878472</v>
      </c>
      <c r="K670" s="27" t="inlineStr">
        <is>
          <t>Collected</t>
        </is>
      </c>
      <c r="L670" s="27" t="inlineStr">
        <is>
          <t>Standard</t>
        </is>
      </c>
      <c r="M670" s="27" t="inlineStr">
        <is>
          <t>Gauteng</t>
        </is>
      </c>
      <c r="N670" s="27" t="n">
        <v>892</v>
      </c>
      <c r="O670" s="27" t="n">
        <v>1.01</v>
      </c>
      <c r="P670" s="27" t="n">
        <v>44.38</v>
      </c>
      <c r="Q670" s="42">
        <f>IF(H670="","",(H670-F670)*24)</f>
        <v/>
      </c>
      <c r="R670" s="42">
        <f>IF(J670="","",(J670-H670)*24)</f>
        <v/>
      </c>
    </row>
    <row r="671" ht="15" customHeight="1" s="24">
      <c r="A671" s="27" t="n">
        <v>881787</v>
      </c>
      <c r="B671" s="27" t="inlineStr">
        <is>
          <t>PGO10881787</t>
        </is>
      </c>
      <c r="C671" s="27" t="n">
        <v>26</v>
      </c>
      <c r="D671" s="27" t="n">
        <v>2905</v>
      </c>
      <c r="E671" s="27" t="n">
        <v>367</v>
      </c>
      <c r="F671" s="41" t="n">
        <v>45992.10830539352</v>
      </c>
      <c r="G671" s="41" t="n">
        <v>45992.55567200232</v>
      </c>
      <c r="H671" s="41" t="n">
        <v>45993.29920270833</v>
      </c>
      <c r="I671" s="41" t="n">
        <v>45993.35257258102</v>
      </c>
      <c r="J671" s="41" t="n">
        <v>45994.54573113426</v>
      </c>
      <c r="K671" s="27" t="inlineStr">
        <is>
          <t>Collected</t>
        </is>
      </c>
      <c r="L671" s="27" t="inlineStr">
        <is>
          <t>Standard</t>
        </is>
      </c>
      <c r="M671" s="27" t="inlineStr">
        <is>
          <t>Mpumalanga</t>
        </is>
      </c>
      <c r="N671" s="27" t="n">
        <v>175.21</v>
      </c>
      <c r="O671" s="27" t="n">
        <v>0.11</v>
      </c>
      <c r="P671" s="27" t="n">
        <v>53.92</v>
      </c>
      <c r="Q671" s="42">
        <f>IF(H671="","",(H671-F671)*24)</f>
        <v/>
      </c>
      <c r="R671" s="42">
        <f>IF(J671="","",(J671-H671)*24)</f>
        <v/>
      </c>
    </row>
    <row r="672" ht="15" customHeight="1" s="24">
      <c r="A672" s="27" t="n">
        <v>957880</v>
      </c>
      <c r="B672" s="27" t="inlineStr">
        <is>
          <t>PGO10957880</t>
        </is>
      </c>
      <c r="C672" s="27" t="n">
        <v>52</v>
      </c>
      <c r="D672" s="27" t="n">
        <v>1310</v>
      </c>
      <c r="E672" s="27" t="n">
        <v>267</v>
      </c>
      <c r="F672" s="41" t="n">
        <v>45992.73130354167</v>
      </c>
      <c r="G672" s="41" t="n">
        <v>45992.84120962963</v>
      </c>
      <c r="H672" s="41" t="n">
        <v>45993.31692277778</v>
      </c>
      <c r="I672" s="41" t="n">
        <v>45993.3482071875</v>
      </c>
      <c r="J672" s="41" t="n">
        <v>45993.87420165509</v>
      </c>
      <c r="K672" s="27" t="inlineStr">
        <is>
          <t>Collected</t>
        </is>
      </c>
      <c r="L672" s="27" t="inlineStr">
        <is>
          <t>Standard</t>
        </is>
      </c>
      <c r="M672" s="27" t="inlineStr">
        <is>
          <t>KwaZulu-Natal</t>
        </is>
      </c>
      <c r="N672" s="27" t="n">
        <v>298.97</v>
      </c>
      <c r="O672" s="27" t="n">
        <v>2.36</v>
      </c>
      <c r="P672" s="27" t="n">
        <v>48.98</v>
      </c>
      <c r="Q672" s="42">
        <f>IF(H672="","",(H672-F672)*24)</f>
        <v/>
      </c>
      <c r="R672" s="42">
        <f>IF(J672="","",(J672-H672)*24)</f>
        <v/>
      </c>
    </row>
    <row r="673" ht="15" customHeight="1" s="24">
      <c r="A673" s="27" t="n">
        <v>963069</v>
      </c>
      <c r="B673" s="27" t="inlineStr">
        <is>
          <t>PGO10963069</t>
        </is>
      </c>
      <c r="C673" s="27" t="n">
        <v>70</v>
      </c>
      <c r="D673" s="27" t="n">
        <v>2596</v>
      </c>
      <c r="E673" s="27" t="n">
        <v>29</v>
      </c>
      <c r="F673" s="41" t="n">
        <v>45993.41153815972</v>
      </c>
      <c r="G673" s="41" t="n">
        <v>45993.95326280093</v>
      </c>
      <c r="H673" s="41" t="n">
        <v>45994.95795967593</v>
      </c>
      <c r="I673" s="41" t="n">
        <v>45995.01017393519</v>
      </c>
      <c r="J673" s="41" t="n">
        <v>45995.54559234954</v>
      </c>
      <c r="K673" s="27" t="inlineStr">
        <is>
          <t>Collected</t>
        </is>
      </c>
      <c r="L673" s="27" t="inlineStr">
        <is>
          <t>Standard</t>
        </is>
      </c>
      <c r="M673" s="27" t="inlineStr">
        <is>
          <t>Gauteng</t>
        </is>
      </c>
      <c r="N673" s="27" t="n">
        <v>325.27</v>
      </c>
      <c r="O673" s="27" t="n">
        <v>0.85</v>
      </c>
      <c r="P673" s="27" t="n">
        <v>61.39</v>
      </c>
      <c r="Q673" s="42">
        <f>IF(H673="","",(H673-F673)*24)</f>
        <v/>
      </c>
      <c r="R673" s="42">
        <f>IF(J673="","",(J673-H673)*24)</f>
        <v/>
      </c>
    </row>
    <row r="674" ht="15" customHeight="1" s="24">
      <c r="A674" s="27" t="n">
        <v>949213</v>
      </c>
      <c r="B674" s="27" t="inlineStr">
        <is>
          <t>PGO10949213</t>
        </is>
      </c>
      <c r="C674" s="27" t="n">
        <v>6</v>
      </c>
      <c r="D674" s="27" t="n">
        <v>1427</v>
      </c>
      <c r="E674" s="27" t="n">
        <v>121</v>
      </c>
      <c r="F674" s="41" t="n">
        <v>45994.02305399306</v>
      </c>
      <c r="G674" s="41" t="n">
        <v>45994.20035244213</v>
      </c>
      <c r="H674" s="41" t="n">
        <v>45995.45224981481</v>
      </c>
      <c r="I674" s="41" t="n">
        <v>45995.46245940973</v>
      </c>
      <c r="J674" s="41" t="n">
        <v>45997.15935589121</v>
      </c>
      <c r="K674" s="27" t="inlineStr">
        <is>
          <t>Collected</t>
        </is>
      </c>
      <c r="L674" s="27" t="inlineStr">
        <is>
          <t>Standard</t>
        </is>
      </c>
      <c r="M674" s="27" t="inlineStr">
        <is>
          <t>KwaZulu-Natal</t>
        </is>
      </c>
      <c r="N674" s="27" t="n">
        <v>693.85</v>
      </c>
      <c r="O674" s="27" t="n">
        <v>3.34</v>
      </c>
      <c r="P674" s="27" t="n">
        <v>39.32</v>
      </c>
      <c r="Q674" s="42">
        <f>IF(H674="","",(H674-F674)*24)</f>
        <v/>
      </c>
      <c r="R674" s="42">
        <f>IF(J674="","",(J674-H674)*24)</f>
        <v/>
      </c>
    </row>
    <row r="675" ht="15" customHeight="1" s="24">
      <c r="A675" s="27" t="n">
        <v>949214</v>
      </c>
      <c r="B675" s="27" t="inlineStr">
        <is>
          <t>PGO10949214</t>
        </is>
      </c>
      <c r="C675" s="27" t="n">
        <v>6</v>
      </c>
      <c r="D675" s="27" t="n">
        <v>2180</v>
      </c>
      <c r="E675" s="27" t="n">
        <v>17</v>
      </c>
      <c r="F675" s="41" t="n">
        <v>45994.27424902777</v>
      </c>
      <c r="G675" s="41" t="n">
        <v>45994.52488734954</v>
      </c>
      <c r="H675" s="41" t="n">
        <v>45995.43276178241</v>
      </c>
      <c r="I675" s="41" t="n">
        <v>45995.4917415625</v>
      </c>
      <c r="J675" s="41" t="n">
        <v>45998.03695957176</v>
      </c>
      <c r="K675" s="27" t="inlineStr">
        <is>
          <t>Collected</t>
        </is>
      </c>
      <c r="L675" s="27" t="inlineStr">
        <is>
          <t>Standard</t>
        </is>
      </c>
      <c r="M675" s="27" t="inlineStr">
        <is>
          <t>Gauteng</t>
        </is>
      </c>
      <c r="N675" s="27" t="n">
        <v>680.28</v>
      </c>
      <c r="O675" s="27" t="n">
        <v>0.67</v>
      </c>
      <c r="P675" s="27" t="n">
        <v>38.74</v>
      </c>
      <c r="Q675" s="42">
        <f>IF(H675="","",(H675-F675)*24)</f>
        <v/>
      </c>
      <c r="R675" s="42">
        <f>IF(J675="","",(J675-H675)*24)</f>
        <v/>
      </c>
    </row>
    <row r="676" ht="15" customHeight="1" s="24">
      <c r="A676" s="27" t="n">
        <v>970030</v>
      </c>
      <c r="B676" s="27" t="inlineStr">
        <is>
          <t>PGO10970030</t>
        </is>
      </c>
      <c r="C676" s="27" t="n">
        <v>105</v>
      </c>
      <c r="D676" s="27" t="n">
        <v>2810</v>
      </c>
      <c r="E676" s="27" t="n">
        <v>48</v>
      </c>
      <c r="F676" s="41" t="n">
        <v>45994.50699506945</v>
      </c>
      <c r="G676" s="41" t="n">
        <v>45994.68803745371</v>
      </c>
      <c r="H676" s="41" t="n">
        <v>45995.19653908565</v>
      </c>
      <c r="I676" s="41" t="n">
        <v>45995.19989570602</v>
      </c>
      <c r="J676" s="41" t="n">
        <v>45995.77793207176</v>
      </c>
      <c r="K676" s="27" t="inlineStr">
        <is>
          <t>Collected</t>
        </is>
      </c>
      <c r="L676" s="27" t="inlineStr">
        <is>
          <t>Standard</t>
        </is>
      </c>
      <c r="M676" s="27" t="inlineStr">
        <is>
          <t>KwaZulu-Natal</t>
        </is>
      </c>
      <c r="N676" s="27" t="n">
        <v>1214.27</v>
      </c>
      <c r="O676" s="27" t="n">
        <v>0.33</v>
      </c>
      <c r="P676" s="27" t="n">
        <v>53.11</v>
      </c>
      <c r="Q676" s="42">
        <f>IF(H676="","",(H676-F676)*24)</f>
        <v/>
      </c>
      <c r="R676" s="42">
        <f>IF(J676="","",(J676-H676)*24)</f>
        <v/>
      </c>
    </row>
    <row r="677" ht="15" customHeight="1" s="24">
      <c r="A677" s="27" t="n">
        <v>959517</v>
      </c>
      <c r="B677" s="27" t="inlineStr">
        <is>
          <t>PGO10959517</t>
        </is>
      </c>
      <c r="C677" s="27" t="n">
        <v>119</v>
      </c>
      <c r="D677" s="27" t="n">
        <v>1323</v>
      </c>
      <c r="E677" s="27" t="n">
        <v>372</v>
      </c>
      <c r="F677" s="41" t="n">
        <v>45996.9933697338</v>
      </c>
      <c r="G677" s="41" t="n">
        <v>45997.10934074074</v>
      </c>
      <c r="H677" s="41" t="n">
        <v>45998.16414296296</v>
      </c>
      <c r="I677" s="41" t="n">
        <v>45998.18982820602</v>
      </c>
      <c r="J677" s="41" t="n">
        <v>45999.3809359838</v>
      </c>
      <c r="K677" s="27" t="inlineStr">
        <is>
          <t>Collected</t>
        </is>
      </c>
      <c r="L677" s="27" t="inlineStr">
        <is>
          <t>Standard</t>
        </is>
      </c>
      <c r="M677" s="27" t="inlineStr">
        <is>
          <t>Gauteng</t>
        </is>
      </c>
      <c r="N677" s="27" t="n">
        <v>2098.17</v>
      </c>
      <c r="O677" s="27" t="n">
        <v>0.52</v>
      </c>
      <c r="P677" s="27" t="n">
        <v>50.59</v>
      </c>
      <c r="Q677" s="42">
        <f>IF(H677="","",(H677-F677)*24)</f>
        <v/>
      </c>
      <c r="R677" s="42">
        <f>IF(J677="","",(J677-H677)*24)</f>
        <v/>
      </c>
    </row>
    <row r="678" ht="15" customHeight="1" s="24">
      <c r="A678" s="27" t="n">
        <v>929975</v>
      </c>
      <c r="B678" s="27" t="inlineStr">
        <is>
          <t>PGO10929975</t>
        </is>
      </c>
      <c r="C678" s="27" t="n">
        <v>5</v>
      </c>
      <c r="D678" s="27" t="n">
        <v>1807</v>
      </c>
      <c r="E678" s="27" t="n">
        <v>210</v>
      </c>
      <c r="F678" s="41" t="n">
        <v>45997.15703871528</v>
      </c>
      <c r="G678" s="41" t="n">
        <v>45997.31757434028</v>
      </c>
      <c r="H678" s="41" t="n">
        <v>45998.28559471065</v>
      </c>
      <c r="I678" s="41" t="n">
        <v>45998.30753498842</v>
      </c>
      <c r="J678" s="41" t="n">
        <v>46000.50981662037</v>
      </c>
      <c r="K678" s="27" t="inlineStr">
        <is>
          <t>Collected</t>
        </is>
      </c>
      <c r="L678" s="27" t="inlineStr">
        <is>
          <t>Standard</t>
        </is>
      </c>
      <c r="M678" s="27" t="inlineStr">
        <is>
          <t>KwaZulu-Natal</t>
        </is>
      </c>
      <c r="N678" s="27" t="n">
        <v>594.2</v>
      </c>
      <c r="O678" s="27" t="n">
        <v>3.21</v>
      </c>
      <c r="P678" s="27" t="n">
        <v>58.73</v>
      </c>
      <c r="Q678" s="42">
        <f>IF(H678="","",(H678-F678)*24)</f>
        <v/>
      </c>
      <c r="R678" s="42">
        <f>IF(J678="","",(J678-H678)*24)</f>
        <v/>
      </c>
    </row>
    <row r="679" ht="15" customHeight="1" s="24">
      <c r="A679" s="27" t="n">
        <v>981082</v>
      </c>
      <c r="B679" s="27" t="inlineStr">
        <is>
          <t>PGO10981082</t>
        </is>
      </c>
      <c r="C679" s="27" t="n">
        <v>138</v>
      </c>
      <c r="D679" s="27" t="n">
        <v>3611</v>
      </c>
      <c r="E679" s="27" t="n">
        <v>168</v>
      </c>
      <c r="F679" s="41" t="n">
        <v>45997.5290666088</v>
      </c>
      <c r="G679" s="41" t="n">
        <v>45998.13364027777</v>
      </c>
      <c r="H679" s="41" t="n">
        <v>45998.63760865741</v>
      </c>
      <c r="I679" s="41" t="n">
        <v>45998.67045346065</v>
      </c>
      <c r="J679" s="41" t="n">
        <v>45999.9206259838</v>
      </c>
      <c r="K679" s="27" t="inlineStr">
        <is>
          <t>Collected</t>
        </is>
      </c>
      <c r="L679" s="27" t="inlineStr">
        <is>
          <t>Standard</t>
        </is>
      </c>
      <c r="M679" s="27" t="inlineStr">
        <is>
          <t>Gauteng</t>
        </is>
      </c>
      <c r="N679" s="27" t="n">
        <v>246.98</v>
      </c>
      <c r="O679" s="27" t="n">
        <v>0.46</v>
      </c>
      <c r="P679" s="27" t="n">
        <v>55.26</v>
      </c>
      <c r="Q679" s="42">
        <f>IF(H679="","",(H679-F679)*24)</f>
        <v/>
      </c>
      <c r="R679" s="42">
        <f>IF(J679="","",(J679-H679)*24)</f>
        <v/>
      </c>
    </row>
    <row r="680" ht="15" customHeight="1" s="24">
      <c r="A680" s="27" t="n">
        <v>946388</v>
      </c>
      <c r="B680" s="27" t="inlineStr">
        <is>
          <t>PGO10946388</t>
        </is>
      </c>
      <c r="C680" s="27" t="n">
        <v>105</v>
      </c>
      <c r="D680" s="27" t="n">
        <v>1167</v>
      </c>
      <c r="E680" s="27" t="n">
        <v>481</v>
      </c>
      <c r="F680" s="41" t="n">
        <v>45998.1189762037</v>
      </c>
      <c r="G680" s="41" t="n">
        <v>45998.58277381944</v>
      </c>
      <c r="H680" s="41" t="n">
        <v>45999.34332405093</v>
      </c>
      <c r="I680" s="41" t="n">
        <v>45999.34933153935</v>
      </c>
      <c r="J680" s="41" t="n">
        <v>45999.59915689815</v>
      </c>
      <c r="K680" s="27" t="inlineStr">
        <is>
          <t>Collected</t>
        </is>
      </c>
      <c r="L680" s="27" t="inlineStr">
        <is>
          <t>Standard</t>
        </is>
      </c>
      <c r="M680" s="27" t="inlineStr">
        <is>
          <t>Western Cape</t>
        </is>
      </c>
      <c r="N680" s="27" t="n">
        <v>53.74</v>
      </c>
      <c r="O680" s="27" t="n">
        <v>1.38</v>
      </c>
      <c r="P680" s="27" t="n">
        <v>54.35</v>
      </c>
      <c r="Q680" s="42">
        <f>IF(H680="","",(H680-F680)*24)</f>
        <v/>
      </c>
      <c r="R680" s="42">
        <f>IF(J680="","",(J680-H680)*24)</f>
        <v/>
      </c>
    </row>
    <row r="681" ht="15" customHeight="1" s="24">
      <c r="A681" s="27" t="n">
        <v>933046</v>
      </c>
      <c r="B681" s="27" t="inlineStr">
        <is>
          <t>PGO10933046</t>
        </is>
      </c>
      <c r="C681" s="27" t="n">
        <v>1</v>
      </c>
      <c r="D681" s="27" t="n">
        <v>3534</v>
      </c>
      <c r="E681" s="27" t="n">
        <v>285</v>
      </c>
      <c r="F681" s="41" t="n">
        <v>45998.58451155093</v>
      </c>
      <c r="G681" s="41" t="n">
        <v>45998.68588674768</v>
      </c>
      <c r="H681" s="41" t="n">
        <v>45999.33871415509</v>
      </c>
      <c r="I681" s="41" t="n">
        <v>45999.35479886574</v>
      </c>
      <c r="J681" s="41" t="n">
        <v>46000.52395112268</v>
      </c>
      <c r="K681" s="27" t="inlineStr">
        <is>
          <t>Collected</t>
        </is>
      </c>
      <c r="L681" s="27" t="inlineStr">
        <is>
          <t>Standard</t>
        </is>
      </c>
      <c r="M681" s="27" t="inlineStr">
        <is>
          <t>North West</t>
        </is>
      </c>
      <c r="N681" s="27" t="n">
        <v>381.29</v>
      </c>
      <c r="O681" s="27" t="n">
        <v>2.21</v>
      </c>
      <c r="P681" s="27" t="n">
        <v>47.8</v>
      </c>
      <c r="Q681" s="42">
        <f>IF(H681="","",(H681-F681)*24)</f>
        <v/>
      </c>
      <c r="R681" s="42">
        <f>IF(J681="","",(J681-H681)*24)</f>
        <v/>
      </c>
    </row>
    <row r="682" ht="15" customHeight="1" s="24">
      <c r="A682" s="27" t="n">
        <v>968231</v>
      </c>
      <c r="B682" s="27" t="inlineStr">
        <is>
          <t>PGO10968231</t>
        </is>
      </c>
      <c r="C682" s="27" t="n">
        <v>2</v>
      </c>
      <c r="D682" s="27" t="n">
        <v>1656</v>
      </c>
      <c r="E682" s="27" t="n">
        <v>451</v>
      </c>
      <c r="F682" s="41" t="n">
        <v>46000.97160004629</v>
      </c>
      <c r="G682" s="41" t="n">
        <v>46001.02183824074</v>
      </c>
      <c r="H682" s="41" t="n">
        <v>46001.6465178588</v>
      </c>
      <c r="I682" s="41" t="n">
        <v>46001.6930625</v>
      </c>
      <c r="J682" s="41" t="n">
        <v>46005.05833349537</v>
      </c>
      <c r="K682" s="27" t="inlineStr">
        <is>
          <t>Collected</t>
        </is>
      </c>
      <c r="L682" s="27" t="inlineStr">
        <is>
          <t>Standard</t>
        </is>
      </c>
      <c r="M682" s="27" t="inlineStr">
        <is>
          <t>North West</t>
        </is>
      </c>
      <c r="N682" s="27" t="n">
        <v>532.73</v>
      </c>
      <c r="O682" s="27" t="n">
        <v>0.45</v>
      </c>
      <c r="P682" s="27" t="n">
        <v>51.77</v>
      </c>
      <c r="Q682" s="42">
        <f>IF(H682="","",(H682-F682)*24)</f>
        <v/>
      </c>
      <c r="R682" s="42">
        <f>IF(J682="","",(J682-H682)*24)</f>
        <v/>
      </c>
    </row>
    <row r="683" ht="15" customHeight="1" s="24">
      <c r="A683" s="27" t="n">
        <v>982620</v>
      </c>
      <c r="B683" s="27" t="inlineStr">
        <is>
          <t>PGO10982620</t>
        </is>
      </c>
      <c r="C683" s="27" t="n">
        <v>7</v>
      </c>
      <c r="D683" s="27" t="n">
        <v>1554</v>
      </c>
      <c r="E683" s="27" t="n">
        <v>239</v>
      </c>
      <c r="F683" s="41" t="n">
        <v>46001.0768959375</v>
      </c>
      <c r="G683" s="41" t="n">
        <v>46001.14840204861</v>
      </c>
      <c r="H683" s="41" t="n">
        <v>46002.07993209491</v>
      </c>
      <c r="I683" s="41" t="n">
        <v>46002.12633972222</v>
      </c>
      <c r="J683" s="41" t="n">
        <v>46006.50467405093</v>
      </c>
      <c r="K683" s="27" t="inlineStr">
        <is>
          <t>Collected</t>
        </is>
      </c>
      <c r="L683" s="27" t="inlineStr">
        <is>
          <t>Standard</t>
        </is>
      </c>
      <c r="M683" s="27" t="inlineStr">
        <is>
          <t>North West</t>
        </is>
      </c>
      <c r="N683" s="27" t="n">
        <v>1374.96</v>
      </c>
      <c r="O683" s="27" t="n">
        <v>1.64</v>
      </c>
      <c r="P683" s="27" t="n">
        <v>47.27</v>
      </c>
      <c r="Q683" s="42">
        <f>IF(H683="","",(H683-F683)*24)</f>
        <v/>
      </c>
      <c r="R683" s="42">
        <f>IF(J683="","",(J683-H683)*24)</f>
        <v/>
      </c>
    </row>
    <row r="684" ht="15" customHeight="1" s="24">
      <c r="A684" s="27" t="n">
        <v>946974</v>
      </c>
      <c r="B684" s="27" t="inlineStr">
        <is>
          <t>PGO10946974</t>
        </is>
      </c>
      <c r="C684" s="27" t="n">
        <v>1</v>
      </c>
      <c r="D684" s="27" t="n">
        <v>3256</v>
      </c>
      <c r="E684" s="27" t="n">
        <v>64</v>
      </c>
      <c r="F684" s="41" t="n">
        <v>46002.86945376157</v>
      </c>
      <c r="G684" s="41" t="n">
        <v>46003.02070697916</v>
      </c>
      <c r="H684" s="41" t="n">
        <v>46003.81252659722</v>
      </c>
      <c r="I684" s="41" t="n">
        <v>46003.867996875</v>
      </c>
      <c r="J684" s="41" t="n">
        <v>46004.97773946759</v>
      </c>
      <c r="K684" s="27" t="inlineStr">
        <is>
          <t>Collected</t>
        </is>
      </c>
      <c r="L684" s="27" t="inlineStr">
        <is>
          <t>Standard</t>
        </is>
      </c>
      <c r="M684" s="27" t="inlineStr">
        <is>
          <t>KwaZulu-Natal</t>
        </is>
      </c>
      <c r="N684" s="27" t="n">
        <v>271.79</v>
      </c>
      <c r="O684" s="27" t="n">
        <v>0.53</v>
      </c>
      <c r="P684" s="27" t="n">
        <v>47.4</v>
      </c>
      <c r="Q684" s="42">
        <f>IF(H684="","",(H684-F684)*24)</f>
        <v/>
      </c>
      <c r="R684" s="42">
        <f>IF(J684="","",(J684-H684)*24)</f>
        <v/>
      </c>
    </row>
    <row r="685" ht="15" customHeight="1" s="24">
      <c r="A685" s="27" t="n">
        <v>951175</v>
      </c>
      <c r="B685" s="27" t="inlineStr">
        <is>
          <t>PGO10951175</t>
        </is>
      </c>
      <c r="C685" s="27" t="n">
        <v>115</v>
      </c>
      <c r="D685" s="27" t="n">
        <v>2050</v>
      </c>
      <c r="E685" s="27" t="n">
        <v>81</v>
      </c>
      <c r="F685" s="41" t="n">
        <v>46003.77174627315</v>
      </c>
      <c r="G685" s="41" t="n">
        <v>46004.06831452547</v>
      </c>
      <c r="H685" s="41" t="n">
        <v>46004.76136738426</v>
      </c>
      <c r="I685" s="41" t="n">
        <v>46004.79959682871</v>
      </c>
      <c r="J685" s="41" t="n">
        <v>46005.41075564815</v>
      </c>
      <c r="K685" s="27" t="inlineStr">
        <is>
          <t>Collected</t>
        </is>
      </c>
      <c r="L685" s="27" t="inlineStr">
        <is>
          <t>Express</t>
        </is>
      </c>
      <c r="M685" s="27" t="inlineStr">
        <is>
          <t>Gauteng</t>
        </is>
      </c>
      <c r="N685" s="27" t="n">
        <v>398.45</v>
      </c>
      <c r="O685" s="27" t="n">
        <v>0.27</v>
      </c>
      <c r="P685" s="27" t="n">
        <v>59.76</v>
      </c>
      <c r="Q685" s="42">
        <f>IF(H685="","",(H685-F685)*24)</f>
        <v/>
      </c>
      <c r="R685" s="42">
        <f>IF(J685="","",(J685-H685)*24)</f>
        <v/>
      </c>
    </row>
    <row r="686" ht="15" customHeight="1" s="24">
      <c r="A686" s="27" t="n">
        <v>978293</v>
      </c>
      <c r="B686" s="27" t="inlineStr">
        <is>
          <t>PGO10978293</t>
        </is>
      </c>
      <c r="C686" s="27" t="n">
        <v>136</v>
      </c>
      <c r="D686" s="27" t="n">
        <v>3814</v>
      </c>
      <c r="E686" s="27" t="n">
        <v>361</v>
      </c>
      <c r="F686" s="41" t="n">
        <v>46004.91210872685</v>
      </c>
      <c r="G686" s="41" t="n">
        <v>46005.46567260416</v>
      </c>
      <c r="H686" s="41" t="n">
        <v>46006.18250318287</v>
      </c>
      <c r="I686" s="41" t="n">
        <v>46006.20133295139</v>
      </c>
      <c r="J686" s="41" t="n">
        <v>46006.60250584491</v>
      </c>
      <c r="K686" s="27" t="inlineStr">
        <is>
          <t>Collected</t>
        </is>
      </c>
      <c r="L686" s="27" t="inlineStr">
        <is>
          <t>Standard</t>
        </is>
      </c>
      <c r="M686" s="27" t="inlineStr">
        <is>
          <t>Gauteng</t>
        </is>
      </c>
      <c r="N686" s="27" t="n">
        <v>298.27</v>
      </c>
      <c r="O686" s="27" t="n">
        <v>3.71</v>
      </c>
      <c r="P686" s="27" t="n">
        <v>57.71</v>
      </c>
      <c r="Q686" s="42">
        <f>IF(H686="","",(H686-F686)*24)</f>
        <v/>
      </c>
      <c r="R686" s="42">
        <f>IF(J686="","",(J686-H686)*24)</f>
        <v/>
      </c>
    </row>
    <row r="687" ht="15" customHeight="1" s="24">
      <c r="A687" s="27" t="n">
        <v>940612</v>
      </c>
      <c r="B687" s="27" t="inlineStr">
        <is>
          <t>PGO10940612</t>
        </is>
      </c>
      <c r="C687" s="27" t="n">
        <v>4</v>
      </c>
      <c r="D687" s="27" t="n">
        <v>439</v>
      </c>
      <c r="E687" s="27" t="n">
        <v>343</v>
      </c>
      <c r="F687" s="41" t="n">
        <v>46005.00056366898</v>
      </c>
      <c r="G687" s="41" t="n">
        <v>46005.13343015046</v>
      </c>
      <c r="H687" s="41" t="n">
        <v>46006.28616192129</v>
      </c>
      <c r="I687" s="41" t="n">
        <v>46006.30079278935</v>
      </c>
      <c r="J687" s="41" t="n">
        <v>46008.24783240741</v>
      </c>
      <c r="K687" s="27" t="inlineStr">
        <is>
          <t>Collected</t>
        </is>
      </c>
      <c r="L687" s="27" t="inlineStr">
        <is>
          <t>Standard</t>
        </is>
      </c>
      <c r="M687" s="27" t="inlineStr">
        <is>
          <t>Mpumalanga</t>
        </is>
      </c>
      <c r="N687" s="27" t="n">
        <v>52.09</v>
      </c>
      <c r="O687" s="27" t="n">
        <v>1</v>
      </c>
      <c r="P687" s="27" t="n">
        <v>44.93</v>
      </c>
      <c r="Q687" s="42">
        <f>IF(H687="","",(H687-F687)*24)</f>
        <v/>
      </c>
      <c r="R687" s="42">
        <f>IF(J687="","",(J687-H687)*24)</f>
        <v/>
      </c>
    </row>
    <row r="688" ht="15" customHeight="1" s="24">
      <c r="A688" s="27" t="n">
        <v>932277</v>
      </c>
      <c r="B688" s="27" t="inlineStr">
        <is>
          <t>PGO10932277</t>
        </is>
      </c>
      <c r="C688" s="27" t="n">
        <v>5</v>
      </c>
      <c r="D688" s="27" t="n">
        <v>2511</v>
      </c>
      <c r="E688" s="27" t="n">
        <v>299</v>
      </c>
      <c r="F688" s="41" t="n">
        <v>46005.29108729167</v>
      </c>
      <c r="G688" s="41" t="n">
        <v>46005.37624325231</v>
      </c>
      <c r="H688" s="41" t="n">
        <v>46006.11095050926</v>
      </c>
      <c r="I688" s="41" t="n">
        <v>46006.15993732639</v>
      </c>
      <c r="J688" s="41" t="n">
        <v>46007.05804458333</v>
      </c>
      <c r="K688" s="27" t="inlineStr">
        <is>
          <t>Collected</t>
        </is>
      </c>
      <c r="L688" s="27" t="inlineStr">
        <is>
          <t>Standard</t>
        </is>
      </c>
      <c r="M688" s="27" t="inlineStr">
        <is>
          <t>Eastern Cape</t>
        </is>
      </c>
      <c r="N688" s="27" t="n">
        <v>388.38</v>
      </c>
      <c r="O688" s="27" t="n">
        <v>0.49</v>
      </c>
      <c r="P688" s="27" t="n">
        <v>57</v>
      </c>
      <c r="Q688" s="42">
        <f>IF(H688="","",(H688-F688)*24)</f>
        <v/>
      </c>
      <c r="R688" s="42">
        <f>IF(J688="","",(J688-H688)*24)</f>
        <v/>
      </c>
    </row>
    <row r="689" ht="15" customHeight="1" s="24">
      <c r="A689" s="27" t="n">
        <v>933942</v>
      </c>
      <c r="B689" s="27" t="inlineStr">
        <is>
          <t>PGO10933942</t>
        </is>
      </c>
      <c r="C689" s="27" t="n">
        <v>6</v>
      </c>
      <c r="D689" s="27" t="n">
        <v>1937</v>
      </c>
      <c r="E689" s="27" t="n">
        <v>498</v>
      </c>
      <c r="F689" s="41" t="n">
        <v>46006.21637159722</v>
      </c>
      <c r="G689" s="41" t="n">
        <v>46006.48638081019</v>
      </c>
      <c r="H689" s="41" t="n">
        <v>46006.93275792824</v>
      </c>
      <c r="I689" s="41" t="n">
        <v>46006.97923668982</v>
      </c>
      <c r="J689" s="41" t="n">
        <v>46007.24812975695</v>
      </c>
      <c r="K689" s="27" t="inlineStr">
        <is>
          <t>Collected</t>
        </is>
      </c>
      <c r="L689" s="27" t="inlineStr">
        <is>
          <t>Standard</t>
        </is>
      </c>
      <c r="M689" s="27" t="inlineStr">
        <is>
          <t>KwaZulu-Natal</t>
        </is>
      </c>
      <c r="N689" s="27" t="n">
        <v>43.77</v>
      </c>
      <c r="O689" s="27" t="n">
        <v>1.73</v>
      </c>
      <c r="P689" s="27" t="n">
        <v>39.97</v>
      </c>
      <c r="Q689" s="42">
        <f>IF(H689="","",(H689-F689)*24)</f>
        <v/>
      </c>
      <c r="R689" s="42">
        <f>IF(J689="","",(J689-H689)*24)</f>
        <v/>
      </c>
    </row>
    <row r="690" ht="15" customHeight="1" s="24">
      <c r="A690" s="27" t="n">
        <v>977474</v>
      </c>
      <c r="B690" s="27" t="inlineStr">
        <is>
          <t>PGO10977474</t>
        </is>
      </c>
      <c r="C690" s="27" t="n">
        <v>18</v>
      </c>
      <c r="D690" s="27" t="n">
        <v>193</v>
      </c>
      <c r="E690" s="27" t="n">
        <v>443</v>
      </c>
      <c r="F690" s="41" t="n">
        <v>46007.99883957176</v>
      </c>
      <c r="G690" s="41" t="n">
        <v>46008.29288111111</v>
      </c>
      <c r="H690" s="41" t="n">
        <v>46009.90393125</v>
      </c>
      <c r="I690" s="41" t="n">
        <v>46009.95515682871</v>
      </c>
      <c r="J690" s="41" t="n">
        <v>46010.08147337963</v>
      </c>
      <c r="K690" s="27" t="inlineStr">
        <is>
          <t>Collected</t>
        </is>
      </c>
      <c r="L690" s="27" t="inlineStr">
        <is>
          <t>Standard</t>
        </is>
      </c>
      <c r="M690" s="27" t="inlineStr">
        <is>
          <t>Limpopo</t>
        </is>
      </c>
      <c r="N690" s="27" t="n">
        <v>177.45</v>
      </c>
      <c r="O690" s="27" t="n">
        <v>2.46</v>
      </c>
      <c r="P690" s="27" t="n">
        <v>46.52</v>
      </c>
      <c r="Q690" s="42">
        <f>IF(H690="","",(H690-F690)*24)</f>
        <v/>
      </c>
      <c r="R690" s="42">
        <f>IF(J690="","",(J690-H690)*24)</f>
        <v/>
      </c>
    </row>
    <row r="691" ht="15" customHeight="1" s="24">
      <c r="A691" s="27" t="n">
        <v>949732</v>
      </c>
      <c r="B691" s="27" t="inlineStr">
        <is>
          <t>PGO10949732</t>
        </is>
      </c>
      <c r="C691" s="27" t="n">
        <v>1</v>
      </c>
      <c r="D691" s="27" t="n">
        <v>3593</v>
      </c>
      <c r="E691" s="27" t="n">
        <v>276</v>
      </c>
      <c r="F691" s="41" t="n">
        <v>46008.6360871875</v>
      </c>
      <c r="G691" s="41" t="n">
        <v>46009.23950025463</v>
      </c>
      <c r="H691" s="41" t="n">
        <v>46009.73090447917</v>
      </c>
      <c r="I691" s="41" t="n">
        <v>46009.7883306713</v>
      </c>
      <c r="J691" s="41" t="n">
        <v>46010.88232234953</v>
      </c>
      <c r="K691" s="27" t="inlineStr">
        <is>
          <t>Collected</t>
        </is>
      </c>
      <c r="L691" s="27" t="inlineStr">
        <is>
          <t>Express</t>
        </is>
      </c>
      <c r="M691" s="27" t="inlineStr">
        <is>
          <t>Gauteng</t>
        </is>
      </c>
      <c r="N691" s="27" t="n">
        <v>365.62</v>
      </c>
      <c r="O691" s="27" t="n">
        <v>1.2</v>
      </c>
      <c r="P691" s="27" t="n">
        <v>45.78</v>
      </c>
      <c r="Q691" s="42">
        <f>IF(H691="","",(H691-F691)*24)</f>
        <v/>
      </c>
      <c r="R691" s="42">
        <f>IF(J691="","",(J691-H691)*24)</f>
        <v/>
      </c>
    </row>
    <row r="692" ht="15" customHeight="1" s="24">
      <c r="A692" s="27" t="n">
        <v>946865</v>
      </c>
      <c r="B692" s="27" t="inlineStr">
        <is>
          <t>PGO10946865</t>
        </is>
      </c>
      <c r="C692" s="27" t="n">
        <v>7</v>
      </c>
      <c r="D692" s="27" t="n">
        <v>3534</v>
      </c>
      <c r="E692" s="27" t="n">
        <v>96</v>
      </c>
      <c r="F692" s="41" t="n">
        <v>46009.01439922454</v>
      </c>
      <c r="G692" s="41" t="n">
        <v>46009.18886869213</v>
      </c>
      <c r="H692" s="41" t="n">
        <v>46009.84317153935</v>
      </c>
      <c r="I692" s="41" t="n">
        <v>46009.89803144676</v>
      </c>
      <c r="J692" s="41" t="n">
        <v>46010.2969474537</v>
      </c>
      <c r="K692" s="27" t="inlineStr">
        <is>
          <t>Collected</t>
        </is>
      </c>
      <c r="L692" s="27" t="inlineStr">
        <is>
          <t>Standard</t>
        </is>
      </c>
      <c r="M692" s="27" t="inlineStr">
        <is>
          <t>North West</t>
        </is>
      </c>
      <c r="N692" s="27" t="n">
        <v>837.12</v>
      </c>
      <c r="O692" s="27" t="n">
        <v>7.12</v>
      </c>
      <c r="P692" s="27" t="n">
        <v>71.56</v>
      </c>
      <c r="Q692" s="42">
        <f>IF(H692="","",(H692-F692)*24)</f>
        <v/>
      </c>
      <c r="R692" s="42">
        <f>IF(J692="","",(J692-H692)*24)</f>
        <v/>
      </c>
    </row>
    <row r="693" ht="15" customHeight="1" s="24">
      <c r="A693" s="27" t="n">
        <v>980066</v>
      </c>
      <c r="B693" s="27" t="inlineStr">
        <is>
          <t>PGO10980066</t>
        </is>
      </c>
      <c r="C693" s="27" t="n">
        <v>1</v>
      </c>
      <c r="D693" s="27" t="n">
        <v>3746</v>
      </c>
      <c r="E693" s="27" t="n">
        <v>8</v>
      </c>
      <c r="F693" s="41" t="n">
        <v>46009.08393068287</v>
      </c>
      <c r="G693" s="41" t="n">
        <v>46009.43758697917</v>
      </c>
      <c r="H693" s="41" t="n">
        <v>46010.22009099537</v>
      </c>
      <c r="I693" s="41" t="n">
        <v>46010.27197532407</v>
      </c>
      <c r="J693" s="41" t="n">
        <v>46012.16890349537</v>
      </c>
      <c r="K693" s="27" t="inlineStr">
        <is>
          <t>Collected</t>
        </is>
      </c>
      <c r="L693" s="27" t="inlineStr">
        <is>
          <t>Standard</t>
        </is>
      </c>
      <c r="M693" s="27" t="inlineStr">
        <is>
          <t>Gauteng</t>
        </is>
      </c>
      <c r="N693" s="27" t="n">
        <v>2092.29</v>
      </c>
      <c r="O693" s="27" t="n">
        <v>4.13</v>
      </c>
      <c r="P693" s="27" t="n">
        <v>48.22</v>
      </c>
      <c r="Q693" s="42">
        <f>IF(H693="","",(H693-F693)*24)</f>
        <v/>
      </c>
      <c r="R693" s="42">
        <f>IF(J693="","",(J693-H693)*24)</f>
        <v/>
      </c>
    </row>
    <row r="694" ht="15" customHeight="1" s="24">
      <c r="A694" s="27" t="n">
        <v>978556</v>
      </c>
      <c r="B694" s="27" t="inlineStr">
        <is>
          <t>PGO10978556</t>
        </is>
      </c>
      <c r="C694" s="27" t="n">
        <v>3</v>
      </c>
      <c r="D694" s="27" t="n">
        <v>3646</v>
      </c>
      <c r="E694" s="27" t="n">
        <v>115</v>
      </c>
      <c r="F694" s="41" t="n">
        <v>46009.38588865741</v>
      </c>
      <c r="G694" s="41" t="n">
        <v>46009.60584196759</v>
      </c>
      <c r="H694" s="41" t="n">
        <v>46010.60464734954</v>
      </c>
      <c r="I694" s="41" t="n">
        <v>46010.62314564815</v>
      </c>
      <c r="J694" s="41" t="n">
        <v>46011.87068383102</v>
      </c>
      <c r="K694" s="27" t="inlineStr">
        <is>
          <t>Collected</t>
        </is>
      </c>
      <c r="L694" s="27" t="inlineStr">
        <is>
          <t>Standard</t>
        </is>
      </c>
      <c r="M694" s="27" t="inlineStr">
        <is>
          <t>Eastern Cape</t>
        </is>
      </c>
      <c r="N694" s="27" t="n">
        <v>123.91</v>
      </c>
      <c r="O694" s="27" t="n">
        <v>0.74</v>
      </c>
      <c r="P694" s="27" t="n">
        <v>37.18</v>
      </c>
      <c r="Q694" s="42">
        <f>IF(H694="","",(H694-F694)*24)</f>
        <v/>
      </c>
      <c r="R694" s="42">
        <f>IF(J694="","",(J694-H694)*24)</f>
        <v/>
      </c>
    </row>
    <row r="695" ht="15" customHeight="1" s="24">
      <c r="A695" s="27" t="n">
        <v>931293</v>
      </c>
      <c r="B695" s="27" t="inlineStr">
        <is>
          <t>PGO10931293</t>
        </is>
      </c>
      <c r="C695" s="27" t="n">
        <v>3</v>
      </c>
      <c r="D695" s="27" t="n">
        <v>2714</v>
      </c>
      <c r="E695" s="27" t="n">
        <v>290</v>
      </c>
      <c r="F695" s="41" t="n">
        <v>46009.4394383912</v>
      </c>
      <c r="G695" s="41" t="n">
        <v>46009.52074703704</v>
      </c>
      <c r="H695" s="41" t="n">
        <v>46009.99850128472</v>
      </c>
      <c r="I695" s="41" t="n">
        <v>46010.03762185185</v>
      </c>
      <c r="J695" s="41" t="n">
        <v>46010.08674615741</v>
      </c>
      <c r="K695" s="27" t="inlineStr">
        <is>
          <t>Collected</t>
        </is>
      </c>
      <c r="L695" s="27" t="inlineStr">
        <is>
          <t>Standard</t>
        </is>
      </c>
      <c r="M695" s="27" t="inlineStr">
        <is>
          <t>North West</t>
        </is>
      </c>
      <c r="N695" s="27" t="n">
        <v>136.64</v>
      </c>
      <c r="O695" s="27" t="n">
        <v>2.55</v>
      </c>
      <c r="P695" s="27" t="n">
        <v>39.72</v>
      </c>
      <c r="Q695" s="42">
        <f>IF(H695="","",(H695-F695)*24)</f>
        <v/>
      </c>
      <c r="R695" s="42">
        <f>IF(J695="","",(J695-H695)*24)</f>
        <v/>
      </c>
    </row>
    <row r="696" ht="15" customHeight="1" s="24">
      <c r="A696" s="27" t="n">
        <v>929536</v>
      </c>
      <c r="B696" s="27" t="inlineStr">
        <is>
          <t>PGO10929536</t>
        </is>
      </c>
      <c r="C696" s="27" t="n">
        <v>4</v>
      </c>
      <c r="D696" s="27" t="n">
        <v>3624</v>
      </c>
      <c r="E696" s="27" t="n">
        <v>197</v>
      </c>
      <c r="F696" s="41" t="n">
        <v>46009.88437824074</v>
      </c>
      <c r="G696" s="41" t="n">
        <v>46010.0286415162</v>
      </c>
      <c r="H696" s="41" t="n">
        <v>46010.52099484954</v>
      </c>
      <c r="I696" s="41" t="n">
        <v>46010.52834479167</v>
      </c>
      <c r="J696" s="41" t="n">
        <v>46010.63915623842</v>
      </c>
      <c r="K696" s="27" t="inlineStr">
        <is>
          <t>Collected</t>
        </is>
      </c>
      <c r="L696" s="27" t="inlineStr">
        <is>
          <t>Standard</t>
        </is>
      </c>
      <c r="M696" s="27" t="inlineStr">
        <is>
          <t>Gauteng</t>
        </is>
      </c>
      <c r="N696" s="27" t="n">
        <v>119.03</v>
      </c>
      <c r="O696" s="27" t="n">
        <v>0.25</v>
      </c>
      <c r="P696" s="27" t="n">
        <v>42.54</v>
      </c>
      <c r="Q696" s="42">
        <f>IF(H696="","",(H696-F696)*24)</f>
        <v/>
      </c>
      <c r="R696" s="42">
        <f>IF(J696="","",(J696-H696)*24)</f>
        <v/>
      </c>
    </row>
    <row r="697" ht="15" customHeight="1" s="24">
      <c r="A697" s="27" t="n">
        <v>943901</v>
      </c>
      <c r="B697" s="27" t="inlineStr">
        <is>
          <t>PGO10943901</t>
        </is>
      </c>
      <c r="C697" s="27" t="n">
        <v>17</v>
      </c>
      <c r="D697" s="27" t="n">
        <v>3201</v>
      </c>
      <c r="E697" s="27" t="n">
        <v>151</v>
      </c>
      <c r="F697" s="41" t="n">
        <v>46010.56835738426</v>
      </c>
      <c r="G697" s="41" t="n">
        <v>46010.72303822917</v>
      </c>
      <c r="H697" s="41" t="n">
        <v>46011.52269914352</v>
      </c>
      <c r="I697" s="41" t="n">
        <v>46011.56823366898</v>
      </c>
      <c r="J697" s="41" t="n">
        <v>46014.14564892361</v>
      </c>
      <c r="K697" s="27" t="inlineStr">
        <is>
          <t>Collected</t>
        </is>
      </c>
      <c r="L697" s="27" t="inlineStr">
        <is>
          <t>Standard</t>
        </is>
      </c>
      <c r="M697" s="27" t="inlineStr">
        <is>
          <t>Free State</t>
        </is>
      </c>
      <c r="N697" s="27" t="n">
        <v>260.39</v>
      </c>
      <c r="O697" s="27" t="n">
        <v>1.54</v>
      </c>
      <c r="P697" s="27" t="n">
        <v>54.98</v>
      </c>
      <c r="Q697" s="42">
        <f>IF(H697="","",(H697-F697)*24)</f>
        <v/>
      </c>
      <c r="R697" s="42">
        <f>IF(J697="","",(J697-H697)*24)</f>
        <v/>
      </c>
    </row>
    <row r="698" ht="15" customHeight="1" s="24">
      <c r="A698" s="27" t="n">
        <v>977469</v>
      </c>
      <c r="B698" s="27" t="inlineStr">
        <is>
          <t>PGO10977469</t>
        </is>
      </c>
      <c r="C698" s="27" t="n">
        <v>8</v>
      </c>
      <c r="D698" s="27" t="n">
        <v>3468</v>
      </c>
      <c r="E698" s="27" t="n">
        <v>72</v>
      </c>
      <c r="F698" s="41" t="n">
        <v>46010.58740582176</v>
      </c>
      <c r="G698" s="41" t="n">
        <v>46010.84484681713</v>
      </c>
      <c r="H698" s="41" t="n">
        <v>46012.67372215278</v>
      </c>
      <c r="I698" s="41" t="n">
        <v>46012.6856315162</v>
      </c>
      <c r="J698" s="41" t="n">
        <v>46014.0548075</v>
      </c>
      <c r="K698" s="27" t="inlineStr">
        <is>
          <t>Collected</t>
        </is>
      </c>
      <c r="L698" s="27" t="inlineStr">
        <is>
          <t>Standard</t>
        </is>
      </c>
      <c r="M698" s="27" t="inlineStr">
        <is>
          <t>Eastern Cape</t>
        </is>
      </c>
      <c r="N698" s="27" t="n">
        <v>1581.8</v>
      </c>
      <c r="O698" s="27" t="n">
        <v>1.05</v>
      </c>
      <c r="P698" s="27" t="n">
        <v>58.54</v>
      </c>
      <c r="Q698" s="42">
        <f>IF(H698="","",(H698-F698)*24)</f>
        <v/>
      </c>
      <c r="R698" s="42">
        <f>IF(J698="","",(J698-H698)*24)</f>
        <v/>
      </c>
    </row>
    <row r="699" ht="15" customHeight="1" s="24">
      <c r="A699" s="27" t="n">
        <v>956387</v>
      </c>
      <c r="B699" s="27" t="inlineStr">
        <is>
          <t>PGO10956387</t>
        </is>
      </c>
      <c r="C699" s="27" t="n">
        <v>31</v>
      </c>
      <c r="D699" s="27" t="n">
        <v>1730</v>
      </c>
      <c r="E699" s="27" t="n">
        <v>291</v>
      </c>
      <c r="F699" s="41" t="n">
        <v>46011.36499844908</v>
      </c>
      <c r="G699" s="41" t="n">
        <v>46011.67629256944</v>
      </c>
      <c r="H699" s="41" t="n">
        <v>46012.60609693287</v>
      </c>
      <c r="I699" s="41" t="n">
        <v>46012.63590991898</v>
      </c>
      <c r="J699" s="41" t="n">
        <v>46013.61078545139</v>
      </c>
      <c r="K699" s="27" t="inlineStr">
        <is>
          <t>Collected</t>
        </is>
      </c>
      <c r="L699" s="27" t="inlineStr">
        <is>
          <t>Express</t>
        </is>
      </c>
      <c r="M699" s="27" t="inlineStr">
        <is>
          <t>Gauteng</t>
        </is>
      </c>
      <c r="N699" s="27" t="n">
        <v>92.69</v>
      </c>
      <c r="O699" s="27" t="n">
        <v>2.31</v>
      </c>
      <c r="P699" s="27" t="n">
        <v>60.18</v>
      </c>
      <c r="Q699" s="42">
        <f>IF(H699="","",(H699-F699)*24)</f>
        <v/>
      </c>
      <c r="R699" s="42">
        <f>IF(J699="","",(J699-H699)*24)</f>
        <v/>
      </c>
    </row>
    <row r="700" ht="15" customHeight="1" s="24">
      <c r="A700" s="27" t="n">
        <v>974066</v>
      </c>
      <c r="B700" s="27" t="inlineStr">
        <is>
          <t>PGO10974066</t>
        </is>
      </c>
      <c r="C700" s="27" t="n">
        <v>1</v>
      </c>
      <c r="D700" s="27" t="n">
        <v>2356</v>
      </c>
      <c r="E700" s="27" t="n">
        <v>51</v>
      </c>
      <c r="F700" s="41" t="n">
        <v>46011.43390056713</v>
      </c>
      <c r="G700" s="41" t="n">
        <v>46011.78653298611</v>
      </c>
      <c r="H700" s="41" t="n">
        <v>46012.07337215278</v>
      </c>
      <c r="I700" s="41" t="n">
        <v>46012.07758263889</v>
      </c>
      <c r="J700" s="41" t="n">
        <v>46015.85113244213</v>
      </c>
      <c r="K700" s="27" t="inlineStr">
        <is>
          <t>Collected</t>
        </is>
      </c>
      <c r="L700" s="27" t="inlineStr">
        <is>
          <t>Standard</t>
        </is>
      </c>
      <c r="M700" s="27" t="inlineStr">
        <is>
          <t>Gauteng</t>
        </is>
      </c>
      <c r="N700" s="27" t="n">
        <v>455.02</v>
      </c>
      <c r="O700" s="27" t="n">
        <v>0.84</v>
      </c>
      <c r="P700" s="27" t="n">
        <v>47.44</v>
      </c>
      <c r="Q700" s="42">
        <f>IF(H700="","",(H700-F700)*24)</f>
        <v/>
      </c>
      <c r="R700" s="42">
        <f>IF(J700="","",(J700-H700)*24)</f>
        <v/>
      </c>
    </row>
    <row r="701" ht="15" customHeight="1" s="24">
      <c r="A701" s="27" t="n">
        <v>961402</v>
      </c>
      <c r="B701" s="27" t="inlineStr">
        <is>
          <t>PGO10961402</t>
        </is>
      </c>
      <c r="C701" s="27" t="n">
        <v>108</v>
      </c>
      <c r="D701" s="27" t="n">
        <v>222</v>
      </c>
      <c r="E701" s="27" t="n">
        <v>416</v>
      </c>
      <c r="F701" s="41" t="n">
        <v>46011.68925452546</v>
      </c>
      <c r="G701" s="41" t="n">
        <v>46011.94932425926</v>
      </c>
      <c r="H701" s="41" t="n">
        <v>46012.88335439815</v>
      </c>
      <c r="I701" s="41" t="n">
        <v>46012.91961061343</v>
      </c>
      <c r="J701" s="41" t="n">
        <v>46014.76664134259</v>
      </c>
      <c r="K701" s="27" t="inlineStr">
        <is>
          <t>Collected</t>
        </is>
      </c>
      <c r="L701" s="27" t="inlineStr">
        <is>
          <t>Standard</t>
        </is>
      </c>
      <c r="M701" s="27" t="inlineStr">
        <is>
          <t>KwaZulu-Natal</t>
        </is>
      </c>
      <c r="N701" s="27" t="n">
        <v>957.21</v>
      </c>
      <c r="O701" s="27" t="n">
        <v>0.65</v>
      </c>
      <c r="P701" s="27" t="n">
        <v>67.17</v>
      </c>
      <c r="Q701" s="42">
        <f>IF(H701="","",(H701-F701)*24)</f>
        <v/>
      </c>
      <c r="R701" s="42">
        <f>IF(J701="","",(J701-H701)*24)</f>
        <v/>
      </c>
    </row>
    <row r="702" ht="15" customHeight="1" s="24">
      <c r="A702" s="27" t="n">
        <v>969403</v>
      </c>
      <c r="B702" s="27" t="inlineStr">
        <is>
          <t>PGO10969403</t>
        </is>
      </c>
      <c r="C702" s="27" t="n">
        <v>2</v>
      </c>
      <c r="D702" s="27" t="n">
        <v>314</v>
      </c>
      <c r="E702" s="27" t="n">
        <v>306</v>
      </c>
      <c r="F702" s="41" t="n">
        <v>46013.02021006944</v>
      </c>
      <c r="G702" s="41" t="n">
        <v>46013.33741791666</v>
      </c>
      <c r="H702" s="41" t="n">
        <v>46014.40468408565</v>
      </c>
      <c r="I702" s="41" t="n">
        <v>46014.43175415509</v>
      </c>
      <c r="J702" s="41" t="n">
        <v>46014.85175497685</v>
      </c>
      <c r="K702" s="27" t="inlineStr">
        <is>
          <t>Collected</t>
        </is>
      </c>
      <c r="L702" s="27" t="inlineStr">
        <is>
          <t>Express</t>
        </is>
      </c>
      <c r="M702" s="27" t="inlineStr">
        <is>
          <t>KwaZulu-Natal</t>
        </is>
      </c>
      <c r="N702" s="27" t="n">
        <v>218</v>
      </c>
      <c r="O702" s="27" t="n">
        <v>1.42</v>
      </c>
      <c r="P702" s="27" t="n">
        <v>49.83</v>
      </c>
      <c r="Q702" s="42">
        <f>IF(H702="","",(H702-F702)*24)</f>
        <v/>
      </c>
      <c r="R702" s="42">
        <f>IF(J702="","",(J702-H702)*24)</f>
        <v/>
      </c>
    </row>
    <row r="703" ht="15" customHeight="1" s="24">
      <c r="A703" s="27" t="n">
        <v>945578</v>
      </c>
      <c r="B703" s="27" t="inlineStr">
        <is>
          <t>PGO10945578</t>
        </is>
      </c>
      <c r="C703" s="27" t="n">
        <v>1</v>
      </c>
      <c r="D703" s="27" t="n">
        <v>2692</v>
      </c>
      <c r="E703" s="27" t="n">
        <v>485</v>
      </c>
      <c r="F703" s="41" t="n">
        <v>46013.37963822917</v>
      </c>
      <c r="G703" s="41" t="n">
        <v>46013.53498832176</v>
      </c>
      <c r="H703" s="41" t="n">
        <v>46014.86585039352</v>
      </c>
      <c r="I703" s="41" t="n">
        <v>46014.90538319445</v>
      </c>
      <c r="J703" s="41" t="n">
        <v>46014.96908148148</v>
      </c>
      <c r="K703" s="27" t="inlineStr">
        <is>
          <t>Collected</t>
        </is>
      </c>
      <c r="L703" s="27" t="inlineStr">
        <is>
          <t>Standard</t>
        </is>
      </c>
      <c r="M703" s="27" t="inlineStr">
        <is>
          <t>KwaZulu-Natal</t>
        </is>
      </c>
      <c r="N703" s="27" t="n">
        <v>193.95</v>
      </c>
      <c r="O703" s="27" t="n">
        <v>0.77</v>
      </c>
      <c r="P703" s="27" t="n">
        <v>48.12</v>
      </c>
      <c r="Q703" s="42">
        <f>IF(H703="","",(H703-F703)*24)</f>
        <v/>
      </c>
      <c r="R703" s="42">
        <f>IF(J703="","",(J703-H703)*24)</f>
        <v/>
      </c>
    </row>
    <row r="704" ht="15" customHeight="1" s="24">
      <c r="A704" s="27" t="n">
        <v>977954</v>
      </c>
      <c r="B704" s="27" t="inlineStr">
        <is>
          <t>PGO10977954</t>
        </is>
      </c>
      <c r="C704" s="27" t="n">
        <v>64</v>
      </c>
      <c r="D704" s="27" t="n">
        <v>2435</v>
      </c>
      <c r="E704" s="27" t="n">
        <v>383</v>
      </c>
      <c r="F704" s="41" t="n">
        <v>46013.46858502315</v>
      </c>
      <c r="G704" s="41" t="n">
        <v>46013.73667913194</v>
      </c>
      <c r="H704" s="41" t="n">
        <v>46014.90331587963</v>
      </c>
      <c r="I704" s="41" t="n">
        <v>46014.94611157407</v>
      </c>
      <c r="J704" s="41" t="n">
        <v>46015.73134979167</v>
      </c>
      <c r="K704" s="27" t="inlineStr">
        <is>
          <t>Collected</t>
        </is>
      </c>
      <c r="L704" s="27" t="inlineStr">
        <is>
          <t>Express</t>
        </is>
      </c>
      <c r="M704" s="27" t="inlineStr">
        <is>
          <t>Gauteng</t>
        </is>
      </c>
      <c r="N704" s="27" t="n">
        <v>466.25</v>
      </c>
      <c r="O704" s="27" t="n">
        <v>1.89</v>
      </c>
      <c r="P704" s="27" t="n">
        <v>67.16</v>
      </c>
      <c r="Q704" s="42">
        <f>IF(H704="","",(H704-F704)*24)</f>
        <v/>
      </c>
      <c r="R704" s="42">
        <f>IF(J704="","",(J704-H704)*24)</f>
        <v/>
      </c>
    </row>
    <row r="705" ht="15" customHeight="1" s="24">
      <c r="A705" s="27" t="n">
        <v>956112</v>
      </c>
      <c r="B705" s="27" t="inlineStr">
        <is>
          <t>PGO10956112</t>
        </is>
      </c>
      <c r="C705" s="27" t="n">
        <v>39</v>
      </c>
      <c r="D705" s="27" t="n">
        <v>91</v>
      </c>
      <c r="E705" s="27" t="n">
        <v>296</v>
      </c>
      <c r="F705" s="41" t="n">
        <v>46013.58552186342</v>
      </c>
      <c r="G705" s="41" t="n">
        <v>46013.91099938657</v>
      </c>
      <c r="H705" s="41" t="n">
        <v>46014.78591731482</v>
      </c>
      <c r="I705" s="41" t="n">
        <v>46014.79480268519</v>
      </c>
      <c r="J705" s="41" t="n">
        <v>46017.54780605324</v>
      </c>
      <c r="K705" s="27" t="inlineStr">
        <is>
          <t>Collected</t>
        </is>
      </c>
      <c r="L705" s="27" t="inlineStr">
        <is>
          <t>Standard</t>
        </is>
      </c>
      <c r="M705" s="27" t="inlineStr">
        <is>
          <t>Eastern Cape</t>
        </is>
      </c>
      <c r="N705" s="27" t="n">
        <v>476.27</v>
      </c>
      <c r="O705" s="27" t="n">
        <v>1.36</v>
      </c>
      <c r="P705" s="27" t="n">
        <v>59.63</v>
      </c>
      <c r="Q705" s="42">
        <f>IF(H705="","",(H705-F705)*24)</f>
        <v/>
      </c>
      <c r="R705" s="42">
        <f>IF(J705="","",(J705-H705)*24)</f>
        <v/>
      </c>
    </row>
    <row r="706" ht="15" customHeight="1" s="24">
      <c r="A706" s="27" t="n">
        <v>932803</v>
      </c>
      <c r="B706" s="27" t="inlineStr">
        <is>
          <t>PGO10932803</t>
        </is>
      </c>
      <c r="C706" s="27" t="n">
        <v>77</v>
      </c>
      <c r="D706" s="27" t="n">
        <v>3451</v>
      </c>
      <c r="E706" s="27" t="n">
        <v>159</v>
      </c>
      <c r="F706" s="41" t="n">
        <v>46013.93215712963</v>
      </c>
      <c r="G706" s="41" t="n">
        <v>46014.04695394676</v>
      </c>
      <c r="H706" s="41" t="n">
        <v>46015.13922194445</v>
      </c>
      <c r="I706" s="41" t="n">
        <v>46015.17175162037</v>
      </c>
      <c r="J706" s="41" t="n">
        <v>46015.72184310186</v>
      </c>
      <c r="K706" s="27" t="inlineStr">
        <is>
          <t>Collected</t>
        </is>
      </c>
      <c r="L706" s="27" t="inlineStr">
        <is>
          <t>Standard</t>
        </is>
      </c>
      <c r="M706" s="27" t="inlineStr">
        <is>
          <t>Limpopo</t>
        </is>
      </c>
      <c r="N706" s="27" t="n">
        <v>199.29</v>
      </c>
      <c r="O706" s="27" t="n">
        <v>0.65</v>
      </c>
      <c r="P706" s="27" t="n">
        <v>50.01</v>
      </c>
      <c r="Q706" s="42">
        <f>IF(H706="","",(H706-F706)*24)</f>
        <v/>
      </c>
      <c r="R706" s="42">
        <f>IF(J706="","",(J706-H706)*24)</f>
        <v/>
      </c>
    </row>
    <row r="707" ht="15" customHeight="1" s="24">
      <c r="A707" s="27" t="n">
        <v>965811</v>
      </c>
      <c r="B707" s="27" t="inlineStr">
        <is>
          <t>PGO10965811</t>
        </is>
      </c>
      <c r="C707" s="27" t="n">
        <v>17</v>
      </c>
      <c r="D707" s="27" t="n">
        <v>1179</v>
      </c>
      <c r="E707" s="27" t="n">
        <v>242</v>
      </c>
      <c r="F707" s="41" t="n">
        <v>46015.07132775463</v>
      </c>
      <c r="G707" s="41" t="n">
        <v>46015.40720645833</v>
      </c>
      <c r="H707" s="41" t="n">
        <v>46016.1746659838</v>
      </c>
      <c r="I707" s="41" t="n">
        <v>46016.20494990741</v>
      </c>
      <c r="J707" s="41" t="n">
        <v>46017.63553854167</v>
      </c>
      <c r="K707" s="27" t="inlineStr">
        <is>
          <t>Collected</t>
        </is>
      </c>
      <c r="L707" s="27" t="inlineStr">
        <is>
          <t>Standard</t>
        </is>
      </c>
      <c r="M707" s="27" t="inlineStr">
        <is>
          <t>Gauteng</t>
        </is>
      </c>
      <c r="N707" s="27" t="n">
        <v>159.97</v>
      </c>
      <c r="O707" s="27" t="n">
        <v>1.03</v>
      </c>
      <c r="P707" s="27" t="n">
        <v>54.74</v>
      </c>
      <c r="Q707" s="42">
        <f>IF(H707="","",(H707-F707)*24)</f>
        <v/>
      </c>
      <c r="R707" s="42">
        <f>IF(J707="","",(J707-H707)*24)</f>
        <v/>
      </c>
    </row>
    <row r="708" ht="15" customHeight="1" s="24">
      <c r="A708" s="27" t="n">
        <v>966417</v>
      </c>
      <c r="B708" s="27" t="inlineStr">
        <is>
          <t>PGO10966417</t>
        </is>
      </c>
      <c r="C708" s="27" t="n">
        <v>3</v>
      </c>
      <c r="D708" s="27" t="n">
        <v>1730</v>
      </c>
      <c r="E708" s="27" t="n">
        <v>224</v>
      </c>
      <c r="F708" s="41" t="n">
        <v>46015.26538351852</v>
      </c>
      <c r="G708" s="41" t="n">
        <v>46015.64808322916</v>
      </c>
      <c r="H708" s="41" t="n">
        <v>46016.21786898148</v>
      </c>
      <c r="I708" s="41" t="n">
        <v>46016.26437561343</v>
      </c>
      <c r="J708" s="41" t="n">
        <v>46017.00675163195</v>
      </c>
      <c r="K708" s="27" t="inlineStr">
        <is>
          <t>Collected</t>
        </is>
      </c>
      <c r="L708" s="27" t="inlineStr">
        <is>
          <t>Standard</t>
        </is>
      </c>
      <c r="M708" s="27" t="inlineStr">
        <is>
          <t>Gauteng</t>
        </is>
      </c>
      <c r="N708" s="27" t="n">
        <v>222.87</v>
      </c>
      <c r="O708" s="27" t="n">
        <v>2.07</v>
      </c>
      <c r="P708" s="27" t="n">
        <v>38.62</v>
      </c>
      <c r="Q708" s="42">
        <f>IF(H708="","",(H708-F708)*24)</f>
        <v/>
      </c>
      <c r="R708" s="42">
        <f>IF(J708="","",(J708-H708)*24)</f>
        <v/>
      </c>
    </row>
    <row r="709" ht="15" customHeight="1" s="24">
      <c r="A709" s="27" t="n">
        <v>931624</v>
      </c>
      <c r="B709" s="27" t="inlineStr">
        <is>
          <t>PGO10931624</t>
        </is>
      </c>
      <c r="C709" s="27" t="n">
        <v>22</v>
      </c>
      <c r="D709" s="27" t="n">
        <v>3881</v>
      </c>
      <c r="E709" s="27" t="n">
        <v>273</v>
      </c>
      <c r="F709" s="41" t="n">
        <v>46016.24793837963</v>
      </c>
      <c r="G709" s="41" t="n">
        <v>46016.3951884838</v>
      </c>
      <c r="H709" s="41" t="n">
        <v>46017.36123114583</v>
      </c>
      <c r="I709" s="41" t="n">
        <v>46017.38211258102</v>
      </c>
      <c r="J709" s="41" t="n">
        <v>46017.90653958333</v>
      </c>
      <c r="K709" s="27" t="inlineStr">
        <is>
          <t>Collected</t>
        </is>
      </c>
      <c r="L709" s="27" t="inlineStr">
        <is>
          <t>Standard</t>
        </is>
      </c>
      <c r="M709" s="27" t="inlineStr">
        <is>
          <t>KwaZulu-Natal</t>
        </is>
      </c>
      <c r="N709" s="27" t="n">
        <v>160.08</v>
      </c>
      <c r="O709" s="27" t="n">
        <v>0.64</v>
      </c>
      <c r="P709" s="27" t="n">
        <v>55.34</v>
      </c>
      <c r="Q709" s="42">
        <f>IF(H709="","",(H709-F709)*24)</f>
        <v/>
      </c>
      <c r="R709" s="42">
        <f>IF(J709="","",(J709-H709)*24)</f>
        <v/>
      </c>
    </row>
    <row r="710" ht="15" customHeight="1" s="24">
      <c r="A710" s="27" t="n">
        <v>972025</v>
      </c>
      <c r="B710" s="27" t="inlineStr">
        <is>
          <t>PGO10972025</t>
        </is>
      </c>
      <c r="C710" s="27" t="n">
        <v>22</v>
      </c>
      <c r="D710" s="27" t="n">
        <v>1101</v>
      </c>
      <c r="E710" s="27" t="n">
        <v>291</v>
      </c>
      <c r="F710" s="41" t="n">
        <v>46016.49148951389</v>
      </c>
      <c r="G710" s="41" t="n">
        <v>46016.62547512732</v>
      </c>
      <c r="H710" s="41" t="n">
        <v>46016.94188081018</v>
      </c>
      <c r="I710" s="41" t="n">
        <v>46016.99487217593</v>
      </c>
      <c r="J710" s="41" t="n">
        <v>46017.17520055555</v>
      </c>
      <c r="K710" s="27" t="inlineStr">
        <is>
          <t>Collected</t>
        </is>
      </c>
      <c r="L710" s="27" t="inlineStr">
        <is>
          <t>Standard</t>
        </is>
      </c>
      <c r="M710" s="27" t="inlineStr">
        <is>
          <t>Gauteng</t>
        </is>
      </c>
      <c r="N710" s="27" t="n">
        <v>180.02</v>
      </c>
      <c r="O710" s="27" t="n">
        <v>2.54</v>
      </c>
      <c r="P710" s="27" t="n">
        <v>54.39</v>
      </c>
      <c r="Q710" s="42">
        <f>IF(H710="","",(H710-F710)*24)</f>
        <v/>
      </c>
      <c r="R710" s="42">
        <f>IF(J710="","",(J710-H710)*24)</f>
        <v/>
      </c>
    </row>
    <row r="711" ht="15" customHeight="1" s="24">
      <c r="A711" s="27" t="n">
        <v>948505</v>
      </c>
      <c r="B711" s="27" t="inlineStr">
        <is>
          <t>PGO10948505</t>
        </is>
      </c>
      <c r="C711" s="27" t="n">
        <v>1</v>
      </c>
      <c r="D711" s="27" t="n">
        <v>3695</v>
      </c>
      <c r="E711" s="27" t="n">
        <v>119</v>
      </c>
      <c r="F711" s="41" t="n">
        <v>46016.6065494213</v>
      </c>
      <c r="G711" s="41" t="n">
        <v>46016.82889369213</v>
      </c>
      <c r="H711" s="41" t="n">
        <v>46018.59231237268</v>
      </c>
      <c r="I711" s="41" t="n">
        <v>46018.59729945602</v>
      </c>
      <c r="J711" s="41" t="n">
        <v>46018.77142329861</v>
      </c>
      <c r="K711" s="27" t="inlineStr">
        <is>
          <t>Collected</t>
        </is>
      </c>
      <c r="L711" s="27" t="inlineStr">
        <is>
          <t>Standard</t>
        </is>
      </c>
      <c r="M711" s="27" t="inlineStr">
        <is>
          <t>Western Cape</t>
        </is>
      </c>
      <c r="N711" s="27" t="n">
        <v>468.91</v>
      </c>
      <c r="O711" s="27" t="n">
        <v>0.22</v>
      </c>
      <c r="P711" s="27" t="n">
        <v>47.58</v>
      </c>
      <c r="Q711" s="42">
        <f>IF(H711="","",(H711-F711)*24)</f>
        <v/>
      </c>
      <c r="R711" s="42">
        <f>IF(J711="","",(J711-H711)*24)</f>
        <v/>
      </c>
    </row>
    <row r="712" ht="15" customHeight="1" s="24">
      <c r="A712" s="27" t="n">
        <v>978952</v>
      </c>
      <c r="B712" s="27" t="inlineStr">
        <is>
          <t>PGO10978952</t>
        </is>
      </c>
      <c r="C712" s="27" t="n">
        <v>7</v>
      </c>
      <c r="D712" s="27" t="n">
        <v>1238</v>
      </c>
      <c r="E712" s="27" t="n">
        <v>331</v>
      </c>
      <c r="F712" s="41" t="n">
        <v>46017.07801157407</v>
      </c>
      <c r="G712" s="41" t="n">
        <v>46017.20994016204</v>
      </c>
      <c r="H712" s="41" t="n">
        <v>46017.48368946759</v>
      </c>
      <c r="I712" s="41" t="n">
        <v>46017.51151460648</v>
      </c>
      <c r="J712" s="41" t="n">
        <v>46019.20749877315</v>
      </c>
      <c r="K712" s="27" t="inlineStr">
        <is>
          <t>Collected</t>
        </is>
      </c>
      <c r="L712" s="27" t="inlineStr">
        <is>
          <t>Standard</t>
        </is>
      </c>
      <c r="M712" s="27" t="inlineStr">
        <is>
          <t>Gauteng</t>
        </is>
      </c>
      <c r="N712" s="27" t="n">
        <v>253.25</v>
      </c>
      <c r="O712" s="27" t="n">
        <v>0.9399999999999999</v>
      </c>
      <c r="P712" s="27" t="n">
        <v>51.07</v>
      </c>
      <c r="Q712" s="42">
        <f>IF(H712="","",(H712-F712)*24)</f>
        <v/>
      </c>
      <c r="R712" s="42">
        <f>IF(J712="","",(J712-H712)*24)</f>
        <v/>
      </c>
    </row>
    <row r="713" ht="15" customHeight="1" s="24">
      <c r="A713" s="27" t="n">
        <v>976883</v>
      </c>
      <c r="B713" s="27" t="inlineStr">
        <is>
          <t>PGO10976883</t>
        </is>
      </c>
      <c r="C713" s="27" t="n">
        <v>23</v>
      </c>
      <c r="D713" s="27" t="n">
        <v>1941</v>
      </c>
      <c r="E713" s="27" t="n">
        <v>97</v>
      </c>
      <c r="F713" s="41" t="n">
        <v>46017.40275415509</v>
      </c>
      <c r="G713" s="41" t="n">
        <v>46017.9320062037</v>
      </c>
      <c r="H713" s="41" t="n">
        <v>46018.37611491898</v>
      </c>
      <c r="I713" s="41" t="n">
        <v>46018.40061171296</v>
      </c>
      <c r="J713" s="41" t="n">
        <v>46021.61499251158</v>
      </c>
      <c r="K713" s="27" t="inlineStr">
        <is>
          <t>Collected</t>
        </is>
      </c>
      <c r="L713" s="27" t="inlineStr">
        <is>
          <t>Standard</t>
        </is>
      </c>
      <c r="M713" s="27" t="inlineStr">
        <is>
          <t>Gauteng</t>
        </is>
      </c>
      <c r="N713" s="27" t="n">
        <v>778.9400000000001</v>
      </c>
      <c r="O713" s="27" t="n">
        <v>3.46</v>
      </c>
      <c r="P713" s="27" t="n">
        <v>48.46</v>
      </c>
      <c r="Q713" s="42">
        <f>IF(H713="","",(H713-F713)*24)</f>
        <v/>
      </c>
      <c r="R713" s="42">
        <f>IF(J713="","",(J713-H713)*24)</f>
        <v/>
      </c>
    </row>
    <row r="714" ht="15" customHeight="1" s="24">
      <c r="A714" s="27" t="n">
        <v>966028</v>
      </c>
      <c r="B714" s="27" t="inlineStr">
        <is>
          <t>PGO10966028</t>
        </is>
      </c>
      <c r="C714" s="27" t="n">
        <v>119</v>
      </c>
      <c r="D714" s="27" t="n">
        <v>2905</v>
      </c>
      <c r="E714" s="27" t="n">
        <v>385</v>
      </c>
      <c r="F714" s="41" t="n">
        <v>46017.94553689815</v>
      </c>
      <c r="G714" s="41" t="n">
        <v>46018.24122305556</v>
      </c>
      <c r="H714" s="41" t="n">
        <v>46019.86544203704</v>
      </c>
      <c r="I714" s="41" t="n">
        <v>46019.88999324074</v>
      </c>
      <c r="J714" s="41" t="n">
        <v>46023.07505109953</v>
      </c>
      <c r="K714" s="27" t="inlineStr">
        <is>
          <t>Collected</t>
        </is>
      </c>
      <c r="L714" s="27" t="inlineStr">
        <is>
          <t>Standard</t>
        </is>
      </c>
      <c r="M714" s="27" t="inlineStr">
        <is>
          <t>Mpumalanga</t>
        </is>
      </c>
      <c r="N714" s="27" t="n">
        <v>459.7</v>
      </c>
      <c r="O714" s="27" t="n">
        <v>1.7</v>
      </c>
      <c r="P714" s="27" t="n">
        <v>52.32</v>
      </c>
      <c r="Q714" s="42">
        <f>IF(H714="","",(H714-F714)*24)</f>
        <v/>
      </c>
      <c r="R714" s="42">
        <f>IF(J714="","",(J714-H714)*24)</f>
        <v/>
      </c>
    </row>
    <row r="715" ht="15" customHeight="1" s="24">
      <c r="A715" s="27" t="n">
        <v>976083</v>
      </c>
      <c r="B715" s="27" t="inlineStr">
        <is>
          <t>PGO10976083</t>
        </is>
      </c>
      <c r="C715" s="27" t="n">
        <v>2</v>
      </c>
      <c r="D715" s="27" t="n">
        <v>3695</v>
      </c>
      <c r="E715" s="27" t="n">
        <v>286</v>
      </c>
      <c r="F715" s="41" t="n">
        <v>46019.58021821759</v>
      </c>
      <c r="G715" s="41" t="n">
        <v>46019.64661752315</v>
      </c>
      <c r="H715" s="41" t="n">
        <v>46019.94426251158</v>
      </c>
      <c r="I715" s="41" t="n">
        <v>46019.98612789352</v>
      </c>
      <c r="J715" s="41" t="n">
        <v>46020.45163530092</v>
      </c>
      <c r="K715" s="27" t="inlineStr">
        <is>
          <t>Collected</t>
        </is>
      </c>
      <c r="L715" s="27" t="inlineStr">
        <is>
          <t>Standard</t>
        </is>
      </c>
      <c r="M715" s="27" t="inlineStr">
        <is>
          <t>Western Cape</t>
        </is>
      </c>
      <c r="N715" s="27" t="n">
        <v>768.1799999999999</v>
      </c>
      <c r="O715" s="27" t="n">
        <v>2.5</v>
      </c>
      <c r="P715" s="27" t="n">
        <v>49.92</v>
      </c>
      <c r="Q715" s="42">
        <f>IF(H715="","",(H715-F715)*24)</f>
        <v/>
      </c>
      <c r="R715" s="42">
        <f>IF(J715="","",(J715-H715)*24)</f>
        <v/>
      </c>
    </row>
    <row r="716" ht="15" customHeight="1" s="24">
      <c r="A716" s="27" t="n">
        <v>974386</v>
      </c>
      <c r="B716" s="27" t="inlineStr">
        <is>
          <t>PGO10974386</t>
        </is>
      </c>
      <c r="C716" s="27" t="n">
        <v>5</v>
      </c>
      <c r="D716" s="27" t="n">
        <v>3783</v>
      </c>
      <c r="E716" s="27" t="n">
        <v>21</v>
      </c>
      <c r="F716" s="41" t="n">
        <v>46019.84752085649</v>
      </c>
      <c r="G716" s="41" t="n">
        <v>46020.06415696759</v>
      </c>
      <c r="H716" s="41" t="n">
        <v>46020.46824511574</v>
      </c>
      <c r="I716" s="41" t="n">
        <v>46020.48857571759</v>
      </c>
      <c r="J716" s="41" t="n">
        <v>46022.60538314815</v>
      </c>
      <c r="K716" s="27" t="inlineStr">
        <is>
          <t>Collected</t>
        </is>
      </c>
      <c r="L716" s="27" t="inlineStr">
        <is>
          <t>Express</t>
        </is>
      </c>
      <c r="M716" s="27" t="inlineStr">
        <is>
          <t>KwaZulu-Natal</t>
        </is>
      </c>
      <c r="N716" s="27" t="n">
        <v>346.76</v>
      </c>
      <c r="O716" s="27" t="n">
        <v>0.47</v>
      </c>
      <c r="P716" s="27" t="n">
        <v>56.56</v>
      </c>
      <c r="Q716" s="42">
        <f>IF(H716="","",(H716-F716)*24)</f>
        <v/>
      </c>
      <c r="R716" s="42">
        <f>IF(J716="","",(J716-H716)*24)</f>
        <v/>
      </c>
    </row>
    <row r="717" ht="15" customHeight="1" s="24">
      <c r="A717" s="27" t="n">
        <v>931957</v>
      </c>
      <c r="B717" s="27" t="inlineStr">
        <is>
          <t>PGO10931957</t>
        </is>
      </c>
      <c r="C717" s="27" t="n">
        <v>3</v>
      </c>
      <c r="D717" s="27" t="n">
        <v>2064</v>
      </c>
      <c r="E717" s="27" t="n">
        <v>4</v>
      </c>
      <c r="F717" s="41" t="n">
        <v>46020.16020407408</v>
      </c>
      <c r="G717" s="41" t="n">
        <v>46020.33999159722</v>
      </c>
      <c r="H717" s="41" t="n">
        <v>46020.96902753472</v>
      </c>
      <c r="I717" s="41" t="n">
        <v>46021.00647903935</v>
      </c>
      <c r="J717" s="41" t="n">
        <v>46023.17817447917</v>
      </c>
      <c r="K717" s="27" t="inlineStr">
        <is>
          <t>Collected</t>
        </is>
      </c>
      <c r="L717" s="27" t="inlineStr">
        <is>
          <t>Standard</t>
        </is>
      </c>
      <c r="M717" s="27" t="inlineStr">
        <is>
          <t>Gauteng</t>
        </is>
      </c>
      <c r="N717" s="27" t="n">
        <v>514.49</v>
      </c>
      <c r="O717" s="27" t="n">
        <v>5.96</v>
      </c>
      <c r="P717" s="27" t="n">
        <v>55.56</v>
      </c>
      <c r="Q717" s="42">
        <f>IF(H717="","",(H717-F717)*24)</f>
        <v/>
      </c>
      <c r="R717" s="42">
        <f>IF(J717="","",(J717-H717)*24)</f>
        <v/>
      </c>
    </row>
    <row r="718" ht="15" customHeight="1" s="24">
      <c r="A718" s="27" t="n">
        <v>939817</v>
      </c>
      <c r="B718" s="27" t="inlineStr">
        <is>
          <t>PGO10939817</t>
        </is>
      </c>
      <c r="C718" s="27" t="n">
        <v>97</v>
      </c>
      <c r="D718" s="27" t="n">
        <v>2826</v>
      </c>
      <c r="E718" s="27" t="n">
        <v>315</v>
      </c>
      <c r="F718" s="41" t="n">
        <v>46020.74223894676</v>
      </c>
      <c r="G718" s="41" t="n">
        <v>46021.17143935185</v>
      </c>
      <c r="H718" s="41" t="n">
        <v>46021.64368704861</v>
      </c>
      <c r="I718" s="41" t="n">
        <v>46021.68544646991</v>
      </c>
      <c r="J718" s="41" t="n">
        <v>46021.97410633102</v>
      </c>
      <c r="K718" s="27" t="inlineStr">
        <is>
          <t>Collected</t>
        </is>
      </c>
      <c r="L718" s="27" t="inlineStr">
        <is>
          <t>Standard</t>
        </is>
      </c>
      <c r="M718" s="27" t="inlineStr">
        <is>
          <t>Western Cape</t>
        </is>
      </c>
      <c r="N718" s="27" t="n">
        <v>274.99</v>
      </c>
      <c r="O718" s="27" t="n">
        <v>2.2</v>
      </c>
      <c r="P718" s="27" t="n">
        <v>46.45</v>
      </c>
      <c r="Q718" s="42">
        <f>IF(H718="","",(H718-F718)*24)</f>
        <v/>
      </c>
      <c r="R718" s="42">
        <f>IF(J718="","",(J718-H718)*24)</f>
        <v/>
      </c>
    </row>
    <row r="719" ht="15" customHeight="1" s="24">
      <c r="A719" s="27" t="n">
        <v>955474</v>
      </c>
      <c r="B719" s="27" t="inlineStr">
        <is>
          <t>PGO10955474</t>
        </is>
      </c>
      <c r="C719" s="27" t="n">
        <v>2</v>
      </c>
      <c r="D719" s="27" t="n">
        <v>3679</v>
      </c>
      <c r="E719" s="27" t="n">
        <v>204</v>
      </c>
      <c r="F719" s="41" t="n">
        <v>46022.26858266204</v>
      </c>
      <c r="G719" s="41" t="n">
        <v>46022.61714594907</v>
      </c>
      <c r="H719" s="41" t="n">
        <v>46023.76201924768</v>
      </c>
      <c r="I719" s="41" t="n">
        <v>46023.81347232639</v>
      </c>
      <c r="J719" s="41" t="n">
        <v>46027.06305871528</v>
      </c>
      <c r="K719" s="27" t="inlineStr">
        <is>
          <t>Collected</t>
        </is>
      </c>
      <c r="L719" s="27" t="inlineStr">
        <is>
          <t>Express</t>
        </is>
      </c>
      <c r="M719" s="27" t="inlineStr">
        <is>
          <t>Western Cape</t>
        </is>
      </c>
      <c r="N719" s="27" t="n">
        <v>280.18</v>
      </c>
      <c r="O719" s="27" t="n">
        <v>0.34</v>
      </c>
      <c r="P719" s="27" t="n">
        <v>47.5</v>
      </c>
      <c r="Q719" s="42">
        <f>IF(H719="","",(H719-F719)*24)</f>
        <v/>
      </c>
      <c r="R719" s="42">
        <f>IF(J719="","",(J719-H719)*24)</f>
        <v/>
      </c>
    </row>
    <row r="720" ht="15" customHeight="1" s="24">
      <c r="A720" s="27" t="n">
        <v>955967</v>
      </c>
      <c r="B720" s="27" t="inlineStr">
        <is>
          <t>PGO10955967</t>
        </is>
      </c>
      <c r="C720" s="27" t="n">
        <v>23</v>
      </c>
      <c r="D720" s="27" t="n">
        <v>612</v>
      </c>
      <c r="E720" s="27" t="n">
        <v>495</v>
      </c>
      <c r="F720" s="41" t="n">
        <v>46023.0118302199</v>
      </c>
      <c r="G720" s="41" t="n">
        <v>46023.22925216435</v>
      </c>
      <c r="H720" s="41" t="n">
        <v>46024.09328145834</v>
      </c>
      <c r="I720" s="41" t="n">
        <v>46024.13165430556</v>
      </c>
      <c r="J720" s="41" t="n">
        <v>46024.72886659722</v>
      </c>
      <c r="K720" s="27" t="inlineStr">
        <is>
          <t>Collected</t>
        </is>
      </c>
      <c r="L720" s="27" t="inlineStr">
        <is>
          <t>Express</t>
        </is>
      </c>
      <c r="M720" s="27" t="inlineStr">
        <is>
          <t>KwaZulu-Natal</t>
        </is>
      </c>
      <c r="N720" s="27" t="n">
        <v>131.63</v>
      </c>
      <c r="O720" s="27" t="n">
        <v>1.94</v>
      </c>
      <c r="P720" s="27" t="n">
        <v>50.56</v>
      </c>
      <c r="Q720" s="42">
        <f>IF(H720="","",(H720-F720)*24)</f>
        <v/>
      </c>
      <c r="R720" s="42">
        <f>IF(J720="","",(J720-H720)*24)</f>
        <v/>
      </c>
    </row>
    <row r="721" ht="15" customHeight="1" s="24">
      <c r="A721" s="27" t="n">
        <v>984917</v>
      </c>
      <c r="B721" s="27" t="inlineStr">
        <is>
          <t>PGO10984917</t>
        </is>
      </c>
      <c r="C721" s="27" t="n">
        <v>30</v>
      </c>
      <c r="D721" s="27" t="n">
        <v>2331</v>
      </c>
      <c r="E721" s="27" t="n">
        <v>214</v>
      </c>
      <c r="F721" s="41" t="n">
        <v>46025.58172747685</v>
      </c>
      <c r="G721" s="41" t="n">
        <v>46025.75468248843</v>
      </c>
      <c r="H721" s="41" t="n">
        <v>46026.55015413195</v>
      </c>
      <c r="I721" s="41" t="n">
        <v>46026.58916596065</v>
      </c>
      <c r="J721" s="41" t="n">
        <v>46027.7871033912</v>
      </c>
      <c r="K721" s="27" t="inlineStr">
        <is>
          <t>Collected</t>
        </is>
      </c>
      <c r="L721" s="27" t="inlineStr">
        <is>
          <t>Standard</t>
        </is>
      </c>
      <c r="M721" s="27" t="inlineStr">
        <is>
          <t>Western Cape</t>
        </is>
      </c>
      <c r="N721" s="27" t="n">
        <v>333.67</v>
      </c>
      <c r="O721" s="27" t="n">
        <v>0.86</v>
      </c>
      <c r="P721" s="27" t="n">
        <v>64.76000000000001</v>
      </c>
      <c r="Q721" s="42">
        <f>IF(H721="","",(H721-F721)*24)</f>
        <v/>
      </c>
      <c r="R721" s="42">
        <f>IF(J721="","",(J721-H721)*24)</f>
        <v/>
      </c>
    </row>
    <row r="722" ht="15" customHeight="1" s="24">
      <c r="A722" s="27" t="n">
        <v>983969</v>
      </c>
      <c r="B722" s="27" t="inlineStr">
        <is>
          <t>PGO10983969</t>
        </is>
      </c>
      <c r="C722" s="27" t="n">
        <v>11</v>
      </c>
      <c r="D722" s="27" t="n">
        <v>12</v>
      </c>
      <c r="E722" s="27" t="n">
        <v>495</v>
      </c>
      <c r="F722" s="41" t="n">
        <v>46026.75712150463</v>
      </c>
      <c r="G722" s="41" t="n">
        <v>46026.92476300926</v>
      </c>
      <c r="H722" s="41" t="n">
        <v>46027.73624387731</v>
      </c>
      <c r="I722" s="41" t="n">
        <v>46027.73911798611</v>
      </c>
      <c r="J722" s="41" t="n">
        <v>46029.67663361111</v>
      </c>
      <c r="K722" s="27" t="inlineStr">
        <is>
          <t>Collected</t>
        </is>
      </c>
      <c r="L722" s="27" t="inlineStr">
        <is>
          <t>Standard</t>
        </is>
      </c>
      <c r="M722" s="27" t="inlineStr">
        <is>
          <t>KwaZulu-Natal</t>
        </is>
      </c>
      <c r="N722" s="27" t="n">
        <v>67.76000000000001</v>
      </c>
      <c r="O722" s="27" t="n">
        <v>0.85</v>
      </c>
      <c r="P722" s="27" t="n">
        <v>64.48</v>
      </c>
      <c r="Q722" s="42">
        <f>IF(H722="","",(H722-F722)*24)</f>
        <v/>
      </c>
      <c r="R722" s="42">
        <f>IF(J722="","",(J722-H722)*24)</f>
        <v/>
      </c>
    </row>
    <row r="723" ht="15" customHeight="1" s="24">
      <c r="A723" s="27" t="n">
        <v>984882</v>
      </c>
      <c r="B723" s="27" t="inlineStr">
        <is>
          <t>PGO10984882</t>
        </is>
      </c>
      <c r="C723" s="27" t="n">
        <v>7</v>
      </c>
      <c r="D723" s="27" t="n">
        <v>3950</v>
      </c>
      <c r="E723" s="27" t="n">
        <v>453</v>
      </c>
      <c r="F723" s="41" t="n">
        <v>46028.94352467592</v>
      </c>
      <c r="G723" s="41" t="n">
        <v>46029.10862125</v>
      </c>
      <c r="H723" s="41" t="n">
        <v>46029.63011175926</v>
      </c>
      <c r="I723" s="41" t="n">
        <v>46029.64910162037</v>
      </c>
      <c r="J723" s="41" t="n">
        <v>46032.41898150463</v>
      </c>
      <c r="K723" s="27" t="inlineStr">
        <is>
          <t>Collected</t>
        </is>
      </c>
      <c r="L723" s="27" t="inlineStr">
        <is>
          <t>Standard</t>
        </is>
      </c>
      <c r="M723" s="27" t="inlineStr">
        <is>
          <t>Western Cape</t>
        </is>
      </c>
      <c r="N723" s="27" t="n">
        <v>225.72</v>
      </c>
      <c r="O723" s="27" t="n">
        <v>1.01</v>
      </c>
      <c r="P723" s="27" t="n">
        <v>48.28</v>
      </c>
      <c r="Q723" s="42">
        <f>IF(H723="","",(H723-F723)*24)</f>
        <v/>
      </c>
      <c r="R723" s="42">
        <f>IF(J723="","",(J723-H723)*24)</f>
        <v/>
      </c>
    </row>
    <row r="724" ht="15" customHeight="1" s="24">
      <c r="A724" s="27" t="n">
        <v>1001141</v>
      </c>
      <c r="B724" s="27" t="inlineStr">
        <is>
          <t>PGO11001141</t>
        </is>
      </c>
      <c r="C724" s="27" t="n">
        <v>2</v>
      </c>
      <c r="D724" s="27" t="n">
        <v>2923</v>
      </c>
      <c r="E724" s="27" t="n">
        <v>195</v>
      </c>
      <c r="F724" s="41" t="n">
        <v>46030.30862042824</v>
      </c>
      <c r="G724" s="41" t="n">
        <v>46030.50483471065</v>
      </c>
      <c r="H724" s="41" t="n">
        <v>46031.87381668982</v>
      </c>
      <c r="I724" s="41" t="n">
        <v>46031.92603027778</v>
      </c>
      <c r="J724" s="41" t="n">
        <v>46033.70136380787</v>
      </c>
      <c r="K724" s="27" t="inlineStr">
        <is>
          <t>Collected</t>
        </is>
      </c>
      <c r="L724" s="27" t="inlineStr">
        <is>
          <t>Standard</t>
        </is>
      </c>
      <c r="M724" s="27" t="inlineStr">
        <is>
          <t>KwaZulu-Natal</t>
        </is>
      </c>
      <c r="N724" s="27" t="n">
        <v>259.86</v>
      </c>
      <c r="O724" s="27" t="n">
        <v>0.46</v>
      </c>
      <c r="P724" s="27" t="n">
        <v>50.22</v>
      </c>
      <c r="Q724" s="42">
        <f>IF(H724="","",(H724-F724)*24)</f>
        <v/>
      </c>
      <c r="R724" s="42">
        <f>IF(J724="","",(J724-H724)*24)</f>
        <v/>
      </c>
    </row>
    <row r="725" ht="15" customHeight="1" s="24">
      <c r="A725" s="27" t="n">
        <v>983613</v>
      </c>
      <c r="B725" s="27" t="inlineStr">
        <is>
          <t>PGO10983613</t>
        </is>
      </c>
      <c r="C725" s="27" t="n">
        <v>1</v>
      </c>
      <c r="D725" s="27" t="n">
        <v>3231</v>
      </c>
      <c r="E725" s="27" t="n">
        <v>285</v>
      </c>
      <c r="F725" s="41" t="n">
        <v>46030.82726008102</v>
      </c>
      <c r="G725" s="41" t="n">
        <v>46030.96179340278</v>
      </c>
      <c r="H725" s="41" t="n">
        <v>46031.90106645833</v>
      </c>
      <c r="I725" s="41" t="n">
        <v>46031.94966789352</v>
      </c>
      <c r="J725" s="41" t="n">
        <v>46032.38581583333</v>
      </c>
      <c r="K725" s="27" t="inlineStr">
        <is>
          <t>Collected</t>
        </is>
      </c>
      <c r="L725" s="27" t="inlineStr">
        <is>
          <t>Standard</t>
        </is>
      </c>
      <c r="M725" s="27" t="inlineStr">
        <is>
          <t>North West</t>
        </is>
      </c>
      <c r="N725" s="27" t="n">
        <v>1885.88</v>
      </c>
      <c r="O725" s="27" t="n">
        <v>0.93</v>
      </c>
      <c r="P725" s="27" t="n">
        <v>44.86</v>
      </c>
      <c r="Q725" s="42">
        <f>IF(H725="","",(H725-F725)*24)</f>
        <v/>
      </c>
      <c r="R725" s="42">
        <f>IF(J725="","",(J725-H725)*24)</f>
        <v/>
      </c>
    </row>
    <row r="726" ht="15" customHeight="1" s="24">
      <c r="A726" s="27" t="n">
        <v>991201</v>
      </c>
      <c r="B726" s="27" t="inlineStr">
        <is>
          <t>PGO10991201</t>
        </is>
      </c>
      <c r="C726" s="27" t="n">
        <v>4</v>
      </c>
      <c r="D726" s="27" t="n">
        <v>894</v>
      </c>
      <c r="E726" s="27" t="n">
        <v>241</v>
      </c>
      <c r="F726" s="41" t="n">
        <v>46030.85741486111</v>
      </c>
      <c r="G726" s="41" t="n">
        <v>46031.14475362268</v>
      </c>
      <c r="H726" s="41" t="n">
        <v>46031.73733563657</v>
      </c>
      <c r="I726" s="41" t="n">
        <v>46031.74774532407</v>
      </c>
      <c r="J726" s="41" t="n">
        <v>46035.85328591435</v>
      </c>
      <c r="K726" s="27" t="inlineStr">
        <is>
          <t>Collected</t>
        </is>
      </c>
      <c r="L726" s="27" t="inlineStr">
        <is>
          <t>Standard</t>
        </is>
      </c>
      <c r="M726" s="27" t="inlineStr">
        <is>
          <t>Western Cape</t>
        </is>
      </c>
      <c r="N726" s="27" t="n">
        <v>93.63</v>
      </c>
      <c r="O726" s="27" t="n">
        <v>0.9399999999999999</v>
      </c>
      <c r="P726" s="27" t="n">
        <v>44.22</v>
      </c>
      <c r="Q726" s="42">
        <f>IF(H726="","",(H726-F726)*24)</f>
        <v/>
      </c>
      <c r="R726" s="42">
        <f>IF(J726="","",(J726-H726)*24)</f>
        <v/>
      </c>
    </row>
    <row r="727" ht="15" customHeight="1" s="24">
      <c r="A727" s="27" t="n">
        <v>996539</v>
      </c>
      <c r="B727" s="27" t="inlineStr">
        <is>
          <t>PGO10996539</t>
        </is>
      </c>
      <c r="C727" s="27" t="n">
        <v>20</v>
      </c>
      <c r="D727" s="27" t="n">
        <v>3099</v>
      </c>
      <c r="E727" s="27" t="n">
        <v>353</v>
      </c>
      <c r="F727" s="41" t="n">
        <v>46031.47293967593</v>
      </c>
      <c r="G727" s="41" t="n">
        <v>46031.64359666667</v>
      </c>
      <c r="H727" s="41" t="n">
        <v>46032.19576306713</v>
      </c>
      <c r="I727" s="41" t="n">
        <v>46032.25375092593</v>
      </c>
      <c r="J727" s="41" t="n">
        <v>46033.47306972223</v>
      </c>
      <c r="K727" s="27" t="inlineStr">
        <is>
          <t>Collected</t>
        </is>
      </c>
      <c r="L727" s="27" t="inlineStr">
        <is>
          <t>Express</t>
        </is>
      </c>
      <c r="M727" s="27" t="inlineStr">
        <is>
          <t>Gauteng</t>
        </is>
      </c>
      <c r="N727" s="27" t="n">
        <v>82.56</v>
      </c>
      <c r="O727" s="27" t="n">
        <v>0.71</v>
      </c>
      <c r="P727" s="27" t="n">
        <v>56.11</v>
      </c>
      <c r="Q727" s="42">
        <f>IF(H727="","",(H727-F727)*24)</f>
        <v/>
      </c>
      <c r="R727" s="42">
        <f>IF(J727="","",(J727-H727)*24)</f>
        <v/>
      </c>
    </row>
    <row r="728" ht="15" customHeight="1" s="24">
      <c r="A728" s="27" t="n">
        <v>985116</v>
      </c>
      <c r="B728" s="27" t="inlineStr">
        <is>
          <t>PGO10985116</t>
        </is>
      </c>
      <c r="C728" s="27" t="n">
        <v>1</v>
      </c>
      <c r="D728" s="27" t="n">
        <v>1491</v>
      </c>
      <c r="E728" s="27" t="n">
        <v>115</v>
      </c>
      <c r="F728" s="41" t="n">
        <v>46032.748285625</v>
      </c>
      <c r="G728" s="41" t="n">
        <v>46032.86799072917</v>
      </c>
      <c r="H728" s="41" t="n">
        <v>46033.54330803241</v>
      </c>
      <c r="I728" s="41" t="n">
        <v>46033.59952457176</v>
      </c>
      <c r="J728" s="41" t="n">
        <v>46033.88567537037</v>
      </c>
      <c r="K728" s="27" t="inlineStr">
        <is>
          <t>Collected</t>
        </is>
      </c>
      <c r="L728" s="27" t="inlineStr">
        <is>
          <t>Standard</t>
        </is>
      </c>
      <c r="M728" s="27" t="inlineStr">
        <is>
          <t>Eastern Cape</t>
        </is>
      </c>
      <c r="N728" s="27" t="n">
        <v>98.98999999999999</v>
      </c>
      <c r="O728" s="27" t="n">
        <v>3.16</v>
      </c>
      <c r="P728" s="27" t="n">
        <v>43.97</v>
      </c>
      <c r="Q728" s="42">
        <f>IF(H728="","",(H728-F728)*24)</f>
        <v/>
      </c>
      <c r="R728" s="42">
        <f>IF(J728="","",(J728-H728)*24)</f>
        <v/>
      </c>
    </row>
    <row r="729" ht="15" customHeight="1" s="24">
      <c r="A729" s="27" t="n">
        <v>1004268</v>
      </c>
      <c r="B729" s="27" t="inlineStr">
        <is>
          <t>PGO11004268</t>
        </is>
      </c>
      <c r="C729" s="27" t="n">
        <v>6</v>
      </c>
      <c r="D729" s="27" t="n">
        <v>3191</v>
      </c>
      <c r="E729" s="27" t="n">
        <v>38</v>
      </c>
      <c r="F729" s="41" t="n">
        <v>46040.15731993056</v>
      </c>
      <c r="G729" s="41" t="n">
        <v>46040.7338228125</v>
      </c>
      <c r="H729" s="41" t="n">
        <v>46041.29049746528</v>
      </c>
      <c r="I729" s="41" t="n">
        <v>46041.33661309028</v>
      </c>
      <c r="J729" s="41" t="n">
        <v>46042.24308641204</v>
      </c>
      <c r="K729" s="27" t="inlineStr">
        <is>
          <t>Collected</t>
        </is>
      </c>
      <c r="L729" s="27" t="inlineStr">
        <is>
          <t>Standard</t>
        </is>
      </c>
      <c r="M729" s="27" t="inlineStr">
        <is>
          <t>Eastern Cape</t>
        </is>
      </c>
      <c r="N729" s="27" t="n">
        <v>365.86</v>
      </c>
      <c r="O729" s="27" t="n">
        <v>0.68</v>
      </c>
      <c r="P729" s="27" t="n">
        <v>41.23</v>
      </c>
      <c r="Q729" s="42">
        <f>IF(H729="","",(H729-F729)*24)</f>
        <v/>
      </c>
      <c r="R729" s="42">
        <f>IF(J729="","",(J729-H729)*24)</f>
        <v/>
      </c>
    </row>
    <row r="730" ht="15" customHeight="1" s="24">
      <c r="A730" s="27" t="n">
        <v>990741</v>
      </c>
      <c r="B730" s="27" t="inlineStr">
        <is>
          <t>PGO10990741</t>
        </is>
      </c>
      <c r="C730" s="27" t="n">
        <v>142</v>
      </c>
      <c r="D730" s="27" t="n">
        <v>2064</v>
      </c>
      <c r="E730" s="27" t="n">
        <v>328</v>
      </c>
      <c r="F730" s="41" t="n">
        <v>46041.6182847801</v>
      </c>
      <c r="G730" s="41" t="n">
        <v>46041.72578346065</v>
      </c>
      <c r="H730" s="41" t="n">
        <v>46042.05479024306</v>
      </c>
      <c r="I730" s="41" t="n">
        <v>46042.05877758102</v>
      </c>
      <c r="J730" s="41" t="n">
        <v>46045.76483042824</v>
      </c>
      <c r="K730" s="27" t="inlineStr">
        <is>
          <t>Collected</t>
        </is>
      </c>
      <c r="L730" s="27" t="inlineStr">
        <is>
          <t>Standard</t>
        </is>
      </c>
      <c r="M730" s="27" t="inlineStr">
        <is>
          <t>Gauteng</t>
        </is>
      </c>
      <c r="N730" s="27" t="n">
        <v>880.63</v>
      </c>
      <c r="O730" s="27" t="n">
        <v>0.37</v>
      </c>
      <c r="P730" s="27" t="n">
        <v>56.05</v>
      </c>
      <c r="Q730" s="42">
        <f>IF(H730="","",(H730-F730)*24)</f>
        <v/>
      </c>
      <c r="R730" s="42">
        <f>IF(J730="","",(J730-H730)*24)</f>
        <v/>
      </c>
    </row>
    <row r="731" ht="15" customHeight="1" s="24">
      <c r="A731" s="27" t="n">
        <v>987125</v>
      </c>
      <c r="B731" s="27" t="inlineStr">
        <is>
          <t>PGO10987125</t>
        </is>
      </c>
      <c r="C731" s="27" t="n">
        <v>2</v>
      </c>
      <c r="D731" s="27" t="n">
        <v>886</v>
      </c>
      <c r="E731" s="27" t="n">
        <v>66</v>
      </c>
      <c r="F731" s="41" t="n">
        <v>46044.31067969908</v>
      </c>
      <c r="G731" s="41" t="n">
        <v>46044.61057064815</v>
      </c>
      <c r="H731" s="41" t="n">
        <v>46045.52961265046</v>
      </c>
      <c r="I731" s="41" t="n">
        <v>46045.5320128125</v>
      </c>
      <c r="J731" s="41" t="n">
        <v>46046.00056636574</v>
      </c>
      <c r="K731" s="27" t="inlineStr">
        <is>
          <t>Collected</t>
        </is>
      </c>
      <c r="L731" s="27" t="inlineStr">
        <is>
          <t>Return-to-Retailer</t>
        </is>
      </c>
      <c r="M731" s="27" t="inlineStr">
        <is>
          <t>KwaZulu-Natal</t>
        </is>
      </c>
      <c r="N731" s="27" t="n">
        <v>244.39</v>
      </c>
      <c r="O731" s="27" t="n">
        <v>8.19</v>
      </c>
      <c r="P731" s="27" t="n">
        <v>71.58</v>
      </c>
      <c r="Q731" s="42">
        <f>IF(H731="","",(H731-F731)*24)</f>
        <v/>
      </c>
      <c r="R731" s="42">
        <f>IF(J731="","",(J731-H731)*24)</f>
        <v/>
      </c>
    </row>
    <row r="732" ht="15" customHeight="1" s="24">
      <c r="A732" s="27" t="n">
        <v>1007985</v>
      </c>
      <c r="B732" s="27" t="inlineStr">
        <is>
          <t>PGO11007985</t>
        </is>
      </c>
      <c r="C732" s="27" t="n">
        <v>8</v>
      </c>
      <c r="D732" s="27" t="n">
        <v>3153</v>
      </c>
      <c r="E732" s="27" t="n">
        <v>65</v>
      </c>
      <c r="F732" s="41" t="n">
        <v>46048.84105163194</v>
      </c>
      <c r="G732" s="41" t="n">
        <v>46048.90254583333</v>
      </c>
      <c r="H732" s="41" t="n">
        <v>46049.39260489583</v>
      </c>
      <c r="I732" s="41" t="n">
        <v>46049.42281540509</v>
      </c>
      <c r="J732" s="41" t="n">
        <v>46049.95678136574</v>
      </c>
      <c r="K732" s="27" t="inlineStr">
        <is>
          <t>Collected</t>
        </is>
      </c>
      <c r="L732" s="27" t="inlineStr">
        <is>
          <t>Standard</t>
        </is>
      </c>
      <c r="M732" s="27" t="inlineStr">
        <is>
          <t>KwaZulu-Natal</t>
        </is>
      </c>
      <c r="N732" s="27" t="n">
        <v>633.3200000000001</v>
      </c>
      <c r="O732" s="27" t="n">
        <v>1.23</v>
      </c>
      <c r="P732" s="27" t="n">
        <v>53.45</v>
      </c>
      <c r="Q732" s="42">
        <f>IF(H732="","",(H732-F732)*24)</f>
        <v/>
      </c>
      <c r="R732" s="42">
        <f>IF(J732="","",(J732-H732)*24)</f>
        <v/>
      </c>
    </row>
    <row r="733" ht="15" customHeight="1" s="24">
      <c r="A733" s="27" t="n">
        <v>989039</v>
      </c>
      <c r="B733" s="27" t="inlineStr">
        <is>
          <t>PGO10989039</t>
        </is>
      </c>
      <c r="C733" s="27" t="n">
        <v>2</v>
      </c>
      <c r="D733" s="27" t="n">
        <v>3107</v>
      </c>
      <c r="E733" s="27" t="n">
        <v>157</v>
      </c>
      <c r="F733" s="41" t="n">
        <v>46049.74829350694</v>
      </c>
      <c r="G733" s="41" t="n">
        <v>46049.90006826389</v>
      </c>
      <c r="H733" s="41" t="n">
        <v>46050.72113048611</v>
      </c>
      <c r="I733" s="41" t="n">
        <v>46050.77115658565</v>
      </c>
      <c r="J733" s="41" t="n">
        <v>46051.66932554398</v>
      </c>
      <c r="K733" s="27" t="inlineStr">
        <is>
          <t>Collected</t>
        </is>
      </c>
      <c r="L733" s="27" t="inlineStr">
        <is>
          <t>Standard</t>
        </is>
      </c>
      <c r="M733" s="27" t="inlineStr">
        <is>
          <t>Free State</t>
        </is>
      </c>
      <c r="N733" s="27" t="n">
        <v>415.56</v>
      </c>
      <c r="O733" s="27" t="n">
        <v>2.51</v>
      </c>
      <c r="P733" s="27" t="n">
        <v>50.74</v>
      </c>
      <c r="Q733" s="42">
        <f>IF(H733="","",(H733-F733)*24)</f>
        <v/>
      </c>
      <c r="R733" s="42">
        <f>IF(J733="","",(J733-H733)*24)</f>
        <v/>
      </c>
    </row>
    <row r="734" ht="15" customHeight="1" s="24">
      <c r="A734" s="27" t="n">
        <v>996458</v>
      </c>
      <c r="B734" s="27" t="inlineStr">
        <is>
          <t>PGO10996458</t>
        </is>
      </c>
      <c r="C734" s="27" t="n">
        <v>76</v>
      </c>
      <c r="D734" s="27" t="n">
        <v>49</v>
      </c>
      <c r="E734" s="27" t="n">
        <v>389</v>
      </c>
      <c r="F734" s="41" t="n">
        <v>46050.25231894676</v>
      </c>
      <c r="G734" s="41" t="n">
        <v>46050.60103623843</v>
      </c>
      <c r="H734" s="41" t="n">
        <v>46051.16793584491</v>
      </c>
      <c r="I734" s="41" t="n">
        <v>46051.19215100694</v>
      </c>
      <c r="J734" s="41" t="n">
        <v>46053.38387212963</v>
      </c>
      <c r="K734" s="27" t="inlineStr">
        <is>
          <t>Collected</t>
        </is>
      </c>
      <c r="L734" s="27" t="inlineStr">
        <is>
          <t>Standard</t>
        </is>
      </c>
      <c r="M734" s="27" t="inlineStr">
        <is>
          <t>Mpumalanga</t>
        </is>
      </c>
      <c r="N734" s="27" t="n">
        <v>1050.9</v>
      </c>
      <c r="O734" s="27" t="n">
        <v>0.49</v>
      </c>
      <c r="P734" s="27" t="n">
        <v>56.57</v>
      </c>
      <c r="Q734" s="42">
        <f>IF(H734="","",(H734-F734)*24)</f>
        <v/>
      </c>
      <c r="R734" s="42">
        <f>IF(J734="","",(J734-H734)*24)</f>
        <v/>
      </c>
    </row>
    <row r="735" ht="15" customHeight="1" s="24">
      <c r="A735" s="27" t="n">
        <v>1008257</v>
      </c>
      <c r="B735" s="27" t="inlineStr">
        <is>
          <t>PGO11008257</t>
        </is>
      </c>
      <c r="C735" s="27" t="n">
        <v>8</v>
      </c>
      <c r="D735" s="27" t="n">
        <v>578</v>
      </c>
      <c r="E735" s="27" t="n">
        <v>217</v>
      </c>
      <c r="F735" s="41" t="n">
        <v>46052.79608706018</v>
      </c>
      <c r="G735" s="41" t="n">
        <v>46053.21425378472</v>
      </c>
      <c r="H735" s="41" t="n">
        <v>46053.75001826389</v>
      </c>
      <c r="I735" s="41" t="n">
        <v>46053.75922236111</v>
      </c>
      <c r="J735" s="41" t="n">
        <v>46054.3566165162</v>
      </c>
      <c r="K735" s="27" t="inlineStr">
        <is>
          <t>Collected</t>
        </is>
      </c>
      <c r="L735" s="27" t="inlineStr">
        <is>
          <t>Standard</t>
        </is>
      </c>
      <c r="M735" s="27" t="inlineStr">
        <is>
          <t>KwaZulu-Natal</t>
        </is>
      </c>
      <c r="N735" s="27" t="n">
        <v>1386.26</v>
      </c>
      <c r="O735" s="27" t="n">
        <v>0.92</v>
      </c>
      <c r="P735" s="27" t="n">
        <v>55.35</v>
      </c>
      <c r="Q735" s="42">
        <f>IF(H735="","",(H735-F735)*24)</f>
        <v/>
      </c>
      <c r="R735" s="42">
        <f>IF(J735="","",(J735-H735)*24)</f>
        <v/>
      </c>
    </row>
    <row r="736" ht="15" customHeight="1" s="24">
      <c r="A736" s="27" t="n">
        <v>1000097</v>
      </c>
      <c r="B736" s="27" t="inlineStr">
        <is>
          <t>PGO11000097</t>
        </is>
      </c>
      <c r="C736" s="27" t="n">
        <v>13</v>
      </c>
      <c r="D736" s="27" t="n">
        <v>3698</v>
      </c>
      <c r="E736" s="27" t="n">
        <v>392</v>
      </c>
      <c r="F736" s="41" t="n">
        <v>46054.36154247685</v>
      </c>
      <c r="G736" s="41" t="n">
        <v>46054.5835387037</v>
      </c>
      <c r="H736" s="41" t="n">
        <v>46055.32147836805</v>
      </c>
      <c r="I736" s="41" t="n">
        <v>46055.33317413194</v>
      </c>
      <c r="J736" s="41" t="n">
        <v>46058.4204122338</v>
      </c>
      <c r="K736" s="27" t="inlineStr">
        <is>
          <t>Collected</t>
        </is>
      </c>
      <c r="L736" s="27" t="inlineStr">
        <is>
          <t>Standard</t>
        </is>
      </c>
      <c r="M736" s="27" t="inlineStr">
        <is>
          <t>Western Cape</t>
        </is>
      </c>
      <c r="N736" s="27" t="n">
        <v>61.28</v>
      </c>
      <c r="O736" s="27" t="n">
        <v>0.65</v>
      </c>
      <c r="P736" s="27" t="n">
        <v>67.88</v>
      </c>
      <c r="Q736" s="42">
        <f>IF(H736="","",(H736-F736)*24)</f>
        <v/>
      </c>
      <c r="R736" s="42">
        <f>IF(J736="","",(J736-H736)*24)</f>
        <v/>
      </c>
    </row>
    <row r="737" ht="15" customHeight="1" s="24">
      <c r="A737" s="27" t="n">
        <v>986580</v>
      </c>
      <c r="B737" s="27" t="inlineStr">
        <is>
          <t>PGO10986580</t>
        </is>
      </c>
      <c r="C737" s="27" t="n">
        <v>3</v>
      </c>
      <c r="D737" s="27" t="n">
        <v>3733</v>
      </c>
      <c r="E737" s="27" t="n">
        <v>93</v>
      </c>
      <c r="F737" s="41" t="n">
        <v>46054.79752552084</v>
      </c>
      <c r="G737" s="41" t="n">
        <v>46055.18381030093</v>
      </c>
      <c r="H737" s="41" t="n">
        <v>46055.98751202547</v>
      </c>
      <c r="I737" s="41" t="n">
        <v>46056.01958729167</v>
      </c>
      <c r="J737" s="41" t="n">
        <v>46059.58372116898</v>
      </c>
      <c r="K737" s="27" t="inlineStr">
        <is>
          <t>Collected</t>
        </is>
      </c>
      <c r="L737" s="27" t="inlineStr">
        <is>
          <t>Standard</t>
        </is>
      </c>
      <c r="M737" s="27" t="inlineStr">
        <is>
          <t>Gauteng</t>
        </is>
      </c>
      <c r="N737" s="27" t="n">
        <v>83.73999999999999</v>
      </c>
      <c r="O737" s="27" t="n">
        <v>1.8</v>
      </c>
      <c r="P737" s="27" t="n">
        <v>37.36</v>
      </c>
      <c r="Q737" s="42">
        <f>IF(H737="","",(H737-F737)*24)</f>
        <v/>
      </c>
      <c r="R737" s="42">
        <f>IF(J737="","",(J737-H737)*24)</f>
        <v/>
      </c>
    </row>
    <row r="738" ht="15" customHeight="1" s="24">
      <c r="A738" s="27" t="n">
        <v>1021084</v>
      </c>
      <c r="B738" s="27" t="inlineStr">
        <is>
          <t>PGO11021084</t>
        </is>
      </c>
      <c r="C738" s="27" t="n">
        <v>92</v>
      </c>
      <c r="D738" s="27" t="n">
        <v>2482</v>
      </c>
      <c r="E738" s="27" t="n">
        <v>126</v>
      </c>
      <c r="F738" s="41" t="n">
        <v>46055.56661829861</v>
      </c>
      <c r="G738" s="41" t="n">
        <v>46056.03641398148</v>
      </c>
      <c r="H738" s="41" t="n">
        <v>46056.72339122685</v>
      </c>
      <c r="I738" s="41" t="n">
        <v>46056.75865820602</v>
      </c>
      <c r="J738" s="41" t="n">
        <v>46057.58009166666</v>
      </c>
      <c r="K738" s="27" t="inlineStr">
        <is>
          <t>Collected</t>
        </is>
      </c>
      <c r="L738" s="27" t="inlineStr">
        <is>
          <t>Standard</t>
        </is>
      </c>
      <c r="M738" s="27" t="inlineStr">
        <is>
          <t>Eastern Cape</t>
        </is>
      </c>
      <c r="N738" s="27" t="n">
        <v>1093.72</v>
      </c>
      <c r="O738" s="27" t="n">
        <v>1.09</v>
      </c>
      <c r="P738" s="27" t="n">
        <v>59.53</v>
      </c>
      <c r="Q738" s="42">
        <f>IF(H738="","",(H738-F738)*24)</f>
        <v/>
      </c>
      <c r="R738" s="42">
        <f>IF(J738="","",(J738-H738)*24)</f>
        <v/>
      </c>
    </row>
    <row r="739" ht="15" customHeight="1" s="24">
      <c r="A739" s="27" t="n">
        <v>1010257</v>
      </c>
      <c r="B739" s="27" t="inlineStr">
        <is>
          <t>PGO11010257</t>
        </is>
      </c>
      <c r="C739" s="27" t="n">
        <v>20</v>
      </c>
      <c r="D739" s="27" t="n">
        <v>454</v>
      </c>
      <c r="E739" s="27" t="n">
        <v>447</v>
      </c>
      <c r="F739" s="41" t="n">
        <v>46056.28309452546</v>
      </c>
      <c r="G739" s="41" t="n">
        <v>46056.54986788194</v>
      </c>
      <c r="H739" s="41" t="n">
        <v>46056.9888421875</v>
      </c>
      <c r="I739" s="41" t="n">
        <v>46057.01793277778</v>
      </c>
      <c r="J739" s="41" t="n">
        <v>46058.65569719907</v>
      </c>
      <c r="K739" s="27" t="inlineStr">
        <is>
          <t>Collected</t>
        </is>
      </c>
      <c r="L739" s="27" t="inlineStr">
        <is>
          <t>Standard</t>
        </is>
      </c>
      <c r="M739" s="27" t="inlineStr">
        <is>
          <t>Mpumalanga</t>
        </is>
      </c>
      <c r="N739" s="27" t="n">
        <v>476.06</v>
      </c>
      <c r="O739" s="27" t="n">
        <v>1.19</v>
      </c>
      <c r="P739" s="27" t="n">
        <v>57.27</v>
      </c>
      <c r="Q739" s="42">
        <f>IF(H739="","",(H739-F739)*24)</f>
        <v/>
      </c>
      <c r="R739" s="42">
        <f>IF(J739="","",(J739-H739)*24)</f>
        <v/>
      </c>
    </row>
    <row r="740" ht="15" customHeight="1" s="24">
      <c r="A740" s="27" t="n">
        <v>1014927</v>
      </c>
      <c r="B740" s="27" t="inlineStr">
        <is>
          <t>PGO11014927</t>
        </is>
      </c>
      <c r="C740" s="27" t="n">
        <v>6</v>
      </c>
      <c r="D740" s="27" t="n">
        <v>2533</v>
      </c>
      <c r="E740" s="27" t="n">
        <v>193</v>
      </c>
      <c r="F740" s="41" t="n">
        <v>46058.9065615625</v>
      </c>
      <c r="G740" s="41" t="n">
        <v>46059.01091597222</v>
      </c>
      <c r="H740" s="41" t="n">
        <v>46059.87845046297</v>
      </c>
      <c r="I740" s="41" t="n">
        <v>46059.91930059028</v>
      </c>
      <c r="J740" s="41" t="n">
        <v>46062.8461040625</v>
      </c>
      <c r="K740" s="27" t="inlineStr">
        <is>
          <t>Collected</t>
        </is>
      </c>
      <c r="L740" s="27" t="inlineStr">
        <is>
          <t>Standard</t>
        </is>
      </c>
      <c r="M740" s="27" t="inlineStr">
        <is>
          <t>Western Cape</t>
        </is>
      </c>
      <c r="N740" s="27" t="n">
        <v>125.97</v>
      </c>
      <c r="O740" s="27" t="n">
        <v>2.77</v>
      </c>
      <c r="P740" s="27" t="n">
        <v>40.74</v>
      </c>
      <c r="Q740" s="42">
        <f>IF(H740="","",(H740-F740)*24)</f>
        <v/>
      </c>
      <c r="R740" s="42">
        <f>IF(J740="","",(J740-H740)*24)</f>
        <v/>
      </c>
    </row>
    <row r="741" ht="15" customHeight="1" s="24">
      <c r="A741" s="27" t="n">
        <v>1013538</v>
      </c>
      <c r="B741" s="27" t="inlineStr">
        <is>
          <t>PGO11013538</t>
        </is>
      </c>
      <c r="C741" s="27" t="n">
        <v>93</v>
      </c>
      <c r="D741" s="27" t="n">
        <v>1742</v>
      </c>
      <c r="E741" s="27" t="n">
        <v>382</v>
      </c>
      <c r="F741" s="41" t="n">
        <v>46061.68957516204</v>
      </c>
      <c r="G741" s="41" t="n">
        <v>46062.16444025463</v>
      </c>
      <c r="H741" s="41" t="n">
        <v>46062.66806954861</v>
      </c>
      <c r="I741" s="41" t="n">
        <v>46062.70724217593</v>
      </c>
      <c r="J741" s="41" t="n">
        <v>46063.02482253472</v>
      </c>
      <c r="K741" s="27" t="inlineStr">
        <is>
          <t>Collected</t>
        </is>
      </c>
      <c r="L741" s="27" t="inlineStr">
        <is>
          <t>Standard</t>
        </is>
      </c>
      <c r="M741" s="27" t="inlineStr">
        <is>
          <t>Gauteng</t>
        </is>
      </c>
      <c r="N741" s="27" t="n">
        <v>1459.95</v>
      </c>
      <c r="O741" s="27" t="n">
        <v>2.03</v>
      </c>
      <c r="P741" s="27" t="n">
        <v>65.40000000000001</v>
      </c>
      <c r="Q741" s="42">
        <f>IF(H741="","",(H741-F741)*24)</f>
        <v/>
      </c>
      <c r="R741" s="42">
        <f>IF(J741="","",(J741-H741)*24)</f>
        <v/>
      </c>
    </row>
    <row r="742" ht="15" customHeight="1" s="24">
      <c r="A742" s="27" t="n">
        <v>1009848</v>
      </c>
      <c r="B742" s="27" t="inlineStr">
        <is>
          <t>PGO11009848</t>
        </is>
      </c>
      <c r="C742" s="27" t="n">
        <v>1</v>
      </c>
      <c r="D742" s="27" t="n">
        <v>1519</v>
      </c>
      <c r="E742" s="27" t="n">
        <v>434</v>
      </c>
      <c r="F742" s="41" t="n">
        <v>46062.20751855324</v>
      </c>
      <c r="G742" s="41" t="n">
        <v>46062.62760581019</v>
      </c>
      <c r="H742" s="41" t="n">
        <v>46063.42148726852</v>
      </c>
      <c r="I742" s="41" t="n">
        <v>46063.48122819445</v>
      </c>
      <c r="J742" s="41" t="n">
        <v>46064.96022818287</v>
      </c>
      <c r="K742" s="27" t="inlineStr">
        <is>
          <t>Collected</t>
        </is>
      </c>
      <c r="L742" s="27" t="inlineStr">
        <is>
          <t>Standard</t>
        </is>
      </c>
      <c r="M742" s="27" t="inlineStr">
        <is>
          <t>Mpumalanga</t>
        </is>
      </c>
      <c r="N742" s="27" t="n">
        <v>713.4</v>
      </c>
      <c r="O742" s="27" t="n">
        <v>0.27</v>
      </c>
      <c r="P742" s="27" t="n">
        <v>46.59</v>
      </c>
      <c r="Q742" s="42">
        <f>IF(H742="","",(H742-F742)*24)</f>
        <v/>
      </c>
      <c r="R742" s="42">
        <f>IF(J742="","",(J742-H742)*24)</f>
        <v/>
      </c>
    </row>
    <row r="743" ht="15" customHeight="1" s="24">
      <c r="A743" s="27" t="n">
        <v>1020973</v>
      </c>
      <c r="B743" s="27" t="inlineStr">
        <is>
          <t>PGO11020973</t>
        </is>
      </c>
      <c r="C743" s="27" t="n">
        <v>12</v>
      </c>
      <c r="D743" s="27" t="n">
        <v>1838</v>
      </c>
      <c r="E743" s="27" t="n">
        <v>461</v>
      </c>
      <c r="F743" s="41" t="n">
        <v>46063.8544494213</v>
      </c>
      <c r="G743" s="41" t="n">
        <v>46064.19153604167</v>
      </c>
      <c r="H743" s="41" t="n">
        <v>46064.92489402778</v>
      </c>
      <c r="I743" s="41" t="n">
        <v>46064.95579738426</v>
      </c>
      <c r="J743" s="41" t="n">
        <v>46065.251440625</v>
      </c>
      <c r="K743" s="27" t="inlineStr">
        <is>
          <t>Collected</t>
        </is>
      </c>
      <c r="L743" s="27" t="inlineStr">
        <is>
          <t>Standard</t>
        </is>
      </c>
      <c r="M743" s="27" t="inlineStr">
        <is>
          <t>Eastern Cape</t>
        </is>
      </c>
      <c r="N743" s="27" t="n">
        <v>167.93</v>
      </c>
      <c r="O743" s="27" t="n">
        <v>2.33</v>
      </c>
      <c r="P743" s="27" t="n">
        <v>66.45999999999999</v>
      </c>
      <c r="Q743" s="42">
        <f>IF(H743="","",(H743-F743)*24)</f>
        <v/>
      </c>
      <c r="R743" s="42">
        <f>IF(J743="","",(J743-H743)*24)</f>
        <v/>
      </c>
    </row>
    <row r="744" ht="15" customHeight="1" s="24">
      <c r="A744" s="27" t="n">
        <v>1037566</v>
      </c>
      <c r="B744" s="27" t="inlineStr">
        <is>
          <t>PGO11037566</t>
        </is>
      </c>
      <c r="C744" s="27" t="n">
        <v>4</v>
      </c>
      <c r="D744" s="27" t="n">
        <v>969</v>
      </c>
      <c r="E744" s="27" t="n">
        <v>72</v>
      </c>
      <c r="F744" s="41" t="n">
        <v>46065.00868282407</v>
      </c>
      <c r="G744" s="41" t="n">
        <v>46065.11228935185</v>
      </c>
      <c r="H744" s="41" t="n">
        <v>46065.66766171296</v>
      </c>
      <c r="I744" s="41" t="n">
        <v>46065.67326252315</v>
      </c>
      <c r="J744" s="41" t="n">
        <v>46066.81619131944</v>
      </c>
      <c r="K744" s="27" t="inlineStr">
        <is>
          <t>Collected</t>
        </is>
      </c>
      <c r="L744" s="27" t="inlineStr">
        <is>
          <t>Standard</t>
        </is>
      </c>
      <c r="M744" s="27" t="inlineStr">
        <is>
          <t>Eastern Cape</t>
        </is>
      </c>
      <c r="N744" s="27" t="n">
        <v>229.09</v>
      </c>
      <c r="O744" s="27" t="n">
        <v>3.05</v>
      </c>
      <c r="P744" s="27" t="n">
        <v>43.6</v>
      </c>
      <c r="Q744" s="42">
        <f>IF(H744="","",(H744-F744)*24)</f>
        <v/>
      </c>
      <c r="R744" s="42">
        <f>IF(J744="","",(J744-H744)*24)</f>
        <v/>
      </c>
    </row>
    <row r="745" ht="15" customHeight="1" s="24">
      <c r="A745" s="27" t="n">
        <v>1021306</v>
      </c>
      <c r="B745" s="27" t="inlineStr">
        <is>
          <t>PGO11021306</t>
        </is>
      </c>
      <c r="C745" s="27" t="n">
        <v>1</v>
      </c>
      <c r="D745" s="27" t="n">
        <v>2002</v>
      </c>
      <c r="E745" s="27" t="n">
        <v>235</v>
      </c>
      <c r="F745" s="41" t="n">
        <v>46065.94529548611</v>
      </c>
      <c r="G745" s="41" t="n">
        <v>46066.36266565972</v>
      </c>
      <c r="H745" s="41" t="n">
        <v>46067.45045334491</v>
      </c>
      <c r="I745" s="41" t="n">
        <v>46067.4801650463</v>
      </c>
      <c r="J745" s="41" t="n">
        <v>46068.39412180556</v>
      </c>
      <c r="K745" s="27" t="inlineStr">
        <is>
          <t>Collected</t>
        </is>
      </c>
      <c r="L745" s="27" t="inlineStr">
        <is>
          <t>Express</t>
        </is>
      </c>
      <c r="M745" s="27" t="inlineStr">
        <is>
          <t>Mpumalanga</t>
        </is>
      </c>
      <c r="N745" s="27" t="n">
        <v>208.94</v>
      </c>
      <c r="O745" s="27" t="n">
        <v>2.56</v>
      </c>
      <c r="P745" s="27" t="n">
        <v>47.27</v>
      </c>
      <c r="Q745" s="42">
        <f>IF(H745="","",(H745-F745)*24)</f>
        <v/>
      </c>
      <c r="R745" s="42">
        <f>IF(J745="","",(J745-H745)*24)</f>
        <v/>
      </c>
    </row>
    <row r="746" ht="15" customHeight="1" s="24">
      <c r="A746" s="27" t="n">
        <v>1010499</v>
      </c>
      <c r="B746" s="27" t="inlineStr">
        <is>
          <t>PGO11010499</t>
        </is>
      </c>
      <c r="C746" s="27" t="n">
        <v>43</v>
      </c>
      <c r="D746" s="27" t="n">
        <v>3747</v>
      </c>
      <c r="E746" s="27" t="n">
        <v>485</v>
      </c>
      <c r="F746" s="41" t="n">
        <v>46066.56673487269</v>
      </c>
      <c r="G746" s="41" t="n">
        <v>46066.64750261574</v>
      </c>
      <c r="H746" s="41" t="n">
        <v>46067.84496946759</v>
      </c>
      <c r="I746" s="41" t="n">
        <v>46067.85395708333</v>
      </c>
      <c r="J746" s="41" t="n">
        <v>46068.08761416667</v>
      </c>
      <c r="K746" s="27" t="inlineStr">
        <is>
          <t>Collected</t>
        </is>
      </c>
      <c r="L746" s="27" t="inlineStr">
        <is>
          <t>Standard</t>
        </is>
      </c>
      <c r="M746" s="27" t="inlineStr">
        <is>
          <t>KwaZulu-Natal</t>
        </is>
      </c>
      <c r="N746" s="27" t="n">
        <v>90.52</v>
      </c>
      <c r="O746" s="27" t="n">
        <v>1.65</v>
      </c>
      <c r="P746" s="27" t="n">
        <v>50.13</v>
      </c>
      <c r="Q746" s="42">
        <f>IF(H746="","",(H746-F746)*24)</f>
        <v/>
      </c>
      <c r="R746" s="42">
        <f>IF(J746="","",(J746-H746)*24)</f>
        <v/>
      </c>
    </row>
    <row r="747" ht="15" customHeight="1" s="24">
      <c r="A747" s="27" t="n">
        <v>1034508</v>
      </c>
      <c r="B747" s="27" t="inlineStr">
        <is>
          <t>PGO11034508</t>
        </is>
      </c>
      <c r="C747" s="27" t="n">
        <v>2</v>
      </c>
      <c r="D747" s="27" t="n">
        <v>712</v>
      </c>
      <c r="E747" s="27" t="n">
        <v>75</v>
      </c>
      <c r="F747" s="41" t="n">
        <v>46067.5155044213</v>
      </c>
      <c r="G747" s="41" t="n">
        <v>46068.04544446759</v>
      </c>
      <c r="H747" s="41" t="n">
        <v>46068.63189233797</v>
      </c>
      <c r="I747" s="41" t="n">
        <v>46068.67368538195</v>
      </c>
      <c r="J747" s="41" t="n">
        <v>46071.72079489583</v>
      </c>
      <c r="K747" s="27" t="inlineStr">
        <is>
          <t>Collected</t>
        </is>
      </c>
      <c r="L747" s="27" t="inlineStr">
        <is>
          <t>Standard</t>
        </is>
      </c>
      <c r="M747" s="27" t="inlineStr">
        <is>
          <t>Gauteng</t>
        </is>
      </c>
      <c r="N747" s="27" t="n">
        <v>266.7</v>
      </c>
      <c r="O747" s="27" t="n">
        <v>7.33</v>
      </c>
      <c r="P747" s="27" t="n">
        <v>68.28</v>
      </c>
      <c r="Q747" s="42">
        <f>IF(H747="","",(H747-F747)*24)</f>
        <v/>
      </c>
      <c r="R747" s="42">
        <f>IF(J747="","",(J747-H747)*24)</f>
        <v/>
      </c>
    </row>
    <row r="748" ht="15" customHeight="1" s="24">
      <c r="A748" s="27" t="n">
        <v>1021324</v>
      </c>
      <c r="B748" s="27" t="inlineStr">
        <is>
          <t>PGO11021324</t>
        </is>
      </c>
      <c r="C748" s="27" t="n">
        <v>39</v>
      </c>
      <c r="D748" s="27" t="n">
        <v>2279</v>
      </c>
      <c r="E748" s="27" t="n">
        <v>175</v>
      </c>
      <c r="F748" s="41" t="n">
        <v>46067.86850337963</v>
      </c>
      <c r="G748" s="41" t="n">
        <v>46068.04662734954</v>
      </c>
      <c r="H748" s="41" t="n">
        <v>46069.17346015046</v>
      </c>
      <c r="I748" s="41" t="n">
        <v>46069.23422849537</v>
      </c>
      <c r="J748" s="41" t="n">
        <v>46069.84639458334</v>
      </c>
      <c r="K748" s="27" t="inlineStr">
        <is>
          <t>Collected</t>
        </is>
      </c>
      <c r="L748" s="27" t="inlineStr">
        <is>
          <t>Standard</t>
        </is>
      </c>
      <c r="M748" s="27" t="inlineStr">
        <is>
          <t>Mpumalanga</t>
        </is>
      </c>
      <c r="N748" s="27" t="n">
        <v>340.32</v>
      </c>
      <c r="O748" s="27" t="n">
        <v>1.19</v>
      </c>
      <c r="P748" s="27" t="n">
        <v>58.63</v>
      </c>
      <c r="Q748" s="42">
        <f>IF(H748="","",(H748-F748)*24)</f>
        <v/>
      </c>
      <c r="R748" s="42">
        <f>IF(J748="","",(J748-H748)*24)</f>
        <v/>
      </c>
    </row>
    <row r="749" ht="15" customHeight="1" s="24">
      <c r="A749" s="27" t="n">
        <v>1032477</v>
      </c>
      <c r="B749" s="27" t="inlineStr">
        <is>
          <t>PGO11032477</t>
        </is>
      </c>
      <c r="C749" s="27" t="n">
        <v>20</v>
      </c>
      <c r="D749" s="27" t="n">
        <v>423</v>
      </c>
      <c r="E749" s="27" t="n">
        <v>177</v>
      </c>
      <c r="F749" s="41" t="n">
        <v>46068.06998475694</v>
      </c>
      <c r="G749" s="41" t="n">
        <v>46068.54394418981</v>
      </c>
      <c r="H749" s="41" t="n">
        <v>46069.69260106482</v>
      </c>
      <c r="I749" s="41" t="n">
        <v>46069.69674734954</v>
      </c>
      <c r="J749" s="41" t="n">
        <v>46070.29780740741</v>
      </c>
      <c r="K749" s="27" t="inlineStr">
        <is>
          <t>Collected</t>
        </is>
      </c>
      <c r="L749" s="27" t="inlineStr">
        <is>
          <t>Standard</t>
        </is>
      </c>
      <c r="M749" s="27" t="inlineStr">
        <is>
          <t>Limpopo</t>
        </is>
      </c>
      <c r="N749" s="27" t="n">
        <v>189.66</v>
      </c>
      <c r="O749" s="27" t="n">
        <v>4.9</v>
      </c>
      <c r="P749" s="27" t="n">
        <v>56.11</v>
      </c>
      <c r="Q749" s="42">
        <f>IF(H749="","",(H749-F749)*24)</f>
        <v/>
      </c>
      <c r="R749" s="42">
        <f>IF(J749="","",(J749-H749)*24)</f>
        <v/>
      </c>
    </row>
    <row r="750" ht="15" customHeight="1" s="24">
      <c r="A750" s="27" t="n">
        <v>1019985</v>
      </c>
      <c r="B750" s="27" t="inlineStr">
        <is>
          <t>PGO11019985</t>
        </is>
      </c>
      <c r="C750" s="27" t="n">
        <v>4</v>
      </c>
      <c r="D750" s="27" t="n">
        <v>1018</v>
      </c>
      <c r="E750" s="27" t="n">
        <v>380</v>
      </c>
      <c r="F750" s="41" t="n">
        <v>46069.0303678588</v>
      </c>
      <c r="G750" s="41" t="n">
        <v>46069.07626553241</v>
      </c>
      <c r="H750" s="41" t="n">
        <v>46069.79227930555</v>
      </c>
      <c r="I750" s="41" t="n">
        <v>46069.85137130787</v>
      </c>
      <c r="J750" s="41" t="n">
        <v>46069.94897856482</v>
      </c>
      <c r="K750" s="27" t="inlineStr">
        <is>
          <t>Collected</t>
        </is>
      </c>
      <c r="L750" s="27" t="inlineStr">
        <is>
          <t>Standard</t>
        </is>
      </c>
      <c r="M750" s="27" t="inlineStr">
        <is>
          <t>Mpumalanga</t>
        </is>
      </c>
      <c r="N750" s="27" t="n">
        <v>147.73</v>
      </c>
      <c r="O750" s="27" t="n">
        <v>1.6</v>
      </c>
      <c r="P750" s="27" t="n">
        <v>42.19</v>
      </c>
      <c r="Q750" s="42">
        <f>IF(H750="","",(H750-F750)*24)</f>
        <v/>
      </c>
      <c r="R750" s="42">
        <f>IF(J750="","",(J750-H750)*24)</f>
        <v/>
      </c>
    </row>
    <row r="751" ht="15" customHeight="1" s="24">
      <c r="A751" s="27" t="n">
        <v>1026389</v>
      </c>
      <c r="B751" s="27" t="inlineStr">
        <is>
          <t>PGO11026389</t>
        </is>
      </c>
      <c r="C751" s="27" t="n">
        <v>88</v>
      </c>
      <c r="D751" s="27" t="n">
        <v>2262</v>
      </c>
      <c r="E751" s="27" t="n">
        <v>456</v>
      </c>
      <c r="F751" s="41" t="n">
        <v>46070.92754815972</v>
      </c>
      <c r="G751" s="41" t="n">
        <v>46071.09258048611</v>
      </c>
      <c r="H751" s="41" t="n">
        <v>46072.10444130787</v>
      </c>
      <c r="I751" s="41" t="n">
        <v>46072.12889643518</v>
      </c>
      <c r="J751" s="41" t="n">
        <v>46073.11671210648</v>
      </c>
      <c r="K751" s="27" t="inlineStr">
        <is>
          <t>Collected</t>
        </is>
      </c>
      <c r="L751" s="27" t="inlineStr">
        <is>
          <t>Standard</t>
        </is>
      </c>
      <c r="M751" s="27" t="inlineStr">
        <is>
          <t>Eastern Cape</t>
        </is>
      </c>
      <c r="N751" s="27" t="n">
        <v>929.25</v>
      </c>
      <c r="O751" s="27" t="n">
        <v>2.56</v>
      </c>
      <c r="P751" s="27" t="n">
        <v>59.21</v>
      </c>
      <c r="Q751" s="42">
        <f>IF(H751="","",(H751-F751)*24)</f>
        <v/>
      </c>
      <c r="R751" s="42">
        <f>IF(J751="","",(J751-H751)*24)</f>
        <v/>
      </c>
    </row>
    <row r="752" ht="15" customHeight="1" s="24">
      <c r="A752" s="27" t="n">
        <v>1030718</v>
      </c>
      <c r="B752" s="27" t="inlineStr">
        <is>
          <t>PGO11030718</t>
        </is>
      </c>
      <c r="C752" s="27" t="n">
        <v>23</v>
      </c>
      <c r="D752" s="27" t="n">
        <v>3606</v>
      </c>
      <c r="E752" s="27" t="n">
        <v>415</v>
      </c>
      <c r="F752" s="41" t="n">
        <v>46072.60970758102</v>
      </c>
      <c r="G752" s="41" t="n">
        <v>46072.88198474537</v>
      </c>
      <c r="H752" s="41" t="n">
        <v>46073.67026563657</v>
      </c>
      <c r="I752" s="41" t="n">
        <v>46073.70855972222</v>
      </c>
      <c r="J752" s="41" t="n">
        <v>46074.83713659722</v>
      </c>
      <c r="K752" s="27" t="inlineStr">
        <is>
          <t>Collected</t>
        </is>
      </c>
      <c r="L752" s="27" t="inlineStr">
        <is>
          <t>Standard</t>
        </is>
      </c>
      <c r="M752" s="27" t="inlineStr">
        <is>
          <t>Limpopo</t>
        </is>
      </c>
      <c r="N752" s="27" t="n">
        <v>251.15</v>
      </c>
      <c r="O752" s="27" t="n">
        <v>0.58</v>
      </c>
      <c r="P752" s="27" t="n">
        <v>50.85</v>
      </c>
      <c r="Q752" s="42">
        <f>IF(H752="","",(H752-F752)*24)</f>
        <v/>
      </c>
      <c r="R752" s="42">
        <f>IF(J752="","",(J752-H752)*24)</f>
        <v/>
      </c>
    </row>
    <row r="753" ht="15" customHeight="1" s="24">
      <c r="A753" s="27" t="n">
        <v>1017084</v>
      </c>
      <c r="B753" s="27" t="inlineStr">
        <is>
          <t>PGO11017084</t>
        </is>
      </c>
      <c r="C753" s="27" t="n">
        <v>92</v>
      </c>
      <c r="D753" s="27" t="n">
        <v>2707</v>
      </c>
      <c r="E753" s="27" t="n">
        <v>449</v>
      </c>
      <c r="F753" s="41" t="n">
        <v>46072.8701315625</v>
      </c>
      <c r="G753" s="41" t="n">
        <v>46073.04998744213</v>
      </c>
      <c r="H753" s="41" t="n">
        <v>46073.75496326389</v>
      </c>
      <c r="I753" s="41" t="n">
        <v>46073.79635694445</v>
      </c>
      <c r="J753" s="41" t="n">
        <v>46077.27585717593</v>
      </c>
      <c r="K753" s="27" t="inlineStr">
        <is>
          <t>Collected</t>
        </is>
      </c>
      <c r="L753" s="27" t="inlineStr">
        <is>
          <t>Standard</t>
        </is>
      </c>
      <c r="M753" s="27" t="inlineStr">
        <is>
          <t>North West</t>
        </is>
      </c>
      <c r="N753" s="27" t="n">
        <v>150.1</v>
      </c>
      <c r="O753" s="27" t="n">
        <v>2.86</v>
      </c>
      <c r="P753" s="27" t="n">
        <v>60.17</v>
      </c>
      <c r="Q753" s="42">
        <f>IF(H753="","",(H753-F753)*24)</f>
        <v/>
      </c>
      <c r="R753" s="42">
        <f>IF(J753="","",(J753-H753)*24)</f>
        <v/>
      </c>
    </row>
    <row r="754" ht="15" customHeight="1" s="24">
      <c r="A754" s="27" t="n">
        <v>1029003</v>
      </c>
      <c r="B754" s="27" t="inlineStr">
        <is>
          <t>PGO11029003</t>
        </is>
      </c>
      <c r="C754" s="27" t="n">
        <v>82</v>
      </c>
      <c r="D754" s="27" t="n">
        <v>1881</v>
      </c>
      <c r="E754" s="27" t="n">
        <v>198</v>
      </c>
      <c r="F754" s="41" t="n">
        <v>46073.9328753588</v>
      </c>
      <c r="G754" s="41" t="n">
        <v>46074.14030021991</v>
      </c>
      <c r="H754" s="41" t="n">
        <v>46074.72633394676</v>
      </c>
      <c r="I754" s="41" t="n">
        <v>46074.72982289352</v>
      </c>
      <c r="J754" s="41" t="n">
        <v>46077.5058722338</v>
      </c>
      <c r="K754" s="27" t="inlineStr">
        <is>
          <t>Collected</t>
        </is>
      </c>
      <c r="L754" s="27" t="inlineStr">
        <is>
          <t>Standard</t>
        </is>
      </c>
      <c r="M754" s="27" t="inlineStr">
        <is>
          <t>Western Cape</t>
        </is>
      </c>
      <c r="N754" s="27" t="n">
        <v>166.76</v>
      </c>
      <c r="O754" s="27" t="n">
        <v>1.71</v>
      </c>
      <c r="P754" s="27" t="n">
        <v>53.1</v>
      </c>
      <c r="Q754" s="42">
        <f>IF(H754="","",(H754-F754)*24)</f>
        <v/>
      </c>
      <c r="R754" s="42">
        <f>IF(J754="","",(J754-H754)*24)</f>
        <v/>
      </c>
    </row>
    <row r="755" ht="15" customHeight="1" s="24">
      <c r="A755" s="27" t="n">
        <v>1014045</v>
      </c>
      <c r="B755" s="27" t="inlineStr">
        <is>
          <t>PGO11014045</t>
        </is>
      </c>
      <c r="C755" s="27" t="n">
        <v>4</v>
      </c>
      <c r="D755" s="27" t="n">
        <v>300</v>
      </c>
      <c r="E755" s="27" t="n">
        <v>123</v>
      </c>
      <c r="F755" s="41" t="n">
        <v>46074.38933796297</v>
      </c>
      <c r="G755" s="41" t="n">
        <v>46074.56170027778</v>
      </c>
      <c r="H755" s="41" t="n">
        <v>46075.31043640046</v>
      </c>
      <c r="I755" s="41" t="n">
        <v>46075.35447795139</v>
      </c>
      <c r="J755" s="41" t="n">
        <v>46080.1643504051</v>
      </c>
      <c r="K755" s="27" t="inlineStr">
        <is>
          <t>Collected</t>
        </is>
      </c>
      <c r="L755" s="27" t="inlineStr">
        <is>
          <t>Return-to-Retailer</t>
        </is>
      </c>
      <c r="M755" s="27" t="inlineStr">
        <is>
          <t>Gauteng</t>
        </is>
      </c>
      <c r="N755" s="27" t="n">
        <v>307.85</v>
      </c>
      <c r="O755" s="27" t="n">
        <v>0.48</v>
      </c>
      <c r="P755" s="27" t="n">
        <v>44.86</v>
      </c>
      <c r="Q755" s="42">
        <f>IF(H755="","",(H755-F755)*24)</f>
        <v/>
      </c>
      <c r="R755" s="42">
        <f>IF(J755="","",(J755-H755)*24)</f>
        <v/>
      </c>
    </row>
    <row r="756" ht="15" customHeight="1" s="24">
      <c r="A756" s="27" t="n">
        <v>1013534</v>
      </c>
      <c r="B756" s="27" t="inlineStr">
        <is>
          <t>PGO11013534</t>
        </is>
      </c>
      <c r="C756" s="27" t="n">
        <v>17</v>
      </c>
      <c r="D756" s="27" t="n">
        <v>2214</v>
      </c>
      <c r="E756" s="27" t="n">
        <v>11</v>
      </c>
      <c r="F756" s="41" t="n">
        <v>46075.54467319445</v>
      </c>
      <c r="G756" s="41" t="n">
        <v>46075.68106180555</v>
      </c>
      <c r="H756" s="41" t="n">
        <v>46076.22930513889</v>
      </c>
      <c r="I756" s="41" t="n">
        <v>46076.23769623842</v>
      </c>
      <c r="J756" s="41" t="n">
        <v>46076.63076982639</v>
      </c>
      <c r="K756" s="27" t="inlineStr">
        <is>
          <t>Collected</t>
        </is>
      </c>
      <c r="L756" s="27" t="inlineStr">
        <is>
          <t>Express</t>
        </is>
      </c>
      <c r="M756" s="27" t="inlineStr">
        <is>
          <t>KwaZulu-Natal</t>
        </is>
      </c>
      <c r="N756" s="27" t="n">
        <v>271.11</v>
      </c>
      <c r="O756" s="27" t="n">
        <v>0.79</v>
      </c>
      <c r="P756" s="27" t="n">
        <v>54.93</v>
      </c>
      <c r="Q756" s="42">
        <f>IF(H756="","",(H756-F756)*24)</f>
        <v/>
      </c>
      <c r="R756" s="42">
        <f>IF(J756="","",(J756-H756)*24)</f>
        <v/>
      </c>
    </row>
    <row r="757" ht="15" customHeight="1" s="24">
      <c r="A757" s="27" t="n">
        <v>1009738</v>
      </c>
      <c r="B757" s="27" t="inlineStr">
        <is>
          <t>PGO11009738</t>
        </is>
      </c>
      <c r="C757" s="27" t="n">
        <v>23</v>
      </c>
      <c r="D757" s="27" t="n">
        <v>414</v>
      </c>
      <c r="E757" s="27" t="n">
        <v>340</v>
      </c>
      <c r="F757" s="41" t="n">
        <v>46076.59531321759</v>
      </c>
      <c r="G757" s="41" t="n">
        <v>46076.83833938657</v>
      </c>
      <c r="H757" s="41" t="n">
        <v>46077.99413792824</v>
      </c>
      <c r="I757" s="41" t="n">
        <v>46078.05085128472</v>
      </c>
      <c r="J757" s="41" t="n">
        <v>46079.38003096064</v>
      </c>
      <c r="K757" s="27" t="inlineStr">
        <is>
          <t>Collected</t>
        </is>
      </c>
      <c r="L757" s="27" t="inlineStr">
        <is>
          <t>Standard</t>
        </is>
      </c>
      <c r="M757" s="27" t="inlineStr">
        <is>
          <t>Western Cape</t>
        </is>
      </c>
      <c r="N757" s="27" t="n">
        <v>580.6799999999999</v>
      </c>
      <c r="O757" s="27" t="n">
        <v>0.31</v>
      </c>
      <c r="P757" s="27" t="n">
        <v>50.75</v>
      </c>
      <c r="Q757" s="42">
        <f>IF(H757="","",(H757-F757)*24)</f>
        <v/>
      </c>
      <c r="R757" s="42">
        <f>IF(J757="","",(J757-H757)*24)</f>
        <v/>
      </c>
    </row>
    <row r="758" ht="15" customHeight="1" s="24">
      <c r="A758" s="27" t="n">
        <v>1032371</v>
      </c>
      <c r="B758" s="27" t="inlineStr">
        <is>
          <t>PGO11032371</t>
        </is>
      </c>
      <c r="C758" s="27" t="n">
        <v>5</v>
      </c>
      <c r="D758" s="27" t="n">
        <v>1046</v>
      </c>
      <c r="E758" s="27" t="n">
        <v>57</v>
      </c>
      <c r="F758" s="41" t="n">
        <v>46077.13974853009</v>
      </c>
      <c r="G758" s="41" t="n">
        <v>46077.23583646991</v>
      </c>
      <c r="H758" s="41" t="n">
        <v>46077.89041300926</v>
      </c>
      <c r="I758" s="41" t="n">
        <v>46077.89552618055</v>
      </c>
      <c r="J758" s="41" t="n">
        <v>46078.1387328588</v>
      </c>
      <c r="K758" s="27" t="inlineStr">
        <is>
          <t>Collected</t>
        </is>
      </c>
      <c r="L758" s="27" t="inlineStr">
        <is>
          <t>Standard</t>
        </is>
      </c>
      <c r="M758" s="27" t="inlineStr">
        <is>
          <t>KwaZulu-Natal</t>
        </is>
      </c>
      <c r="N758" s="27" t="n">
        <v>863.29</v>
      </c>
      <c r="O758" s="27" t="n">
        <v>0.32</v>
      </c>
      <c r="P758" s="27" t="n">
        <v>56.12</v>
      </c>
      <c r="Q758" s="42">
        <f>IF(H758="","",(H758-F758)*24)</f>
        <v/>
      </c>
      <c r="R758" s="42">
        <f>IF(J758="","",(J758-H758)*24)</f>
        <v/>
      </c>
    </row>
    <row r="759" ht="15" customHeight="1" s="24">
      <c r="A759" s="27" t="n">
        <v>1024818</v>
      </c>
      <c r="B759" s="27" t="inlineStr">
        <is>
          <t>PGO11024818</t>
        </is>
      </c>
      <c r="C759" s="27" t="n">
        <v>18</v>
      </c>
      <c r="D759" s="27" t="n">
        <v>2045</v>
      </c>
      <c r="E759" s="27" t="n">
        <v>395</v>
      </c>
      <c r="F759" s="41" t="n">
        <v>46078.16352396991</v>
      </c>
      <c r="G759" s="41" t="n">
        <v>46078.37638523148</v>
      </c>
      <c r="H759" s="41" t="n">
        <v>46079.17164061343</v>
      </c>
      <c r="I759" s="41" t="n">
        <v>46079.2090521412</v>
      </c>
      <c r="J759" s="41" t="n">
        <v>46079.53657782407</v>
      </c>
      <c r="K759" s="27" t="inlineStr">
        <is>
          <t>Collected</t>
        </is>
      </c>
      <c r="L759" s="27" t="inlineStr">
        <is>
          <t>Standard</t>
        </is>
      </c>
      <c r="M759" s="27" t="inlineStr">
        <is>
          <t>Gauteng</t>
        </is>
      </c>
      <c r="N759" s="27" t="n">
        <v>517.12</v>
      </c>
      <c r="O759" s="27" t="n">
        <v>0.28</v>
      </c>
      <c r="P759" s="27" t="n">
        <v>43.8</v>
      </c>
      <c r="Q759" s="42">
        <f>IF(H759="","",(H759-F759)*24)</f>
        <v/>
      </c>
      <c r="R759" s="42">
        <f>IF(J759="","",(J759-H759)*24)</f>
        <v/>
      </c>
    </row>
    <row r="760" ht="15" customHeight="1" s="24">
      <c r="A760" s="27" t="n">
        <v>1025253</v>
      </c>
      <c r="B760" s="27" t="inlineStr">
        <is>
          <t>PGO11025253</t>
        </is>
      </c>
      <c r="C760" s="27" t="n">
        <v>143</v>
      </c>
      <c r="D760" s="27" t="n">
        <v>2894</v>
      </c>
      <c r="E760" s="27" t="n">
        <v>225</v>
      </c>
      <c r="F760" s="41" t="n">
        <v>46079.45903584491</v>
      </c>
      <c r="G760" s="41" t="n">
        <v>46080.09292996528</v>
      </c>
      <c r="H760" s="41" t="n">
        <v>46080.85241325232</v>
      </c>
      <c r="I760" s="41" t="n">
        <v>46080.90393585648</v>
      </c>
      <c r="J760" s="41" t="n">
        <v>46081.08385733797</v>
      </c>
      <c r="K760" s="27" t="inlineStr">
        <is>
          <t>Collected</t>
        </is>
      </c>
      <c r="L760" s="27" t="inlineStr">
        <is>
          <t>Standard</t>
        </is>
      </c>
      <c r="M760" s="27" t="inlineStr">
        <is>
          <t>North West</t>
        </is>
      </c>
      <c r="N760" s="27" t="n">
        <v>403.94</v>
      </c>
      <c r="O760" s="27" t="n">
        <v>2.41</v>
      </c>
      <c r="P760" s="27" t="n">
        <v>54.84</v>
      </c>
      <c r="Q760" s="42">
        <f>IF(H760="","",(H760-F760)*24)</f>
        <v/>
      </c>
      <c r="R760" s="42">
        <f>IF(J760="","",(J760-H760)*24)</f>
        <v/>
      </c>
    </row>
    <row r="761" ht="15" customHeight="1" s="24">
      <c r="A761" s="27" t="n">
        <v>1033936</v>
      </c>
      <c r="B761" s="27" t="inlineStr">
        <is>
          <t>PGO11033936</t>
        </is>
      </c>
      <c r="C761" s="27" t="n">
        <v>5</v>
      </c>
      <c r="D761" s="27" t="n">
        <v>3724</v>
      </c>
      <c r="E761" s="27" t="n">
        <v>51</v>
      </c>
      <c r="F761" s="41" t="n">
        <v>46079.93624560185</v>
      </c>
      <c r="G761" s="41" t="n">
        <v>46080.5014665625</v>
      </c>
      <c r="H761" s="41" t="n">
        <v>46081.63613293981</v>
      </c>
      <c r="I761" s="41" t="n">
        <v>46081.6711803125</v>
      </c>
      <c r="J761" s="41" t="n">
        <v>46084.81392837963</v>
      </c>
      <c r="K761" s="27" t="inlineStr">
        <is>
          <t>Collected</t>
        </is>
      </c>
      <c r="L761" s="27" t="inlineStr">
        <is>
          <t>Standard</t>
        </is>
      </c>
      <c r="M761" s="27" t="inlineStr">
        <is>
          <t>Gauteng</t>
        </is>
      </c>
      <c r="N761" s="27" t="n">
        <v>132.05</v>
      </c>
      <c r="O761" s="27" t="n">
        <v>3.22</v>
      </c>
      <c r="P761" s="27" t="n">
        <v>55.19</v>
      </c>
      <c r="Q761" s="42">
        <f>IF(H761="","",(H761-F761)*24)</f>
        <v/>
      </c>
      <c r="R761" s="42">
        <f>IF(J761="","",(J761-H761)*24)</f>
        <v/>
      </c>
    </row>
    <row r="762" ht="15" customHeight="1" s="24">
      <c r="A762" s="27" t="n">
        <v>1035005</v>
      </c>
      <c r="B762" s="27" t="inlineStr">
        <is>
          <t>PGO11035005</t>
        </is>
      </c>
      <c r="C762" s="27" t="n">
        <v>1</v>
      </c>
      <c r="D762" s="27" t="n">
        <v>3262</v>
      </c>
      <c r="E762" s="27" t="n">
        <v>265</v>
      </c>
      <c r="F762" s="41" t="n">
        <v>46080.82497663194</v>
      </c>
      <c r="G762" s="41" t="n">
        <v>46081.29221484953</v>
      </c>
      <c r="H762" s="41" t="n">
        <v>46081.85100570602</v>
      </c>
      <c r="I762" s="41" t="n">
        <v>46081.90596936343</v>
      </c>
      <c r="J762" s="41" t="n">
        <v>46082.39985939815</v>
      </c>
      <c r="K762" s="27" t="inlineStr">
        <is>
          <t>Collected</t>
        </is>
      </c>
      <c r="L762" s="27" t="inlineStr">
        <is>
          <t>Standard</t>
        </is>
      </c>
      <c r="M762" s="27" t="inlineStr">
        <is>
          <t>Western Cape</t>
        </is>
      </c>
      <c r="N762" s="27" t="n">
        <v>434.94</v>
      </c>
      <c r="O762" s="27" t="n">
        <v>1.95</v>
      </c>
      <c r="P762" s="27" t="n">
        <v>45.23</v>
      </c>
      <c r="Q762" s="42">
        <f>IF(H762="","",(H762-F762)*24)</f>
        <v/>
      </c>
      <c r="R762" s="42">
        <f>IF(J762="","",(J762-H762)*24)</f>
        <v/>
      </c>
    </row>
    <row r="763" ht="15" customHeight="1" s="24">
      <c r="A763" s="27" t="n">
        <v>1037828</v>
      </c>
      <c r="B763" s="27" t="inlineStr">
        <is>
          <t>PGO11037828</t>
        </is>
      </c>
      <c r="C763" s="27" t="n">
        <v>31</v>
      </c>
      <c r="D763" s="27" t="n">
        <v>3554</v>
      </c>
      <c r="E763" s="27" t="n">
        <v>52</v>
      </c>
      <c r="F763" s="41" t="n">
        <v>46081.33317767361</v>
      </c>
      <c r="G763" s="41" t="n">
        <v>46081.75038326389</v>
      </c>
      <c r="H763" s="41" t="n">
        <v>46082.54827395833</v>
      </c>
      <c r="I763" s="41" t="n">
        <v>46082.57639401621</v>
      </c>
      <c r="J763" s="41" t="n">
        <v>46083.79731474537</v>
      </c>
      <c r="K763" s="27" t="inlineStr">
        <is>
          <t>Collected</t>
        </is>
      </c>
      <c r="L763" s="27" t="inlineStr">
        <is>
          <t>Standard</t>
        </is>
      </c>
      <c r="M763" s="27" t="inlineStr">
        <is>
          <t>Gauteng</t>
        </is>
      </c>
      <c r="N763" s="27" t="n">
        <v>129.95</v>
      </c>
      <c r="O763" s="27" t="n">
        <v>0.45</v>
      </c>
      <c r="P763" s="27" t="n">
        <v>56.59</v>
      </c>
      <c r="Q763" s="42">
        <f>IF(H763="","",(H763-F763)*24)</f>
        <v/>
      </c>
      <c r="R763" s="42">
        <f>IF(J763="","",(J763-H763)*24)</f>
        <v/>
      </c>
    </row>
    <row r="764" ht="15" customHeight="1" s="24">
      <c r="A764" s="27" t="n">
        <v>1040051</v>
      </c>
      <c r="B764" s="27" t="inlineStr">
        <is>
          <t>PGO11040051</t>
        </is>
      </c>
      <c r="C764" s="27" t="n">
        <v>128</v>
      </c>
      <c r="D764" s="27" t="n">
        <v>3623</v>
      </c>
      <c r="E764" s="27" t="n">
        <v>45</v>
      </c>
      <c r="F764" s="41" t="n">
        <v>46082.54513945602</v>
      </c>
      <c r="G764" s="41" t="n">
        <v>46082.64099092592</v>
      </c>
      <c r="H764" s="41" t="n">
        <v>46083.15328936343</v>
      </c>
      <c r="I764" s="41" t="n">
        <v>46083.21361208333</v>
      </c>
      <c r="J764" s="41" t="n">
        <v>46084.38952923611</v>
      </c>
      <c r="K764" s="27" t="inlineStr">
        <is>
          <t>Collected</t>
        </is>
      </c>
      <c r="L764" s="27" t="inlineStr">
        <is>
          <t>Standard</t>
        </is>
      </c>
      <c r="M764" s="27" t="inlineStr">
        <is>
          <t>North West</t>
        </is>
      </c>
      <c r="N764" s="27" t="n">
        <v>821.13</v>
      </c>
      <c r="O764" s="27" t="n">
        <v>0.66</v>
      </c>
      <c r="P764" s="27" t="n">
        <v>64.59999999999999</v>
      </c>
      <c r="Q764" s="42">
        <f>IF(H764="","",(H764-F764)*24)</f>
        <v/>
      </c>
      <c r="R764" s="42">
        <f>IF(J764="","",(J764-H764)*24)</f>
        <v/>
      </c>
    </row>
    <row r="765" ht="15" customHeight="1" s="24">
      <c r="A765" s="27" t="n">
        <v>1044292</v>
      </c>
      <c r="B765" s="27" t="inlineStr">
        <is>
          <t>PGO11044292</t>
        </is>
      </c>
      <c r="C765" s="27" t="n">
        <v>7</v>
      </c>
      <c r="D765" s="27" t="n">
        <v>1047</v>
      </c>
      <c r="E765" s="27" t="n">
        <v>414</v>
      </c>
      <c r="F765" s="41" t="n">
        <v>46083.34764486111</v>
      </c>
      <c r="G765" s="41" t="n">
        <v>46083.82622678241</v>
      </c>
      <c r="H765" s="41" t="n">
        <v>46084.64959859954</v>
      </c>
      <c r="I765" s="41" t="n">
        <v>46084.69575288195</v>
      </c>
      <c r="J765" s="41" t="n">
        <v>46086.25993241898</v>
      </c>
      <c r="K765" s="27" t="inlineStr">
        <is>
          <t>Collected</t>
        </is>
      </c>
      <c r="L765" s="27" t="inlineStr">
        <is>
          <t>Standard</t>
        </is>
      </c>
      <c r="M765" s="27" t="inlineStr">
        <is>
          <t>Limpopo</t>
        </is>
      </c>
      <c r="N765" s="27" t="n">
        <v>162.15</v>
      </c>
      <c r="O765" s="27" t="n">
        <v>1.52</v>
      </c>
      <c r="P765" s="27" t="n">
        <v>49.82</v>
      </c>
      <c r="Q765" s="42">
        <f>IF(H765="","",(H765-F765)*24)</f>
        <v/>
      </c>
      <c r="R765" s="42">
        <f>IF(J765="","",(J765-H765)*24)</f>
        <v/>
      </c>
    </row>
    <row r="766" ht="15" customHeight="1" s="24">
      <c r="A766" s="27" t="n">
        <v>1048467</v>
      </c>
      <c r="B766" s="27" t="inlineStr">
        <is>
          <t>PGO11048467</t>
        </is>
      </c>
      <c r="C766" s="27" t="n">
        <v>1</v>
      </c>
      <c r="D766" s="27" t="n">
        <v>3695</v>
      </c>
      <c r="E766" s="27" t="n">
        <v>455</v>
      </c>
      <c r="F766" s="41" t="n">
        <v>46084.32697608796</v>
      </c>
      <c r="G766" s="41" t="n">
        <v>46084.77339841435</v>
      </c>
      <c r="H766" s="41" t="n">
        <v>46085.32666170139</v>
      </c>
      <c r="I766" s="41" t="n">
        <v>46085.33094930556</v>
      </c>
      <c r="J766" s="41" t="n">
        <v>46087.07113141203</v>
      </c>
      <c r="K766" s="27" t="inlineStr">
        <is>
          <t>Collected</t>
        </is>
      </c>
      <c r="L766" s="27" t="inlineStr">
        <is>
          <t>Standard</t>
        </is>
      </c>
      <c r="M766" s="27" t="inlineStr">
        <is>
          <t>Western Cape</t>
        </is>
      </c>
      <c r="N766" s="27" t="n">
        <v>2074.36</v>
      </c>
      <c r="O766" s="27" t="n">
        <v>1.15</v>
      </c>
      <c r="P766" s="27" t="n">
        <v>44.15</v>
      </c>
      <c r="Q766" s="42">
        <f>IF(H766="","",(H766-F766)*24)</f>
        <v/>
      </c>
      <c r="R766" s="42">
        <f>IF(J766="","",(J766-H766)*24)</f>
        <v/>
      </c>
    </row>
    <row r="767" ht="15" customHeight="1" s="24">
      <c r="A767" s="27" t="n">
        <v>1072891</v>
      </c>
      <c r="B767" s="27" t="inlineStr">
        <is>
          <t>PGO11072891</t>
        </is>
      </c>
      <c r="C767" s="27" t="n">
        <v>10</v>
      </c>
      <c r="D767" s="27" t="n">
        <v>3814</v>
      </c>
      <c r="E767" s="27" t="n">
        <v>80</v>
      </c>
      <c r="F767" s="41" t="n">
        <v>46085.80044471065</v>
      </c>
      <c r="G767" s="41" t="n">
        <v>46086.39866942129</v>
      </c>
      <c r="H767" s="41" t="n">
        <v>46087.15813902778</v>
      </c>
      <c r="I767" s="41" t="n">
        <v>46087.20883310185</v>
      </c>
      <c r="J767" s="41" t="n">
        <v>46087.89466597222</v>
      </c>
      <c r="K767" s="27" t="inlineStr">
        <is>
          <t>Collected</t>
        </is>
      </c>
      <c r="L767" s="27" t="inlineStr">
        <is>
          <t>Express</t>
        </is>
      </c>
      <c r="M767" s="27" t="inlineStr">
        <is>
          <t>Gauteng</t>
        </is>
      </c>
      <c r="N767" s="27" t="n">
        <v>290.4</v>
      </c>
      <c r="O767" s="27" t="n">
        <v>4.68</v>
      </c>
      <c r="P767" s="27" t="n">
        <v>64.15000000000001</v>
      </c>
      <c r="Q767" s="42">
        <f>IF(H767="","",(H767-F767)*24)</f>
        <v/>
      </c>
      <c r="R767" s="42">
        <f>IF(J767="","",(J767-H767)*24)</f>
        <v/>
      </c>
    </row>
    <row r="768" ht="15" customHeight="1" s="24">
      <c r="A768" s="27" t="n">
        <v>1071737</v>
      </c>
      <c r="B768" s="27" t="inlineStr">
        <is>
          <t>PGO11071737</t>
        </is>
      </c>
      <c r="C768" s="27" t="n">
        <v>51</v>
      </c>
      <c r="D768" s="27" t="n">
        <v>575</v>
      </c>
      <c r="E768" s="27" t="n">
        <v>109</v>
      </c>
      <c r="F768" s="41" t="n">
        <v>46086.90064850695</v>
      </c>
      <c r="G768" s="41" t="n">
        <v>46086.98414061343</v>
      </c>
      <c r="H768" s="41" t="n">
        <v>46087.58925304398</v>
      </c>
      <c r="I768" s="41" t="n">
        <v>46087.61717988426</v>
      </c>
      <c r="J768" s="41" t="n">
        <v>46090.37146790509</v>
      </c>
      <c r="K768" s="27" t="inlineStr">
        <is>
          <t>Collected</t>
        </is>
      </c>
      <c r="L768" s="27" t="inlineStr">
        <is>
          <t>Standard</t>
        </is>
      </c>
      <c r="M768" s="27" t="inlineStr">
        <is>
          <t>Gauteng</t>
        </is>
      </c>
      <c r="N768" s="27" t="n">
        <v>59.95</v>
      </c>
      <c r="O768" s="27" t="n">
        <v>1.43</v>
      </c>
      <c r="P768" s="27" t="n">
        <v>54.17</v>
      </c>
      <c r="Q768" s="42">
        <f>IF(H768="","",(H768-F768)*24)</f>
        <v/>
      </c>
      <c r="R768" s="42">
        <f>IF(J768="","",(J768-H768)*24)</f>
        <v/>
      </c>
    </row>
    <row r="769" ht="15" customHeight="1" s="24">
      <c r="A769" s="27" t="n">
        <v>1043633</v>
      </c>
      <c r="B769" s="27" t="inlineStr">
        <is>
          <t>PGO11043633</t>
        </is>
      </c>
      <c r="C769" s="27" t="n">
        <v>97</v>
      </c>
      <c r="D769" s="27" t="n">
        <v>835</v>
      </c>
      <c r="E769" s="27" t="n">
        <v>254</v>
      </c>
      <c r="F769" s="41" t="n">
        <v>46090.00998060186</v>
      </c>
      <c r="G769" s="41" t="n">
        <v>46090.20816021991</v>
      </c>
      <c r="H769" s="41" t="n">
        <v>46090.7537808912</v>
      </c>
      <c r="I769" s="41" t="n">
        <v>46090.78727212963</v>
      </c>
      <c r="J769" s="41" t="n">
        <v>46093.14516444445</v>
      </c>
      <c r="K769" s="27" t="inlineStr">
        <is>
          <t>Collected</t>
        </is>
      </c>
      <c r="L769" s="27" t="inlineStr">
        <is>
          <t>Standard</t>
        </is>
      </c>
      <c r="M769" s="27" t="inlineStr">
        <is>
          <t>KwaZulu-Natal</t>
        </is>
      </c>
      <c r="N769" s="27" t="n">
        <v>99.42</v>
      </c>
      <c r="O769" s="27" t="n">
        <v>1.19</v>
      </c>
      <c r="P769" s="27" t="n">
        <v>45.83</v>
      </c>
      <c r="Q769" s="42">
        <f>IF(H769="","",(H769-F769)*24)</f>
        <v/>
      </c>
      <c r="R769" s="42">
        <f>IF(J769="","",(J769-H769)*24)</f>
        <v/>
      </c>
    </row>
    <row r="770" ht="15" customHeight="1" s="24">
      <c r="A770" s="27" t="n">
        <v>1056025</v>
      </c>
      <c r="B770" s="27" t="inlineStr">
        <is>
          <t>PGO11056025</t>
        </is>
      </c>
      <c r="C770" s="27" t="n">
        <v>2</v>
      </c>
      <c r="D770" s="27" t="n">
        <v>3123</v>
      </c>
      <c r="E770" s="27" t="n">
        <v>347</v>
      </c>
      <c r="F770" s="41" t="n">
        <v>46090.16968165509</v>
      </c>
      <c r="G770" s="41" t="n">
        <v>46090.26975523148</v>
      </c>
      <c r="H770" s="41" t="n">
        <v>46090.5907793287</v>
      </c>
      <c r="I770" s="41" t="n">
        <v>46090.59513864583</v>
      </c>
      <c r="J770" s="41" t="n">
        <v>46091.62376153935</v>
      </c>
      <c r="K770" s="27" t="inlineStr">
        <is>
          <t>Collected</t>
        </is>
      </c>
      <c r="L770" s="27" t="inlineStr">
        <is>
          <t>Standard</t>
        </is>
      </c>
      <c r="M770" s="27" t="inlineStr">
        <is>
          <t>Free State</t>
        </is>
      </c>
      <c r="N770" s="27" t="n">
        <v>239.94</v>
      </c>
      <c r="O770" s="27" t="n">
        <v>2</v>
      </c>
      <c r="P770" s="27" t="n">
        <v>48.37</v>
      </c>
      <c r="Q770" s="42">
        <f>IF(H770="","",(H770-F770)*24)</f>
        <v/>
      </c>
      <c r="R770" s="42">
        <f>IF(J770="","",(J770-H770)*24)</f>
        <v/>
      </c>
    </row>
    <row r="771" ht="15" customHeight="1" s="24">
      <c r="A771" s="27" t="n">
        <v>1078901</v>
      </c>
      <c r="B771" s="27" t="inlineStr">
        <is>
          <t>PGO11078901</t>
        </is>
      </c>
      <c r="C771" s="27" t="n">
        <v>6</v>
      </c>
      <c r="D771" s="27" t="n">
        <v>3376</v>
      </c>
      <c r="E771" s="27" t="n">
        <v>164</v>
      </c>
      <c r="F771" s="41" t="n">
        <v>46090.66299152778</v>
      </c>
      <c r="G771" s="41" t="n">
        <v>46090.97022699074</v>
      </c>
      <c r="H771" s="41" t="n">
        <v>46091.83052178241</v>
      </c>
      <c r="I771" s="41" t="n">
        <v>46091.86690847222</v>
      </c>
      <c r="J771" s="41" t="n">
        <v>46096.07773122685</v>
      </c>
      <c r="K771" s="27" t="inlineStr">
        <is>
          <t>Collected</t>
        </is>
      </c>
      <c r="L771" s="27" t="inlineStr">
        <is>
          <t>Standard</t>
        </is>
      </c>
      <c r="M771" s="27" t="inlineStr">
        <is>
          <t>Mpumalanga</t>
        </is>
      </c>
      <c r="N771" s="27" t="n">
        <v>337.69</v>
      </c>
      <c r="O771" s="27" t="n">
        <v>2.2</v>
      </c>
      <c r="P771" s="27" t="n">
        <v>41.36</v>
      </c>
      <c r="Q771" s="42">
        <f>IF(H771="","",(H771-F771)*24)</f>
        <v/>
      </c>
      <c r="R771" s="42">
        <f>IF(J771="","",(J771-H771)*24)</f>
        <v/>
      </c>
    </row>
    <row r="772" ht="15" customHeight="1" s="24">
      <c r="A772" s="27" t="n">
        <v>1059024</v>
      </c>
      <c r="B772" s="27" t="inlineStr">
        <is>
          <t>PGO11059024</t>
        </is>
      </c>
      <c r="C772" s="27" t="n">
        <v>2</v>
      </c>
      <c r="D772" s="27" t="n">
        <v>710</v>
      </c>
      <c r="E772" s="27" t="n">
        <v>470</v>
      </c>
      <c r="F772" s="41" t="n">
        <v>46091.21922039352</v>
      </c>
      <c r="G772" s="41" t="n">
        <v>46091.42067083334</v>
      </c>
      <c r="H772" s="41" t="n">
        <v>46093.21235613426</v>
      </c>
      <c r="I772" s="41" t="n">
        <v>46093.23372263889</v>
      </c>
      <c r="J772" s="41" t="n">
        <v>46094.50363305555</v>
      </c>
      <c r="K772" s="27" t="inlineStr">
        <is>
          <t>Collected</t>
        </is>
      </c>
      <c r="L772" s="27" t="inlineStr">
        <is>
          <t>Express</t>
        </is>
      </c>
      <c r="M772" s="27" t="inlineStr">
        <is>
          <t>Mpumalanga</t>
        </is>
      </c>
      <c r="N772" s="27" t="n">
        <v>471.86</v>
      </c>
      <c r="O772" s="27" t="n">
        <v>0.72</v>
      </c>
      <c r="P772" s="27" t="n">
        <v>49.63</v>
      </c>
      <c r="Q772" s="42">
        <f>IF(H772="","",(H772-F772)*24)</f>
        <v/>
      </c>
      <c r="R772" s="42">
        <f>IF(J772="","",(J772-H772)*24)</f>
        <v/>
      </c>
    </row>
    <row r="773" ht="15" customHeight="1" s="24">
      <c r="A773" s="27" t="n">
        <v>1045926</v>
      </c>
      <c r="B773" s="27" t="inlineStr">
        <is>
          <t>PGO11045926</t>
        </is>
      </c>
      <c r="C773" s="27" t="n">
        <v>15</v>
      </c>
      <c r="D773" s="27" t="n">
        <v>409</v>
      </c>
      <c r="E773" s="27" t="n">
        <v>66</v>
      </c>
      <c r="F773" s="41" t="n">
        <v>46094.82621395833</v>
      </c>
      <c r="G773" s="41" t="n">
        <v>46095.29705480324</v>
      </c>
      <c r="H773" s="41" t="n">
        <v>46096.33367858797</v>
      </c>
      <c r="I773" s="41" t="n">
        <v>46096.36615833333</v>
      </c>
      <c r="J773" s="41" t="n">
        <v>46098.16943006944</v>
      </c>
      <c r="K773" s="27" t="inlineStr">
        <is>
          <t>Collected</t>
        </is>
      </c>
      <c r="L773" s="27" t="inlineStr">
        <is>
          <t>Standard</t>
        </is>
      </c>
      <c r="M773" s="27" t="inlineStr">
        <is>
          <t>KwaZulu-Natal</t>
        </is>
      </c>
      <c r="N773" s="27" t="n">
        <v>510.82</v>
      </c>
      <c r="O773" s="27" t="n">
        <v>0.97</v>
      </c>
      <c r="P773" s="27" t="n">
        <v>67.8</v>
      </c>
      <c r="Q773" s="42">
        <f>IF(H773="","",(H773-F773)*24)</f>
        <v/>
      </c>
      <c r="R773" s="42">
        <f>IF(J773="","",(J773-H773)*24)</f>
        <v/>
      </c>
    </row>
    <row r="774" ht="15" customHeight="1" s="24">
      <c r="A774" s="27" t="n">
        <v>1043364</v>
      </c>
      <c r="B774" s="27" t="inlineStr">
        <is>
          <t>PGO11043364</t>
        </is>
      </c>
      <c r="C774" s="27" t="n">
        <v>34</v>
      </c>
      <c r="D774" s="27" t="n">
        <v>1141</v>
      </c>
      <c r="E774" s="27" t="n">
        <v>461</v>
      </c>
      <c r="F774" s="41" t="n">
        <v>46095.49666325231</v>
      </c>
      <c r="G774" s="41" t="n">
        <v>46095.54911854167</v>
      </c>
      <c r="H774" s="41" t="n">
        <v>46096.19168778935</v>
      </c>
      <c r="I774" s="41" t="n">
        <v>46096.19654737269</v>
      </c>
      <c r="J774" s="41" t="n">
        <v>46097.96755667824</v>
      </c>
      <c r="K774" s="27" t="inlineStr">
        <is>
          <t>Collected</t>
        </is>
      </c>
      <c r="L774" s="27" t="inlineStr">
        <is>
          <t>Standard</t>
        </is>
      </c>
      <c r="M774" s="27" t="inlineStr">
        <is>
          <t>Eastern Cape</t>
        </is>
      </c>
      <c r="N774" s="27" t="n">
        <v>326.1</v>
      </c>
      <c r="O774" s="27" t="n">
        <v>1.34</v>
      </c>
      <c r="P774" s="27" t="n">
        <v>53.75</v>
      </c>
      <c r="Q774" s="42">
        <f>IF(H774="","",(H774-F774)*24)</f>
        <v/>
      </c>
      <c r="R774" s="42">
        <f>IF(J774="","",(J774-H774)*24)</f>
        <v/>
      </c>
    </row>
    <row r="775" ht="15" customHeight="1" s="24">
      <c r="A775" s="27" t="n">
        <v>1055642</v>
      </c>
      <c r="B775" s="27" t="inlineStr">
        <is>
          <t>PGO11055642</t>
        </is>
      </c>
      <c r="C775" s="27" t="n">
        <v>5</v>
      </c>
      <c r="D775" s="27" t="n">
        <v>3840</v>
      </c>
      <c r="E775" s="27" t="n">
        <v>427</v>
      </c>
      <c r="F775" s="41" t="n">
        <v>46096.09960017361</v>
      </c>
      <c r="G775" s="41" t="n">
        <v>46096.2610915625</v>
      </c>
      <c r="H775" s="41" t="n">
        <v>46096.91358064815</v>
      </c>
      <c r="I775" s="41" t="n">
        <v>46096.95277377315</v>
      </c>
      <c r="J775" s="41" t="n">
        <v>46100.26354857639</v>
      </c>
      <c r="K775" s="27" t="inlineStr">
        <is>
          <t>Collected</t>
        </is>
      </c>
      <c r="L775" s="27" t="inlineStr">
        <is>
          <t>Standard</t>
        </is>
      </c>
      <c r="M775" s="27" t="inlineStr">
        <is>
          <t>Western Cape</t>
        </is>
      </c>
      <c r="N775" s="27" t="n">
        <v>334.75</v>
      </c>
      <c r="O775" s="27" t="n">
        <v>3.46</v>
      </c>
      <c r="P775" s="27" t="n">
        <v>58.58</v>
      </c>
      <c r="Q775" s="42">
        <f>IF(H775="","",(H775-F775)*24)</f>
        <v/>
      </c>
      <c r="R775" s="42">
        <f>IF(J775="","",(J775-H775)*24)</f>
        <v/>
      </c>
    </row>
    <row r="776" ht="15" customHeight="1" s="24">
      <c r="A776" s="27" t="n">
        <v>1066818</v>
      </c>
      <c r="B776" s="27" t="inlineStr">
        <is>
          <t>PGO11066818</t>
        </is>
      </c>
      <c r="C776" s="27" t="n">
        <v>115</v>
      </c>
      <c r="D776" s="27" t="n">
        <v>3147</v>
      </c>
      <c r="E776" s="27" t="n">
        <v>241</v>
      </c>
      <c r="F776" s="41" t="n">
        <v>46096.30900261574</v>
      </c>
      <c r="G776" s="41" t="n">
        <v>46096.37906564815</v>
      </c>
      <c r="H776" s="41" t="n">
        <v>46097.24347883102</v>
      </c>
      <c r="I776" s="41" t="n">
        <v>46097.268096875</v>
      </c>
      <c r="J776" s="41" t="n">
        <v>46098.63024263889</v>
      </c>
      <c r="K776" s="27" t="inlineStr">
        <is>
          <t>Collected</t>
        </is>
      </c>
      <c r="L776" s="27" t="inlineStr">
        <is>
          <t>Standard</t>
        </is>
      </c>
      <c r="M776" s="27" t="inlineStr">
        <is>
          <t>Western Cape</t>
        </is>
      </c>
      <c r="N776" s="27" t="n">
        <v>939.4400000000001</v>
      </c>
      <c r="O776" s="27" t="n">
        <v>0.97</v>
      </c>
      <c r="P776" s="27" t="n">
        <v>60.7</v>
      </c>
      <c r="Q776" s="42">
        <f>IF(H776="","",(H776-F776)*24)</f>
        <v/>
      </c>
      <c r="R776" s="42">
        <f>IF(J776="","",(J776-H776)*24)</f>
        <v/>
      </c>
    </row>
    <row r="777" ht="15" customHeight="1" s="24">
      <c r="A777" s="27" t="n">
        <v>1042596</v>
      </c>
      <c r="B777" s="27" t="inlineStr">
        <is>
          <t>PGO11042596</t>
        </is>
      </c>
      <c r="C777" s="27" t="n">
        <v>21</v>
      </c>
      <c r="D777" s="27" t="n">
        <v>2630</v>
      </c>
      <c r="E777" s="27" t="n">
        <v>214</v>
      </c>
      <c r="F777" s="41" t="n">
        <v>46097.83673855324</v>
      </c>
      <c r="G777" s="41" t="n">
        <v>46097.86847152778</v>
      </c>
      <c r="H777" s="41" t="n">
        <v>46098.50504480324</v>
      </c>
      <c r="I777" s="41" t="n">
        <v>46098.52831456019</v>
      </c>
      <c r="J777" s="41" t="n">
        <v>46098.95452340278</v>
      </c>
      <c r="K777" s="27" t="inlineStr">
        <is>
          <t>Collected</t>
        </is>
      </c>
      <c r="L777" s="27" t="inlineStr">
        <is>
          <t>Standard</t>
        </is>
      </c>
      <c r="M777" s="27" t="inlineStr">
        <is>
          <t>Western Cape</t>
        </is>
      </c>
      <c r="N777" s="27" t="n">
        <v>501.27</v>
      </c>
      <c r="O777" s="27" t="n">
        <v>5.45</v>
      </c>
      <c r="P777" s="27" t="n">
        <v>90.28</v>
      </c>
      <c r="Q777" s="42">
        <f>IF(H777="","",(H777-F777)*24)</f>
        <v/>
      </c>
      <c r="R777" s="42">
        <f>IF(J777="","",(J777-H777)*24)</f>
        <v/>
      </c>
    </row>
    <row r="778" ht="15" customHeight="1" s="24">
      <c r="A778" s="27" t="n">
        <v>1077309</v>
      </c>
      <c r="B778" s="27" t="inlineStr">
        <is>
          <t>PGO11077309</t>
        </is>
      </c>
      <c r="C778" s="27" t="n">
        <v>52</v>
      </c>
      <c r="D778" s="27" t="n">
        <v>2079</v>
      </c>
      <c r="E778" s="27" t="n">
        <v>244</v>
      </c>
      <c r="F778" s="41" t="n">
        <v>46098.60617734954</v>
      </c>
      <c r="G778" s="41" t="n">
        <v>46098.81158403935</v>
      </c>
      <c r="H778" s="41" t="n">
        <v>46099.3256281713</v>
      </c>
      <c r="I778" s="41" t="n">
        <v>46099.3753264699</v>
      </c>
      <c r="J778" s="41" t="n">
        <v>46099.87201664352</v>
      </c>
      <c r="K778" s="27" t="inlineStr">
        <is>
          <t>Collected</t>
        </is>
      </c>
      <c r="L778" s="27" t="inlineStr">
        <is>
          <t>Standard</t>
        </is>
      </c>
      <c r="M778" s="27" t="inlineStr">
        <is>
          <t>Gauteng</t>
        </is>
      </c>
      <c r="N778" s="27" t="n">
        <v>42.86</v>
      </c>
      <c r="O778" s="27" t="n">
        <v>5.7</v>
      </c>
      <c r="P778" s="27" t="n">
        <v>66.40000000000001</v>
      </c>
      <c r="Q778" s="42">
        <f>IF(H778="","",(H778-F778)*24)</f>
        <v/>
      </c>
      <c r="R778" s="42">
        <f>IF(J778="","",(J778-H778)*24)</f>
        <v/>
      </c>
    </row>
    <row r="779" ht="15" customHeight="1" s="24">
      <c r="A779" s="27" t="n">
        <v>1055882</v>
      </c>
      <c r="B779" s="27" t="inlineStr">
        <is>
          <t>PGO11055882</t>
        </is>
      </c>
      <c r="C779" s="27" t="n">
        <v>18</v>
      </c>
      <c r="D779" s="27" t="n">
        <v>497</v>
      </c>
      <c r="E779" s="27" t="n">
        <v>468</v>
      </c>
      <c r="F779" s="41" t="n">
        <v>46098.82103025463</v>
      </c>
      <c r="G779" s="41" t="n">
        <v>46099.08240767361</v>
      </c>
      <c r="H779" s="41" t="n">
        <v>46099.8629225</v>
      </c>
      <c r="I779" s="41" t="n">
        <v>46099.92202537037</v>
      </c>
      <c r="J779" s="41" t="n">
        <v>46100.75812195602</v>
      </c>
      <c r="K779" s="27" t="inlineStr">
        <is>
          <t>Collected</t>
        </is>
      </c>
      <c r="L779" s="27" t="inlineStr">
        <is>
          <t>Standard</t>
        </is>
      </c>
      <c r="M779" s="27" t="inlineStr">
        <is>
          <t>Gauteng</t>
        </is>
      </c>
      <c r="N779" s="27" t="n">
        <v>987.9400000000001</v>
      </c>
      <c r="O779" s="27" t="n">
        <v>1.58</v>
      </c>
      <c r="P779" s="27" t="n">
        <v>44.56</v>
      </c>
      <c r="Q779" s="42">
        <f>IF(H779="","",(H779-F779)*24)</f>
        <v/>
      </c>
      <c r="R779" s="42">
        <f>IF(J779="","",(J779-H779)*24)</f>
        <v/>
      </c>
    </row>
    <row r="780" ht="15" customHeight="1" s="24">
      <c r="A780" s="27" t="n">
        <v>1074736</v>
      </c>
      <c r="B780" s="27" t="inlineStr">
        <is>
          <t>PGO11074736</t>
        </is>
      </c>
      <c r="C780" s="27" t="n">
        <v>7</v>
      </c>
      <c r="D780" s="27" t="n">
        <v>3695</v>
      </c>
      <c r="E780" s="27" t="n">
        <v>155</v>
      </c>
      <c r="F780" s="41" t="n">
        <v>46098.95141665509</v>
      </c>
      <c r="G780" s="41" t="n">
        <v>46099.07168796296</v>
      </c>
      <c r="H780" s="41" t="n">
        <v>46100.49947598379</v>
      </c>
      <c r="I780" s="41" t="n">
        <v>46100.51245244213</v>
      </c>
      <c r="J780" s="41" t="n">
        <v>46100.99850380787</v>
      </c>
      <c r="K780" s="27" t="inlineStr">
        <is>
          <t>Collected</t>
        </is>
      </c>
      <c r="L780" s="27" t="inlineStr">
        <is>
          <t>Standard</t>
        </is>
      </c>
      <c r="M780" s="27" t="inlineStr">
        <is>
          <t>Western Cape</t>
        </is>
      </c>
      <c r="N780" s="27" t="n">
        <v>295.44</v>
      </c>
      <c r="O780" s="27" t="n">
        <v>0.65</v>
      </c>
      <c r="P780" s="27" t="n">
        <v>51.14</v>
      </c>
      <c r="Q780" s="42">
        <f>IF(H780="","",(H780-F780)*24)</f>
        <v/>
      </c>
      <c r="R780" s="42">
        <f>IF(J780="","",(J780-H780)*24)</f>
        <v/>
      </c>
    </row>
    <row r="781" ht="15" customHeight="1" s="24">
      <c r="A781" s="27" t="n">
        <v>1048667</v>
      </c>
      <c r="B781" s="27" t="inlineStr">
        <is>
          <t>PGO11048667</t>
        </is>
      </c>
      <c r="C781" s="27" t="n">
        <v>1</v>
      </c>
      <c r="D781" s="27" t="n">
        <v>2154</v>
      </c>
      <c r="E781" s="27" t="n">
        <v>101</v>
      </c>
      <c r="F781" s="41" t="n">
        <v>46100.62919375</v>
      </c>
      <c r="G781" s="41" t="n">
        <v>46100.88741097222</v>
      </c>
      <c r="H781" s="41" t="n">
        <v>46101.9849428588</v>
      </c>
      <c r="I781" s="41" t="n">
        <v>46102.02622591435</v>
      </c>
      <c r="J781" s="41" t="n">
        <v>46102.90047113426</v>
      </c>
      <c r="K781" s="27" t="inlineStr">
        <is>
          <t>Collected</t>
        </is>
      </c>
      <c r="L781" s="27" t="inlineStr">
        <is>
          <t>Standard</t>
        </is>
      </c>
      <c r="M781" s="27" t="inlineStr">
        <is>
          <t>Eastern Cape</t>
        </is>
      </c>
      <c r="N781" s="27" t="n">
        <v>305.14</v>
      </c>
      <c r="O781" s="27" t="n">
        <v>2.29</v>
      </c>
      <c r="P781" s="27" t="n">
        <v>44.6</v>
      </c>
      <c r="Q781" s="42">
        <f>IF(H781="","",(H781-F781)*24)</f>
        <v/>
      </c>
      <c r="R781" s="42">
        <f>IF(J781="","",(J781-H781)*24)</f>
        <v/>
      </c>
    </row>
    <row r="782" ht="15" customHeight="1" s="24">
      <c r="A782" s="27" t="n">
        <v>1076908</v>
      </c>
      <c r="B782" s="27" t="inlineStr">
        <is>
          <t>PGO11076908</t>
        </is>
      </c>
      <c r="C782" s="27" t="n">
        <v>2</v>
      </c>
      <c r="D782" s="27" t="n">
        <v>1653</v>
      </c>
      <c r="E782" s="27" t="n">
        <v>375</v>
      </c>
      <c r="F782" s="41" t="n">
        <v>46104.03902327547</v>
      </c>
      <c r="G782" s="41" t="n">
        <v>46104.10199060185</v>
      </c>
      <c r="H782" s="41" t="n">
        <v>46104.78991936343</v>
      </c>
      <c r="I782" s="41" t="n">
        <v>46104.82784181713</v>
      </c>
      <c r="J782" s="41" t="n">
        <v>46105.8097590625</v>
      </c>
      <c r="K782" s="27" t="inlineStr">
        <is>
          <t>Collected</t>
        </is>
      </c>
      <c r="L782" s="27" t="inlineStr">
        <is>
          <t>Standard</t>
        </is>
      </c>
      <c r="M782" s="27" t="inlineStr">
        <is>
          <t>Gauteng</t>
        </is>
      </c>
      <c r="N782" s="27" t="n">
        <v>962.79</v>
      </c>
      <c r="O782" s="27" t="n">
        <v>0.39</v>
      </c>
      <c r="P782" s="27" t="n">
        <v>50.46</v>
      </c>
      <c r="Q782" s="42">
        <f>IF(H782="","",(H782-F782)*24)</f>
        <v/>
      </c>
      <c r="R782" s="42">
        <f>IF(J782="","",(J782-H782)*24)</f>
        <v/>
      </c>
    </row>
    <row r="783" ht="15" customHeight="1" s="24">
      <c r="A783" s="27" t="n">
        <v>1058758</v>
      </c>
      <c r="B783" s="27" t="inlineStr">
        <is>
          <t>PGO11058758</t>
        </is>
      </c>
      <c r="C783" s="27" t="n">
        <v>1</v>
      </c>
      <c r="D783" s="27" t="n">
        <v>3105</v>
      </c>
      <c r="E783" s="27" t="n">
        <v>335</v>
      </c>
      <c r="F783" s="41" t="n">
        <v>46104.23268761574</v>
      </c>
      <c r="G783" s="41" t="n">
        <v>46104.29738929398</v>
      </c>
      <c r="H783" s="41" t="n">
        <v>46105.46777049769</v>
      </c>
      <c r="I783" s="41" t="n">
        <v>46105.47923688657</v>
      </c>
      <c r="J783" s="41" t="n">
        <v>46106.16630869213</v>
      </c>
      <c r="K783" s="27" t="inlineStr">
        <is>
          <t>Collected</t>
        </is>
      </c>
      <c r="L783" s="27" t="inlineStr">
        <is>
          <t>Standard</t>
        </is>
      </c>
      <c r="M783" s="27" t="inlineStr">
        <is>
          <t>Eastern Cape</t>
        </is>
      </c>
      <c r="N783" s="27" t="n">
        <v>404.79</v>
      </c>
      <c r="O783" s="27" t="n">
        <v>1.18</v>
      </c>
      <c r="P783" s="27" t="n">
        <v>46.09</v>
      </c>
      <c r="Q783" s="42">
        <f>IF(H783="","",(H783-F783)*24)</f>
        <v/>
      </c>
      <c r="R783" s="42">
        <f>IF(J783="","",(J783-H783)*24)</f>
        <v/>
      </c>
    </row>
    <row r="784" ht="15" customHeight="1" s="24">
      <c r="A784" s="27" t="n">
        <v>1046395</v>
      </c>
      <c r="B784" s="27" t="inlineStr">
        <is>
          <t>PGO11046395</t>
        </is>
      </c>
      <c r="C784" s="27" t="n">
        <v>126</v>
      </c>
      <c r="D784" s="27" t="n">
        <v>3611</v>
      </c>
      <c r="E784" s="27" t="n">
        <v>314</v>
      </c>
      <c r="F784" s="41" t="n">
        <v>46105.61306306713</v>
      </c>
      <c r="G784" s="41" t="n">
        <v>46106.034909375</v>
      </c>
      <c r="H784" s="41" t="n">
        <v>46106.55956898148</v>
      </c>
      <c r="I784" s="41" t="n">
        <v>46106.62200731481</v>
      </c>
      <c r="J784" s="41" t="n">
        <v>46106.76861175926</v>
      </c>
      <c r="K784" s="27" t="inlineStr">
        <is>
          <t>Collected</t>
        </is>
      </c>
      <c r="L784" s="27" t="inlineStr">
        <is>
          <t>Standard</t>
        </is>
      </c>
      <c r="M784" s="27" t="inlineStr">
        <is>
          <t>Gauteng</t>
        </is>
      </c>
      <c r="N784" s="27" t="n">
        <v>251.19</v>
      </c>
      <c r="O784" s="27" t="n">
        <v>1.63</v>
      </c>
      <c r="P784" s="27" t="n">
        <v>65.92</v>
      </c>
      <c r="Q784" s="42">
        <f>IF(H784="","",(H784-F784)*24)</f>
        <v/>
      </c>
      <c r="R784" s="42">
        <f>IF(J784="","",(J784-H784)*24)</f>
        <v/>
      </c>
    </row>
    <row r="785" ht="15" customHeight="1" s="24">
      <c r="A785" s="27" t="n">
        <v>1071531</v>
      </c>
      <c r="B785" s="27" t="inlineStr">
        <is>
          <t>PGO11071531</t>
        </is>
      </c>
      <c r="C785" s="27" t="n">
        <v>92</v>
      </c>
      <c r="D785" s="27" t="n">
        <v>523</v>
      </c>
      <c r="E785" s="27" t="n">
        <v>131</v>
      </c>
      <c r="F785" s="41" t="n">
        <v>46106.6722543287</v>
      </c>
      <c r="G785" s="41" t="n">
        <v>46107.21537571759</v>
      </c>
      <c r="H785" s="41" t="n">
        <v>46108.29811181713</v>
      </c>
      <c r="I785" s="41" t="n">
        <v>46108.31647167824</v>
      </c>
      <c r="J785" s="41" t="n">
        <v>46114.97885951389</v>
      </c>
      <c r="K785" s="27" t="inlineStr">
        <is>
          <t>Collected</t>
        </is>
      </c>
      <c r="L785" s="27" t="inlineStr">
        <is>
          <t>Standard</t>
        </is>
      </c>
      <c r="M785" s="27" t="inlineStr">
        <is>
          <t>KwaZulu-Natal</t>
        </is>
      </c>
      <c r="N785" s="27" t="n">
        <v>222.37</v>
      </c>
      <c r="O785" s="27" t="n">
        <v>7.77</v>
      </c>
      <c r="P785" s="27" t="n">
        <v>77.51000000000001</v>
      </c>
      <c r="Q785" s="42">
        <f>IF(H785="","",(H785-F785)*24)</f>
        <v/>
      </c>
      <c r="R785" s="42">
        <f>IF(J785="","",(J785-H785)*24)</f>
        <v/>
      </c>
    </row>
    <row r="786" ht="15" customHeight="1" s="24">
      <c r="A786" s="27" t="n">
        <v>1065950</v>
      </c>
      <c r="B786" s="27" t="inlineStr">
        <is>
          <t>PGO11065950</t>
        </is>
      </c>
      <c r="C786" s="27" t="n">
        <v>3</v>
      </c>
      <c r="D786" s="27" t="n">
        <v>3285</v>
      </c>
      <c r="E786" s="27" t="n">
        <v>133</v>
      </c>
      <c r="F786" s="41" t="n">
        <v>46106.74443746528</v>
      </c>
      <c r="G786" s="41" t="n">
        <v>46106.91144114584</v>
      </c>
      <c r="H786" s="41" t="n">
        <v>46107.80337127315</v>
      </c>
      <c r="I786" s="41" t="n">
        <v>46107.8294181713</v>
      </c>
      <c r="J786" s="41" t="n">
        <v>46110.80825978009</v>
      </c>
      <c r="K786" s="27" t="inlineStr">
        <is>
          <t>Collected</t>
        </is>
      </c>
      <c r="L786" s="27" t="inlineStr">
        <is>
          <t>Express</t>
        </is>
      </c>
      <c r="M786" s="27" t="inlineStr">
        <is>
          <t>North West</t>
        </is>
      </c>
      <c r="N786" s="27" t="n">
        <v>1134.98</v>
      </c>
      <c r="O786" s="27" t="n">
        <v>0.62</v>
      </c>
      <c r="P786" s="27" t="n">
        <v>38.28</v>
      </c>
      <c r="Q786" s="42">
        <f>IF(H786="","",(H786-F786)*24)</f>
        <v/>
      </c>
      <c r="R786" s="42">
        <f>IF(J786="","",(J786-H786)*24)</f>
        <v/>
      </c>
    </row>
    <row r="787" ht="15" customHeight="1" s="24">
      <c r="A787" s="27" t="n">
        <v>1049851</v>
      </c>
      <c r="B787" s="27" t="inlineStr">
        <is>
          <t>PGO11049851</t>
        </is>
      </c>
      <c r="C787" s="27" t="n">
        <v>1</v>
      </c>
      <c r="D787" s="27" t="n">
        <v>353</v>
      </c>
      <c r="E787" s="27" t="n">
        <v>269</v>
      </c>
      <c r="F787" s="41" t="n">
        <v>46107.78140476852</v>
      </c>
      <c r="G787" s="41" t="n">
        <v>46107.93718493055</v>
      </c>
      <c r="H787" s="41" t="n">
        <v>46110.09009597222</v>
      </c>
      <c r="I787" s="41" t="n">
        <v>46110.12428758102</v>
      </c>
      <c r="J787" s="41" t="n">
        <v>46111.80761559027</v>
      </c>
      <c r="K787" s="27" t="inlineStr">
        <is>
          <t>Collected</t>
        </is>
      </c>
      <c r="L787" s="27" t="inlineStr">
        <is>
          <t>Standard</t>
        </is>
      </c>
      <c r="M787" s="27" t="inlineStr">
        <is>
          <t>Eastern Cape</t>
        </is>
      </c>
      <c r="N787" s="27" t="n">
        <v>294.64</v>
      </c>
      <c r="O787" s="27" t="n">
        <v>0.45</v>
      </c>
      <c r="P787" s="27" t="n">
        <v>44.4</v>
      </c>
      <c r="Q787" s="42">
        <f>IF(H787="","",(H787-F787)*24)</f>
        <v/>
      </c>
      <c r="R787" s="42">
        <f>IF(J787="","",(J787-H787)*24)</f>
        <v/>
      </c>
    </row>
    <row r="788" ht="15" customHeight="1" s="24">
      <c r="A788" s="27" t="n">
        <v>1069816</v>
      </c>
      <c r="B788" s="27" t="inlineStr">
        <is>
          <t>PGO11069816</t>
        </is>
      </c>
      <c r="C788" s="27" t="n">
        <v>4</v>
      </c>
      <c r="D788" s="27" t="n">
        <v>1558</v>
      </c>
      <c r="E788" s="27" t="n">
        <v>462</v>
      </c>
      <c r="F788" s="41" t="n">
        <v>46108.16358362269</v>
      </c>
      <c r="G788" s="41" t="n">
        <v>46108.28782225694</v>
      </c>
      <c r="H788" s="41" t="n">
        <v>46109.17716277778</v>
      </c>
      <c r="I788" s="41" t="n">
        <v>46109.21356959491</v>
      </c>
      <c r="J788" s="41" t="n">
        <v>46111.96519923611</v>
      </c>
      <c r="K788" s="27" t="inlineStr">
        <is>
          <t>Collected</t>
        </is>
      </c>
      <c r="L788" s="27" t="inlineStr">
        <is>
          <t>Standard</t>
        </is>
      </c>
      <c r="M788" s="27" t="inlineStr">
        <is>
          <t>Western Cape</t>
        </is>
      </c>
      <c r="N788" s="27" t="n">
        <v>1306.83</v>
      </c>
      <c r="O788" s="27" t="n">
        <v>0.22</v>
      </c>
      <c r="P788" s="27" t="n">
        <v>45.3</v>
      </c>
      <c r="Q788" s="42">
        <f>IF(H788="","",(H788-F788)*24)</f>
        <v/>
      </c>
      <c r="R788" s="42">
        <f>IF(J788="","",(J788-H788)*24)</f>
        <v/>
      </c>
    </row>
    <row r="789" ht="15" customHeight="1" s="24">
      <c r="A789" s="27" t="n">
        <v>1076057</v>
      </c>
      <c r="B789" s="27" t="inlineStr">
        <is>
          <t>PGO11076057</t>
        </is>
      </c>
      <c r="C789" s="27" t="n">
        <v>21</v>
      </c>
      <c r="D789" s="27" t="n">
        <v>3242</v>
      </c>
      <c r="E789" s="27" t="n">
        <v>429</v>
      </c>
      <c r="F789" s="41" t="n">
        <v>46110.83247664352</v>
      </c>
      <c r="G789" s="41" t="n">
        <v>46110.97392429398</v>
      </c>
      <c r="H789" s="41" t="n">
        <v>46112.20693751158</v>
      </c>
      <c r="I789" s="41" t="n">
        <v>46112.23029013889</v>
      </c>
      <c r="J789" s="41" t="n">
        <v>46113.48011578704</v>
      </c>
      <c r="K789" s="27" t="inlineStr">
        <is>
          <t>Collected</t>
        </is>
      </c>
      <c r="L789" s="27" t="inlineStr">
        <is>
          <t>Standard</t>
        </is>
      </c>
      <c r="M789" s="27" t="inlineStr">
        <is>
          <t>Eastern Cape</t>
        </is>
      </c>
      <c r="N789" s="27" t="n">
        <v>241.73</v>
      </c>
      <c r="O789" s="27" t="n">
        <v>2.6</v>
      </c>
      <c r="P789" s="27" t="n">
        <v>62.88</v>
      </c>
      <c r="Q789" s="42">
        <f>IF(H789="","",(H789-F789)*24)</f>
        <v/>
      </c>
      <c r="R789" s="42">
        <f>IF(J789="","",(J789-H789)*24)</f>
        <v/>
      </c>
    </row>
    <row r="790" ht="15" customHeight="1" s="24">
      <c r="A790" s="27" t="n">
        <v>1070630</v>
      </c>
      <c r="B790" s="27" t="inlineStr">
        <is>
          <t>PGO11070630</t>
        </is>
      </c>
      <c r="C790" s="27" t="n">
        <v>1</v>
      </c>
      <c r="D790" s="27" t="n">
        <v>3695</v>
      </c>
      <c r="E790" s="27" t="n">
        <v>384</v>
      </c>
      <c r="F790" s="41" t="n">
        <v>46111.8491818287</v>
      </c>
      <c r="G790" s="41" t="n">
        <v>46111.94197940972</v>
      </c>
      <c r="H790" s="41" t="n">
        <v>46113.01411248842</v>
      </c>
      <c r="I790" s="41" t="n">
        <v>46113.039643125</v>
      </c>
      <c r="J790" s="41" t="n">
        <v>46113.75524197917</v>
      </c>
      <c r="K790" s="27" t="inlineStr">
        <is>
          <t>Collected</t>
        </is>
      </c>
      <c r="L790" s="27" t="inlineStr">
        <is>
          <t>Standard</t>
        </is>
      </c>
      <c r="M790" s="27" t="inlineStr">
        <is>
          <t>Western Cape</t>
        </is>
      </c>
      <c r="N790" s="27" t="n">
        <v>162.14</v>
      </c>
      <c r="O790" s="27" t="n">
        <v>4.96</v>
      </c>
      <c r="P790" s="27" t="n">
        <v>44.12</v>
      </c>
      <c r="Q790" s="42">
        <f>IF(H790="","",(H790-F790)*24)</f>
        <v/>
      </c>
      <c r="R790" s="42">
        <f>IF(J790="","",(J790-H790)*24)</f>
        <v/>
      </c>
    </row>
    <row r="791" ht="15" customHeight="1" s="24">
      <c r="A791" s="27" t="n">
        <v>1059451</v>
      </c>
      <c r="B791" s="27" t="inlineStr">
        <is>
          <t>PGO11059451</t>
        </is>
      </c>
      <c r="C791" s="27" t="n">
        <v>51</v>
      </c>
      <c r="D791" s="27" t="n">
        <v>3713</v>
      </c>
      <c r="E791" s="27" t="n">
        <v>177</v>
      </c>
      <c r="F791" s="41" t="n">
        <v>46112.44804159722</v>
      </c>
      <c r="G791" s="41" t="n">
        <v>46112.81358481482</v>
      </c>
      <c r="H791" s="41" t="n">
        <v>46113.90684296296</v>
      </c>
      <c r="I791" s="41" t="n">
        <v>46113.93490087963</v>
      </c>
      <c r="J791" s="41" t="n">
        <v>46114.19291667824</v>
      </c>
      <c r="K791" s="27" t="inlineStr">
        <is>
          <t>Collected</t>
        </is>
      </c>
      <c r="L791" s="27" t="inlineStr">
        <is>
          <t>Standard</t>
        </is>
      </c>
      <c r="M791" s="27" t="inlineStr">
        <is>
          <t>Limpopo</t>
        </is>
      </c>
      <c r="N791" s="27" t="n">
        <v>1101.1</v>
      </c>
      <c r="O791" s="27" t="n">
        <v>0.97</v>
      </c>
      <c r="P791" s="27" t="n">
        <v>55.84</v>
      </c>
      <c r="Q791" s="42">
        <f>IF(H791="","",(H791-F791)*24)</f>
        <v/>
      </c>
      <c r="R791" s="42">
        <f>IF(J791="","",(J791-H791)*24)</f>
        <v/>
      </c>
    </row>
    <row r="792" ht="15" customHeight="1" s="24">
      <c r="A792" s="27" t="n">
        <v>1116724</v>
      </c>
      <c r="B792" s="27" t="inlineStr">
        <is>
          <t>PGO11116724</t>
        </is>
      </c>
      <c r="C792" s="27" t="n">
        <v>4</v>
      </c>
      <c r="D792" s="27" t="n">
        <v>3705</v>
      </c>
      <c r="E792" s="27" t="n">
        <v>184</v>
      </c>
      <c r="F792" s="41" t="n">
        <v>46113.22257135417</v>
      </c>
      <c r="G792" s="41" t="n">
        <v>46113.38505859954</v>
      </c>
      <c r="H792" s="41" t="n">
        <v>46114.0786862963</v>
      </c>
      <c r="I792" s="41" t="n">
        <v>46114.11201627315</v>
      </c>
      <c r="J792" s="41" t="n">
        <v>46114.85574172454</v>
      </c>
      <c r="K792" s="27" t="inlineStr">
        <is>
          <t>Collected</t>
        </is>
      </c>
      <c r="L792" s="27" t="inlineStr">
        <is>
          <t>Return-to-Retailer</t>
        </is>
      </c>
      <c r="M792" s="27" t="inlineStr">
        <is>
          <t>Gauteng</t>
        </is>
      </c>
      <c r="N792" s="27" t="n">
        <v>2199.27</v>
      </c>
      <c r="O792" s="27" t="n">
        <v>0.39</v>
      </c>
      <c r="P792" s="27" t="n">
        <v>44.96</v>
      </c>
      <c r="Q792" s="42">
        <f>IF(H792="","",(H792-F792)*24)</f>
        <v/>
      </c>
      <c r="R792" s="42">
        <f>IF(J792="","",(J792-H792)*24)</f>
        <v/>
      </c>
    </row>
    <row r="793" ht="15" customHeight="1" s="24">
      <c r="A793" s="27" t="n">
        <v>1070268</v>
      </c>
      <c r="B793" s="27" t="inlineStr">
        <is>
          <t>PGO11070268</t>
        </is>
      </c>
      <c r="C793" s="27" t="n">
        <v>147</v>
      </c>
      <c r="D793" s="27" t="n">
        <v>3129</v>
      </c>
      <c r="E793" s="27" t="n">
        <v>490</v>
      </c>
      <c r="F793" s="41" t="n">
        <v>46113.78851067129</v>
      </c>
      <c r="G793" s="41" t="n">
        <v>46113.88341946759</v>
      </c>
      <c r="H793" s="41" t="n">
        <v>46115.13725005787</v>
      </c>
      <c r="I793" s="41" t="n">
        <v>46115.16927439815</v>
      </c>
      <c r="J793" s="41" t="n">
        <v>46116.29895971065</v>
      </c>
      <c r="K793" s="27" t="inlineStr">
        <is>
          <t>Collected</t>
        </is>
      </c>
      <c r="L793" s="27" t="inlineStr">
        <is>
          <t>Standard</t>
        </is>
      </c>
      <c r="M793" s="27" t="inlineStr">
        <is>
          <t>Gauteng</t>
        </is>
      </c>
      <c r="N793" s="27" t="n">
        <v>2889.97</v>
      </c>
      <c r="O793" s="27" t="n">
        <v>0.59</v>
      </c>
      <c r="P793" s="27" t="n">
        <v>58</v>
      </c>
      <c r="Q793" s="42">
        <f>IF(H793="","",(H793-F793)*24)</f>
        <v/>
      </c>
      <c r="R793" s="42">
        <f>IF(J793="","",(J793-H793)*24)</f>
        <v/>
      </c>
    </row>
    <row r="794" ht="15" customHeight="1" s="24">
      <c r="A794" s="27" t="n">
        <v>1089168</v>
      </c>
      <c r="B794" s="27" t="inlineStr">
        <is>
          <t>PGO11089168</t>
        </is>
      </c>
      <c r="C794" s="27" t="n">
        <v>35</v>
      </c>
      <c r="D794" s="27" t="n">
        <v>133</v>
      </c>
      <c r="E794" s="27" t="n">
        <v>52</v>
      </c>
      <c r="F794" s="41" t="n">
        <v>46113.88074913195</v>
      </c>
      <c r="G794" s="41" t="n">
        <v>46114.05987769676</v>
      </c>
      <c r="H794" s="41" t="n">
        <v>46114.52117284722</v>
      </c>
      <c r="I794" s="41" t="n">
        <v>46114.55631013889</v>
      </c>
      <c r="J794" s="41" t="n">
        <v>46115.99004634259</v>
      </c>
      <c r="K794" s="27" t="inlineStr">
        <is>
          <t>Collected</t>
        </is>
      </c>
      <c r="L794" s="27" t="inlineStr">
        <is>
          <t>Express</t>
        </is>
      </c>
      <c r="M794" s="27" t="inlineStr">
        <is>
          <t>Gauteng</t>
        </is>
      </c>
      <c r="N794" s="27" t="n">
        <v>242.23</v>
      </c>
      <c r="O794" s="27" t="n">
        <v>0.73</v>
      </c>
      <c r="P794" s="27" t="n">
        <v>37.77</v>
      </c>
      <c r="Q794" s="42">
        <f>IF(H794="","",(H794-F794)*24)</f>
        <v/>
      </c>
      <c r="R794" s="42">
        <f>IF(J794="","",(J794-H794)*24)</f>
        <v/>
      </c>
    </row>
    <row r="795" ht="15" customHeight="1" s="24">
      <c r="A795" s="27" t="n">
        <v>1104811</v>
      </c>
      <c r="B795" s="27" t="inlineStr">
        <is>
          <t>PGO11104811</t>
        </is>
      </c>
      <c r="C795" s="27" t="n">
        <v>129</v>
      </c>
      <c r="D795" s="27" t="n">
        <v>2852</v>
      </c>
      <c r="E795" s="27" t="n">
        <v>200</v>
      </c>
      <c r="F795" s="41" t="n">
        <v>46113.90069890046</v>
      </c>
      <c r="G795" s="41" t="n">
        <v>46113.94843616898</v>
      </c>
      <c r="H795" s="41" t="n">
        <v>46115.1746230787</v>
      </c>
      <c r="I795" s="41" t="n">
        <v>46115.21428303241</v>
      </c>
      <c r="J795" s="41" t="n">
        <v>46115.83637508102</v>
      </c>
      <c r="K795" s="27" t="inlineStr">
        <is>
          <t>Collected</t>
        </is>
      </c>
      <c r="L795" s="27" t="inlineStr">
        <is>
          <t>Return-to-Retailer</t>
        </is>
      </c>
      <c r="M795" s="27" t="inlineStr">
        <is>
          <t>Limpopo</t>
        </is>
      </c>
      <c r="N795" s="27" t="n">
        <v>381.81</v>
      </c>
      <c r="O795" s="27" t="n">
        <v>0.5</v>
      </c>
      <c r="P795" s="27" t="n">
        <v>54.95</v>
      </c>
      <c r="Q795" s="42">
        <f>IF(H795="","",(H795-F795)*24)</f>
        <v/>
      </c>
      <c r="R795" s="42">
        <f>IF(J795="","",(J795-H795)*24)</f>
        <v/>
      </c>
    </row>
    <row r="796" ht="15" customHeight="1" s="24">
      <c r="A796" s="27" t="n">
        <v>1102021</v>
      </c>
      <c r="B796" s="27" t="inlineStr">
        <is>
          <t>PGO11102021</t>
        </is>
      </c>
      <c r="C796" s="27" t="n">
        <v>1</v>
      </c>
      <c r="D796" s="27" t="n">
        <v>612</v>
      </c>
      <c r="E796" s="27" t="n">
        <v>76</v>
      </c>
      <c r="F796" s="41" t="n">
        <v>46114.66652255787</v>
      </c>
      <c r="G796" s="41" t="n">
        <v>46115.11136512731</v>
      </c>
      <c r="H796" s="41" t="n">
        <v>46116.3225002662</v>
      </c>
      <c r="I796" s="41" t="n">
        <v>46116.3400612037</v>
      </c>
      <c r="J796" s="41" t="n">
        <v>46117.01837153935</v>
      </c>
      <c r="K796" s="27" t="inlineStr">
        <is>
          <t>Collected</t>
        </is>
      </c>
      <c r="L796" s="27" t="inlineStr">
        <is>
          <t>Standard</t>
        </is>
      </c>
      <c r="M796" s="27" t="inlineStr">
        <is>
          <t>KwaZulu-Natal</t>
        </is>
      </c>
      <c r="N796" s="27" t="n">
        <v>124.41</v>
      </c>
      <c r="O796" s="27" t="n">
        <v>1.39</v>
      </c>
      <c r="P796" s="27" t="n">
        <v>45.54</v>
      </c>
      <c r="Q796" s="42">
        <f>IF(H796="","",(H796-F796)*24)</f>
        <v/>
      </c>
      <c r="R796" s="42">
        <f>IF(J796="","",(J796-H796)*24)</f>
        <v/>
      </c>
    </row>
    <row r="797" ht="15" customHeight="1" s="24">
      <c r="A797" s="27" t="n">
        <v>1111734</v>
      </c>
      <c r="B797" s="27" t="inlineStr">
        <is>
          <t>PGO11111734</t>
        </is>
      </c>
      <c r="C797" s="27" t="n">
        <v>9</v>
      </c>
      <c r="D797" s="27" t="n">
        <v>2896</v>
      </c>
      <c r="E797" s="27" t="n">
        <v>214</v>
      </c>
      <c r="F797" s="41" t="n">
        <v>46115.35961467592</v>
      </c>
      <c r="G797" s="41" t="n">
        <v>46115.90782989583</v>
      </c>
      <c r="H797" s="41" t="n">
        <v>46116.73326314815</v>
      </c>
      <c r="I797" s="41" t="n">
        <v>46116.73690480324</v>
      </c>
      <c r="J797" s="41" t="n">
        <v>46118.31682016204</v>
      </c>
      <c r="K797" s="27" t="inlineStr">
        <is>
          <t>Collected</t>
        </is>
      </c>
      <c r="L797" s="27" t="inlineStr">
        <is>
          <t>Standard</t>
        </is>
      </c>
      <c r="M797" s="27" t="inlineStr">
        <is>
          <t>Western Cape</t>
        </is>
      </c>
      <c r="N797" s="27" t="n">
        <v>908.0700000000001</v>
      </c>
      <c r="O797" s="27" t="n">
        <v>0.57</v>
      </c>
      <c r="P797" s="27" t="n">
        <v>60.29</v>
      </c>
      <c r="Q797" s="42">
        <f>IF(H797="","",(H797-F797)*24)</f>
        <v/>
      </c>
      <c r="R797" s="42">
        <f>IF(J797="","",(J797-H797)*24)</f>
        <v/>
      </c>
    </row>
    <row r="798" ht="15" customHeight="1" s="24">
      <c r="A798" s="27" t="n">
        <v>1089453</v>
      </c>
      <c r="B798" s="27" t="inlineStr">
        <is>
          <t>PGO11089453</t>
        </is>
      </c>
      <c r="C798" s="27" t="n">
        <v>1</v>
      </c>
      <c r="D798" s="27" t="n">
        <v>2615</v>
      </c>
      <c r="E798" s="27" t="n">
        <v>245</v>
      </c>
      <c r="F798" s="41" t="n">
        <v>46115.70026170139</v>
      </c>
      <c r="G798" s="41" t="n">
        <v>46115.8545269676</v>
      </c>
      <c r="H798" s="41" t="n">
        <v>46117.23677890046</v>
      </c>
      <c r="I798" s="41" t="n">
        <v>46117.25827379629</v>
      </c>
      <c r="J798" s="41" t="n">
        <v>46118.24590211805</v>
      </c>
      <c r="K798" s="27" t="inlineStr">
        <is>
          <t>Collected</t>
        </is>
      </c>
      <c r="L798" s="27" t="inlineStr">
        <is>
          <t>Standard</t>
        </is>
      </c>
      <c r="M798" s="27" t="inlineStr">
        <is>
          <t>KwaZulu-Natal</t>
        </is>
      </c>
      <c r="N798" s="27" t="n">
        <v>236.1</v>
      </c>
      <c r="O798" s="27" t="n">
        <v>0.76</v>
      </c>
      <c r="P798" s="27" t="n">
        <v>48.01</v>
      </c>
      <c r="Q798" s="42">
        <f>IF(H798="","",(H798-F798)*24)</f>
        <v/>
      </c>
      <c r="R798" s="42">
        <f>IF(J798="","",(J798-H798)*24)</f>
        <v/>
      </c>
    </row>
    <row r="799" ht="15" customHeight="1" s="24">
      <c r="A799" s="27" t="n">
        <v>1095170</v>
      </c>
      <c r="B799" s="27" t="inlineStr">
        <is>
          <t>PGO11095170</t>
        </is>
      </c>
      <c r="C799" s="27" t="n">
        <v>9</v>
      </c>
      <c r="D799" s="27" t="n">
        <v>2821</v>
      </c>
      <c r="E799" s="27" t="n">
        <v>287</v>
      </c>
      <c r="F799" s="41" t="n">
        <v>46116.90480603009</v>
      </c>
      <c r="G799" s="41" t="n">
        <v>46117.21719811342</v>
      </c>
      <c r="H799" s="41" t="n">
        <v>46117.54755420139</v>
      </c>
      <c r="I799" s="41" t="n">
        <v>46117.60245658565</v>
      </c>
      <c r="J799" s="41" t="n">
        <v>46118.31737628472</v>
      </c>
      <c r="K799" s="27" t="inlineStr">
        <is>
          <t>Collected</t>
        </is>
      </c>
      <c r="L799" s="27" t="inlineStr">
        <is>
          <t>Standard</t>
        </is>
      </c>
      <c r="M799" s="27" t="inlineStr">
        <is>
          <t>Limpopo</t>
        </is>
      </c>
      <c r="N799" s="27" t="n">
        <v>549.37</v>
      </c>
      <c r="O799" s="27" t="n">
        <v>3.08</v>
      </c>
      <c r="P799" s="27" t="n">
        <v>57.77</v>
      </c>
      <c r="Q799" s="42">
        <f>IF(H799="","",(H799-F799)*24)</f>
        <v/>
      </c>
      <c r="R799" s="42">
        <f>IF(J799="","",(J799-H799)*24)</f>
        <v/>
      </c>
    </row>
    <row r="800" ht="15" customHeight="1" s="24">
      <c r="A800" s="27" t="n">
        <v>1091927</v>
      </c>
      <c r="B800" s="27" t="inlineStr">
        <is>
          <t>PGO11091927</t>
        </is>
      </c>
      <c r="C800" s="27" t="n">
        <v>1</v>
      </c>
      <c r="D800" s="27" t="n">
        <v>2901</v>
      </c>
      <c r="E800" s="27" t="n">
        <v>157</v>
      </c>
      <c r="F800" s="41" t="n">
        <v>46117.69525377315</v>
      </c>
      <c r="G800" s="41" t="n">
        <v>46117.86275230324</v>
      </c>
      <c r="H800" s="41" t="n">
        <v>46118.67881068287</v>
      </c>
      <c r="I800" s="41" t="n">
        <v>46118.71291763889</v>
      </c>
      <c r="J800" s="41" t="n">
        <v>46119.4421640162</v>
      </c>
      <c r="K800" s="27" t="inlineStr">
        <is>
          <t>Collected</t>
        </is>
      </c>
      <c r="L800" s="27" t="inlineStr">
        <is>
          <t>Express</t>
        </is>
      </c>
      <c r="M800" s="27" t="inlineStr">
        <is>
          <t>Free State</t>
        </is>
      </c>
      <c r="N800" s="27" t="n">
        <v>604.9400000000001</v>
      </c>
      <c r="O800" s="27" t="n">
        <v>0.65</v>
      </c>
      <c r="P800" s="27" t="n">
        <v>44.27</v>
      </c>
      <c r="Q800" s="42">
        <f>IF(H800="","",(H800-F800)*24)</f>
        <v/>
      </c>
      <c r="R800" s="42">
        <f>IF(J800="","",(J800-H800)*24)</f>
        <v/>
      </c>
    </row>
    <row r="801" ht="15" customHeight="1" s="24">
      <c r="A801" s="27" t="n">
        <v>1099324</v>
      </c>
      <c r="B801" s="27" t="inlineStr">
        <is>
          <t>PGO11099324</t>
        </is>
      </c>
      <c r="C801" s="27" t="n">
        <v>47</v>
      </c>
      <c r="D801" s="27" t="n">
        <v>1356</v>
      </c>
      <c r="E801" s="27" t="n">
        <v>180</v>
      </c>
      <c r="F801" s="41" t="n">
        <v>46118.19281634259</v>
      </c>
      <c r="G801" s="41" t="n">
        <v>46118.583385625</v>
      </c>
      <c r="H801" s="41" t="n">
        <v>46119.14120144676</v>
      </c>
      <c r="I801" s="41" t="n">
        <v>46119.2020983449</v>
      </c>
      <c r="J801" s="41" t="n">
        <v>46119.43198782407</v>
      </c>
      <c r="K801" s="27" t="inlineStr">
        <is>
          <t>Collected</t>
        </is>
      </c>
      <c r="L801" s="27" t="inlineStr">
        <is>
          <t>Standard</t>
        </is>
      </c>
      <c r="M801" s="27" t="inlineStr">
        <is>
          <t>KwaZulu-Natal</t>
        </is>
      </c>
      <c r="N801" s="27" t="n">
        <v>2124.54</v>
      </c>
      <c r="O801" s="27" t="n">
        <v>3.2</v>
      </c>
      <c r="P801" s="27" t="n">
        <v>53.16</v>
      </c>
      <c r="Q801" s="42">
        <f>IF(H801="","",(H801-F801)*24)</f>
        <v/>
      </c>
      <c r="R801" s="42">
        <f>IF(J801="","",(J801-H801)*24)</f>
        <v/>
      </c>
    </row>
    <row r="802" ht="15" customHeight="1" s="24">
      <c r="A802" s="27" t="n">
        <v>1091644</v>
      </c>
      <c r="B802" s="27" t="inlineStr">
        <is>
          <t>PGO11091644</t>
        </is>
      </c>
      <c r="C802" s="27" t="n">
        <v>107</v>
      </c>
      <c r="D802" s="27" t="n">
        <v>3652</v>
      </c>
      <c r="E802" s="27" t="n">
        <v>391</v>
      </c>
      <c r="F802" s="41" t="n">
        <v>46122.12373762731</v>
      </c>
      <c r="G802" s="41" t="n">
        <v>46122.18077228009</v>
      </c>
      <c r="H802" s="41" t="n">
        <v>46123.06780258102</v>
      </c>
      <c r="I802" s="41" t="n">
        <v>46123.10393420139</v>
      </c>
      <c r="J802" s="41" t="n">
        <v>46123.86537966435</v>
      </c>
      <c r="K802" s="27" t="inlineStr">
        <is>
          <t>Collected</t>
        </is>
      </c>
      <c r="L802" s="27" t="inlineStr">
        <is>
          <t>Standard</t>
        </is>
      </c>
      <c r="M802" s="27" t="inlineStr">
        <is>
          <t>Eastern Cape</t>
        </is>
      </c>
      <c r="N802" s="27" t="n">
        <v>269.33</v>
      </c>
      <c r="O802" s="27" t="n">
        <v>0.8</v>
      </c>
      <c r="P802" s="27" t="n">
        <v>58.46</v>
      </c>
      <c r="Q802" s="42">
        <f>IF(H802="","",(H802-F802)*24)</f>
        <v/>
      </c>
      <c r="R802" s="42">
        <f>IF(J802="","",(J802-H802)*24)</f>
        <v/>
      </c>
    </row>
    <row r="803" ht="15" customHeight="1" s="24">
      <c r="A803" s="27" t="n">
        <v>1102984</v>
      </c>
      <c r="B803" s="27" t="inlineStr">
        <is>
          <t>PGO11102984</t>
        </is>
      </c>
      <c r="C803" s="27" t="n">
        <v>58</v>
      </c>
      <c r="D803" s="27" t="n">
        <v>350</v>
      </c>
      <c r="E803" s="27" t="n">
        <v>14</v>
      </c>
      <c r="F803" s="41" t="n">
        <v>46122.71342440973</v>
      </c>
      <c r="G803" s="41" t="n">
        <v>46122.82521078704</v>
      </c>
      <c r="H803" s="41" t="n">
        <v>46123.52878723379</v>
      </c>
      <c r="I803" s="41" t="n">
        <v>46123.55506894676</v>
      </c>
      <c r="J803" s="41" t="n">
        <v>46124.01058069444</v>
      </c>
      <c r="K803" s="27" t="inlineStr">
        <is>
          <t>Collected</t>
        </is>
      </c>
      <c r="L803" s="27" t="inlineStr">
        <is>
          <t>Return-to-Retailer</t>
        </is>
      </c>
      <c r="M803" s="27" t="inlineStr">
        <is>
          <t>Free State</t>
        </is>
      </c>
      <c r="N803" s="27" t="n">
        <v>153.74</v>
      </c>
      <c r="O803" s="27" t="n">
        <v>0.53</v>
      </c>
      <c r="P803" s="27" t="n">
        <v>42.88</v>
      </c>
      <c r="Q803" s="42">
        <f>IF(H803="","",(H803-F803)*24)</f>
        <v/>
      </c>
      <c r="R803" s="42">
        <f>IF(J803="","",(J803-H803)*24)</f>
        <v/>
      </c>
    </row>
    <row r="804" ht="15" customHeight="1" s="24">
      <c r="A804" s="27" t="n">
        <v>1085639</v>
      </c>
      <c r="B804" s="27" t="inlineStr">
        <is>
          <t>PGO11085639</t>
        </is>
      </c>
      <c r="C804" s="27" t="n">
        <v>16</v>
      </c>
      <c r="D804" s="27" t="n">
        <v>3250</v>
      </c>
      <c r="E804" s="27" t="n">
        <v>416</v>
      </c>
      <c r="F804" s="41" t="n">
        <v>46123.2178903588</v>
      </c>
      <c r="G804" s="41" t="n">
        <v>46123.32589629629</v>
      </c>
      <c r="H804" s="41" t="n">
        <v>46124.24014997685</v>
      </c>
      <c r="I804" s="41" t="n">
        <v>46124.28442839121</v>
      </c>
      <c r="J804" s="41" t="n">
        <v>46125.19174445602</v>
      </c>
      <c r="K804" s="27" t="inlineStr">
        <is>
          <t>Collected</t>
        </is>
      </c>
      <c r="L804" s="27" t="inlineStr">
        <is>
          <t>Standard</t>
        </is>
      </c>
      <c r="M804" s="27" t="inlineStr">
        <is>
          <t>KwaZulu-Natal</t>
        </is>
      </c>
      <c r="N804" s="27" t="n">
        <v>162.54</v>
      </c>
      <c r="O804" s="27" t="n">
        <v>1.64</v>
      </c>
      <c r="P804" s="27" t="n">
        <v>59.67</v>
      </c>
      <c r="Q804" s="42">
        <f>IF(H804="","",(H804-F804)*24)</f>
        <v/>
      </c>
      <c r="R804" s="42">
        <f>IF(J804="","",(J804-H804)*24)</f>
        <v/>
      </c>
    </row>
    <row r="805" ht="15" customHeight="1" s="24">
      <c r="A805" s="27" t="n">
        <v>1118284</v>
      </c>
      <c r="B805" s="27" t="inlineStr">
        <is>
          <t>PGO11118284</t>
        </is>
      </c>
      <c r="C805" s="27" t="n">
        <v>1</v>
      </c>
      <c r="D805" s="27" t="n">
        <v>1584</v>
      </c>
      <c r="E805" s="27" t="n">
        <v>212</v>
      </c>
      <c r="F805" s="41" t="n">
        <v>46125.2194253125</v>
      </c>
      <c r="G805" s="41" t="n">
        <v>46125.31497387731</v>
      </c>
      <c r="H805" s="41" t="n">
        <v>46126.57602570602</v>
      </c>
      <c r="I805" s="41" t="n">
        <v>46126.60209746528</v>
      </c>
      <c r="J805" s="41" t="n">
        <v>46127.91887797454</v>
      </c>
      <c r="K805" s="27" t="inlineStr">
        <is>
          <t>Collected</t>
        </is>
      </c>
      <c r="L805" s="27" t="inlineStr">
        <is>
          <t>Standard</t>
        </is>
      </c>
      <c r="M805" s="27" t="inlineStr">
        <is>
          <t>Eastern Cape</t>
        </is>
      </c>
      <c r="N805" s="27" t="n">
        <v>251.49</v>
      </c>
      <c r="O805" s="27" t="n">
        <v>0.9</v>
      </c>
      <c r="P805" s="27" t="n">
        <v>47.9</v>
      </c>
      <c r="Q805" s="42">
        <f>IF(H805="","",(H805-F805)*24)</f>
        <v/>
      </c>
      <c r="R805" s="42">
        <f>IF(J805="","",(J805-H805)*24)</f>
        <v/>
      </c>
    </row>
    <row r="806" ht="15" customHeight="1" s="24">
      <c r="A806" s="27" t="n">
        <v>1081739</v>
      </c>
      <c r="B806" s="27" t="inlineStr">
        <is>
          <t>PGO11081739</t>
        </is>
      </c>
      <c r="C806" s="27" t="n">
        <v>85</v>
      </c>
      <c r="D806" s="27" t="n">
        <v>2030</v>
      </c>
      <c r="E806" s="27" t="n">
        <v>362</v>
      </c>
      <c r="F806" s="41" t="n">
        <v>46125.67558546297</v>
      </c>
      <c r="G806" s="41" t="n">
        <v>46125.726435</v>
      </c>
      <c r="H806" s="41" t="n">
        <v>46127.05799732639</v>
      </c>
      <c r="I806" s="41" t="n">
        <v>46127.10168909722</v>
      </c>
      <c r="J806" s="41" t="n">
        <v>46127.59694290509</v>
      </c>
      <c r="K806" s="27" t="inlineStr">
        <is>
          <t>Collected</t>
        </is>
      </c>
      <c r="L806" s="27" t="inlineStr">
        <is>
          <t>Express</t>
        </is>
      </c>
      <c r="M806" s="27" t="inlineStr">
        <is>
          <t>Northern Cape</t>
        </is>
      </c>
      <c r="N806" s="27" t="n">
        <v>163.56</v>
      </c>
      <c r="O806" s="27" t="n">
        <v>0.31</v>
      </c>
      <c r="P806" s="27" t="n">
        <v>70.77</v>
      </c>
      <c r="Q806" s="42">
        <f>IF(H806="","",(H806-F806)*24)</f>
        <v/>
      </c>
      <c r="R806" s="42">
        <f>IF(J806="","",(J806-H806)*24)</f>
        <v/>
      </c>
    </row>
    <row r="807" ht="15" customHeight="1" s="24">
      <c r="A807" s="27" t="n">
        <v>1103406</v>
      </c>
      <c r="B807" s="27" t="inlineStr">
        <is>
          <t>PGO11103406</t>
        </is>
      </c>
      <c r="C807" s="27" t="n">
        <v>6</v>
      </c>
      <c r="D807" s="27" t="n">
        <v>3066</v>
      </c>
      <c r="E807" s="27" t="n">
        <v>238</v>
      </c>
      <c r="F807" s="41" t="n">
        <v>46126.76727327547</v>
      </c>
      <c r="G807" s="41" t="n">
        <v>46126.95076</v>
      </c>
      <c r="H807" s="41" t="n">
        <v>46128.17158864583</v>
      </c>
      <c r="I807" s="41" t="n">
        <v>46128.20469252315</v>
      </c>
      <c r="J807" s="41" t="n">
        <v>46128.94533106482</v>
      </c>
      <c r="K807" s="27" t="inlineStr">
        <is>
          <t>Collected</t>
        </is>
      </c>
      <c r="L807" s="27" t="inlineStr">
        <is>
          <t>Standard</t>
        </is>
      </c>
      <c r="M807" s="27" t="inlineStr">
        <is>
          <t>Limpopo</t>
        </is>
      </c>
      <c r="N807" s="27" t="n">
        <v>207.04</v>
      </c>
      <c r="O807" s="27" t="n">
        <v>1.43</v>
      </c>
      <c r="P807" s="27" t="n">
        <v>39.39</v>
      </c>
      <c r="Q807" s="42">
        <f>IF(H807="","",(H807-F807)*24)</f>
        <v/>
      </c>
      <c r="R807" s="42">
        <f>IF(J807="","",(J807-H807)*24)</f>
        <v/>
      </c>
    </row>
    <row r="808" ht="15" customHeight="1" s="24">
      <c r="A808" s="27" t="n">
        <v>1091960</v>
      </c>
      <c r="B808" s="27" t="inlineStr">
        <is>
          <t>PGO11091960</t>
        </is>
      </c>
      <c r="C808" s="27" t="n">
        <v>40</v>
      </c>
      <c r="D808" s="27" t="n">
        <v>3529</v>
      </c>
      <c r="E808" s="27" t="n">
        <v>265</v>
      </c>
      <c r="F808" s="41" t="n">
        <v>46126.84264143519</v>
      </c>
      <c r="G808" s="41" t="n">
        <v>46127.09011123842</v>
      </c>
      <c r="H808" s="41" t="n">
        <v>46127.93122831018</v>
      </c>
      <c r="I808" s="41" t="n">
        <v>46127.96576152778</v>
      </c>
      <c r="J808" s="41" t="n">
        <v>46128.34613293981</v>
      </c>
      <c r="K808" s="27" t="inlineStr">
        <is>
          <t>Collected</t>
        </is>
      </c>
      <c r="L808" s="27" t="inlineStr">
        <is>
          <t>Standard</t>
        </is>
      </c>
      <c r="M808" s="27" t="inlineStr">
        <is>
          <t>Western Cape</t>
        </is>
      </c>
      <c r="N808" s="27" t="n">
        <v>396.89</v>
      </c>
      <c r="O808" s="27" t="n">
        <v>1.52</v>
      </c>
      <c r="P808" s="27" t="n">
        <v>58.18</v>
      </c>
      <c r="Q808" s="42">
        <f>IF(H808="","",(H808-F808)*24)</f>
        <v/>
      </c>
      <c r="R808" s="42">
        <f>IF(J808="","",(J808-H808)*24)</f>
        <v/>
      </c>
    </row>
    <row r="809" ht="15" customHeight="1" s="24">
      <c r="A809" s="27" t="n">
        <v>1109852</v>
      </c>
      <c r="B809" s="27" t="inlineStr">
        <is>
          <t>PGO11109852</t>
        </is>
      </c>
      <c r="C809" s="27" t="n">
        <v>2</v>
      </c>
      <c r="D809" s="27" t="n">
        <v>2821</v>
      </c>
      <c r="E809" s="27" t="n">
        <v>53</v>
      </c>
      <c r="F809" s="41" t="n">
        <v>46126.90905040509</v>
      </c>
      <c r="G809" s="41" t="n">
        <v>46127.54778145834</v>
      </c>
      <c r="H809" s="41" t="n">
        <v>46128.82671306713</v>
      </c>
      <c r="I809" s="41" t="n">
        <v>46128.88024837963</v>
      </c>
      <c r="J809" s="41" t="n">
        <v>46129.39728008102</v>
      </c>
      <c r="K809" s="27" t="inlineStr">
        <is>
          <t>Collected</t>
        </is>
      </c>
      <c r="L809" s="27" t="inlineStr">
        <is>
          <t>Standard</t>
        </is>
      </c>
      <c r="M809" s="27" t="inlineStr">
        <is>
          <t>Limpopo</t>
        </is>
      </c>
      <c r="N809" s="27" t="n">
        <v>246.91</v>
      </c>
      <c r="O809" s="27" t="n">
        <v>3.57</v>
      </c>
      <c r="P809" s="27" t="n">
        <v>49.63</v>
      </c>
      <c r="Q809" s="42">
        <f>IF(H809="","",(H809-F809)*24)</f>
        <v/>
      </c>
      <c r="R809" s="42">
        <f>IF(J809="","",(J809-H809)*24)</f>
        <v/>
      </c>
    </row>
    <row r="810" ht="15" customHeight="1" s="24">
      <c r="A810" s="27" t="n">
        <v>1090360</v>
      </c>
      <c r="B810" s="27" t="inlineStr">
        <is>
          <t>PGO11090360</t>
        </is>
      </c>
      <c r="C810" s="27" t="n">
        <v>4</v>
      </c>
      <c r="D810" s="27" t="n">
        <v>1238</v>
      </c>
      <c r="E810" s="27" t="n">
        <v>382</v>
      </c>
      <c r="F810" s="41" t="n">
        <v>46127.20640767361</v>
      </c>
      <c r="G810" s="41" t="n">
        <v>46127.63542137732</v>
      </c>
      <c r="H810" s="41" t="n">
        <v>46127.9047518287</v>
      </c>
      <c r="I810" s="41" t="n">
        <v>46127.91155638889</v>
      </c>
      <c r="J810" s="41" t="n">
        <v>46128.26844864583</v>
      </c>
      <c r="K810" s="27" t="inlineStr">
        <is>
          <t>Collected</t>
        </is>
      </c>
      <c r="L810" s="27" t="inlineStr">
        <is>
          <t>Standard</t>
        </is>
      </c>
      <c r="M810" s="27" t="inlineStr">
        <is>
          <t>Gauteng</t>
        </is>
      </c>
      <c r="N810" s="27" t="n">
        <v>120.9</v>
      </c>
      <c r="O810" s="27" t="n">
        <v>1.92</v>
      </c>
      <c r="P810" s="27" t="n">
        <v>42.38</v>
      </c>
      <c r="Q810" s="42">
        <f>IF(H810="","",(H810-F810)*24)</f>
        <v/>
      </c>
      <c r="R810" s="42">
        <f>IF(J810="","",(J810-H810)*24)</f>
        <v/>
      </c>
    </row>
    <row r="811" ht="15" customHeight="1" s="24">
      <c r="A811" s="27" t="n">
        <v>1097825</v>
      </c>
      <c r="B811" s="27" t="inlineStr">
        <is>
          <t>PGO11097825</t>
        </is>
      </c>
      <c r="C811" s="27" t="n">
        <v>4</v>
      </c>
      <c r="D811" s="27" t="n">
        <v>1239</v>
      </c>
      <c r="E811" s="27" t="n">
        <v>144</v>
      </c>
      <c r="F811" s="41" t="n">
        <v>46128.25767063657</v>
      </c>
      <c r="G811" s="41" t="n">
        <v>46128.34717986111</v>
      </c>
      <c r="H811" s="41" t="n">
        <v>46128.91129398148</v>
      </c>
      <c r="I811" s="41" t="n">
        <v>46128.92320471065</v>
      </c>
      <c r="J811" s="41" t="n">
        <v>46129.31256568287</v>
      </c>
      <c r="K811" s="27" t="inlineStr">
        <is>
          <t>Collected</t>
        </is>
      </c>
      <c r="L811" s="27" t="inlineStr">
        <is>
          <t>Standard</t>
        </is>
      </c>
      <c r="M811" s="27" t="inlineStr">
        <is>
          <t>Mpumalanga</t>
        </is>
      </c>
      <c r="N811" s="27" t="n">
        <v>47.78</v>
      </c>
      <c r="O811" s="27" t="n">
        <v>2.43</v>
      </c>
      <c r="P811" s="27" t="n">
        <v>44.82</v>
      </c>
      <c r="Q811" s="42">
        <f>IF(H811="","",(H811-F811)*24)</f>
        <v/>
      </c>
      <c r="R811" s="42">
        <f>IF(J811="","",(J811-H811)*24)</f>
        <v/>
      </c>
    </row>
    <row r="812" ht="15" customHeight="1" s="24">
      <c r="A812" s="27" t="n">
        <v>1090271</v>
      </c>
      <c r="B812" s="27" t="inlineStr">
        <is>
          <t>PGO11090271</t>
        </is>
      </c>
      <c r="C812" s="27" t="n">
        <v>4</v>
      </c>
      <c r="D812" s="27" t="n">
        <v>2375</v>
      </c>
      <c r="E812" s="27" t="n">
        <v>17</v>
      </c>
      <c r="F812" s="41" t="n">
        <v>46130.57008905093</v>
      </c>
      <c r="G812" s="41" t="n">
        <v>46131.04270833333</v>
      </c>
      <c r="H812" s="41" t="n">
        <v>46132.0797767824</v>
      </c>
      <c r="I812" s="41" t="n">
        <v>46132.10516767361</v>
      </c>
      <c r="J812" s="41" t="n">
        <v>46133.58567652778</v>
      </c>
      <c r="K812" s="27" t="inlineStr">
        <is>
          <t>Collected</t>
        </is>
      </c>
      <c r="L812" s="27" t="inlineStr">
        <is>
          <t>Standard</t>
        </is>
      </c>
      <c r="M812" s="27" t="inlineStr">
        <is>
          <t>Gauteng</t>
        </is>
      </c>
      <c r="N812" s="27" t="n">
        <v>300.64</v>
      </c>
      <c r="O812" s="27" t="n">
        <v>0.63</v>
      </c>
      <c r="P812" s="27" t="n">
        <v>44.67</v>
      </c>
      <c r="Q812" s="42">
        <f>IF(H812="","",(H812-F812)*24)</f>
        <v/>
      </c>
      <c r="R812" s="42">
        <f>IF(J812="","",(J812-H812)*24)</f>
        <v/>
      </c>
    </row>
    <row r="813" ht="15" customHeight="1" s="24">
      <c r="A813" s="27" t="n">
        <v>1107936</v>
      </c>
      <c r="B813" s="27" t="inlineStr">
        <is>
          <t>PGO11107936</t>
        </is>
      </c>
      <c r="C813" s="27" t="n">
        <v>107</v>
      </c>
      <c r="D813" s="27" t="n">
        <v>1886</v>
      </c>
      <c r="E813" s="27" t="n">
        <v>63</v>
      </c>
      <c r="F813" s="41" t="n">
        <v>46132.40220751157</v>
      </c>
      <c r="G813" s="41" t="n">
        <v>46132.55497246528</v>
      </c>
      <c r="H813" s="41" t="n">
        <v>46133.42305710648</v>
      </c>
      <c r="I813" s="41" t="n">
        <v>46133.46815644676</v>
      </c>
      <c r="J813" s="41" t="n">
        <v>46134.70357974537</v>
      </c>
      <c r="K813" s="27" t="inlineStr">
        <is>
          <t>Collected</t>
        </is>
      </c>
      <c r="L813" s="27" t="inlineStr">
        <is>
          <t>Standard</t>
        </is>
      </c>
      <c r="M813" s="27" t="inlineStr">
        <is>
          <t>KwaZulu-Natal</t>
        </is>
      </c>
      <c r="N813" s="27" t="n">
        <v>139.35</v>
      </c>
      <c r="O813" s="27" t="n">
        <v>0.7</v>
      </c>
      <c r="P813" s="27" t="n">
        <v>56.79</v>
      </c>
      <c r="Q813" s="42">
        <f>IF(H813="","",(H813-F813)*24)</f>
        <v/>
      </c>
      <c r="R813" s="42">
        <f>IF(J813="","",(J813-H813)*24)</f>
        <v/>
      </c>
    </row>
    <row r="814" ht="15" customHeight="1" s="24">
      <c r="A814" s="27" t="n">
        <v>1107573</v>
      </c>
      <c r="B814" s="27" t="inlineStr">
        <is>
          <t>PGO11107573</t>
        </is>
      </c>
      <c r="C814" s="27" t="n">
        <v>108</v>
      </c>
      <c r="D814" s="27" t="n">
        <v>2319</v>
      </c>
      <c r="E814" s="27" t="n">
        <v>224</v>
      </c>
      <c r="F814" s="41" t="n">
        <v>46132.81638306713</v>
      </c>
      <c r="G814" s="41" t="n">
        <v>46133.15403875</v>
      </c>
      <c r="H814" s="41" t="n">
        <v>46133.65698038194</v>
      </c>
      <c r="I814" s="41" t="n">
        <v>46133.70940086806</v>
      </c>
      <c r="J814" s="41" t="n">
        <v>46134.54630270833</v>
      </c>
      <c r="K814" s="27" t="inlineStr">
        <is>
          <t>Collected</t>
        </is>
      </c>
      <c r="L814" s="27" t="inlineStr">
        <is>
          <t>Standard</t>
        </is>
      </c>
      <c r="M814" s="27" t="inlineStr">
        <is>
          <t>Gauteng</t>
        </is>
      </c>
      <c r="N814" s="27" t="n">
        <v>334.98</v>
      </c>
      <c r="O814" s="27" t="n">
        <v>0.99</v>
      </c>
      <c r="P814" s="27" t="n">
        <v>63.96</v>
      </c>
      <c r="Q814" s="42">
        <f>IF(H814="","",(H814-F814)*24)</f>
        <v/>
      </c>
      <c r="R814" s="42">
        <f>IF(J814="","",(J814-H814)*24)</f>
        <v/>
      </c>
    </row>
    <row r="815" ht="15" customHeight="1" s="24">
      <c r="A815" s="27" t="n">
        <v>1104228</v>
      </c>
      <c r="B815" s="27" t="inlineStr">
        <is>
          <t>PGO11104228</t>
        </is>
      </c>
      <c r="C815" s="27" t="n">
        <v>112</v>
      </c>
      <c r="D815" s="27" t="n">
        <v>361</v>
      </c>
      <c r="E815" s="27" t="n">
        <v>355</v>
      </c>
      <c r="F815" s="41" t="n">
        <v>46133.16662866898</v>
      </c>
      <c r="G815" s="41" t="n">
        <v>46133.29211206018</v>
      </c>
      <c r="H815" s="41" t="n">
        <v>46134.02205068287</v>
      </c>
      <c r="I815" s="41" t="n">
        <v>46134.07228821759</v>
      </c>
      <c r="J815" s="41" t="n">
        <v>46134.13988149306</v>
      </c>
      <c r="K815" s="27" t="inlineStr">
        <is>
          <t>Collected</t>
        </is>
      </c>
      <c r="L815" s="27" t="inlineStr">
        <is>
          <t>Standard</t>
        </is>
      </c>
      <c r="M815" s="27" t="inlineStr">
        <is>
          <t>Eastern Cape</t>
        </is>
      </c>
      <c r="N815" s="27" t="n">
        <v>231.96</v>
      </c>
      <c r="O815" s="27" t="n">
        <v>2.17</v>
      </c>
      <c r="P815" s="27" t="n">
        <v>54.09</v>
      </c>
      <c r="Q815" s="42">
        <f>IF(H815="","",(H815-F815)*24)</f>
        <v/>
      </c>
      <c r="R815" s="42">
        <f>IF(J815="","",(J815-H815)*24)</f>
        <v/>
      </c>
    </row>
    <row r="816" ht="15" customHeight="1" s="24">
      <c r="A816" s="27" t="n">
        <v>1096253</v>
      </c>
      <c r="B816" s="27" t="inlineStr">
        <is>
          <t>PGO11096253</t>
        </is>
      </c>
      <c r="C816" s="27" t="n">
        <v>32</v>
      </c>
      <c r="D816" s="27" t="n">
        <v>600</v>
      </c>
      <c r="E816" s="27" t="n">
        <v>271</v>
      </c>
      <c r="F816" s="41" t="n">
        <v>46135.190233125</v>
      </c>
      <c r="G816" s="41" t="n">
        <v>46135.55860060185</v>
      </c>
      <c r="H816" s="41" t="n">
        <v>46136.29941008102</v>
      </c>
      <c r="I816" s="41" t="n">
        <v>46136.31453337963</v>
      </c>
      <c r="J816" s="41" t="n">
        <v>46137.36357059028</v>
      </c>
      <c r="K816" s="27" t="inlineStr">
        <is>
          <t>Collected</t>
        </is>
      </c>
      <c r="L816" s="27" t="inlineStr">
        <is>
          <t>Standard</t>
        </is>
      </c>
      <c r="M816" s="27" t="inlineStr">
        <is>
          <t>Free State</t>
        </is>
      </c>
      <c r="N816" s="27" t="n">
        <v>656.72</v>
      </c>
      <c r="O816" s="27" t="n">
        <v>0.14</v>
      </c>
      <c r="P816" s="27" t="n">
        <v>69.77</v>
      </c>
      <c r="Q816" s="42">
        <f>IF(H816="","",(H816-F816)*24)</f>
        <v/>
      </c>
      <c r="R816" s="42">
        <f>IF(J816="","",(J816-H816)*24)</f>
        <v/>
      </c>
    </row>
    <row r="817" ht="15" customHeight="1" s="24">
      <c r="A817" s="27" t="n">
        <v>1101645</v>
      </c>
      <c r="B817" s="27" t="inlineStr">
        <is>
          <t>PGO11101645</t>
        </is>
      </c>
      <c r="C817" s="27" t="n">
        <v>1</v>
      </c>
      <c r="D817" s="27" t="n">
        <v>726</v>
      </c>
      <c r="E817" s="27" t="n">
        <v>446</v>
      </c>
      <c r="F817" s="41" t="n">
        <v>46137.03649263889</v>
      </c>
      <c r="G817" s="41" t="n">
        <v>46137.29635542824</v>
      </c>
      <c r="H817" s="41" t="n">
        <v>46137.86140782407</v>
      </c>
      <c r="I817" s="41" t="n">
        <v>46137.89578778936</v>
      </c>
      <c r="J817" s="41" t="n">
        <v>46141.57425074074</v>
      </c>
      <c r="K817" s="27" t="inlineStr">
        <is>
          <t>Collected</t>
        </is>
      </c>
      <c r="L817" s="27" t="inlineStr">
        <is>
          <t>Standard</t>
        </is>
      </c>
      <c r="M817" s="27" t="inlineStr">
        <is>
          <t>Gauteng</t>
        </is>
      </c>
      <c r="N817" s="27" t="n">
        <v>111.96</v>
      </c>
      <c r="O817" s="27" t="n">
        <v>0.5600000000000001</v>
      </c>
      <c r="P817" s="27" t="n">
        <v>45.3</v>
      </c>
      <c r="Q817" s="42">
        <f>IF(H817="","",(H817-F817)*24)</f>
        <v/>
      </c>
      <c r="R817" s="42">
        <f>IF(J817="","",(J817-H817)*24)</f>
        <v/>
      </c>
    </row>
    <row r="818" ht="15" customHeight="1" s="24">
      <c r="A818" s="27" t="n">
        <v>1089824</v>
      </c>
      <c r="B818" s="27" t="inlineStr">
        <is>
          <t>PGO11089824</t>
        </is>
      </c>
      <c r="C818" s="27" t="n">
        <v>18</v>
      </c>
      <c r="D818" s="27" t="n">
        <v>2186</v>
      </c>
      <c r="E818" s="27" t="n">
        <v>76</v>
      </c>
      <c r="F818" s="41" t="n">
        <v>46137.85698313657</v>
      </c>
      <c r="G818" s="41" t="n">
        <v>46138.15813612269</v>
      </c>
      <c r="H818" s="41" t="n">
        <v>46139.02813261574</v>
      </c>
      <c r="I818" s="41" t="n">
        <v>46139.05053613426</v>
      </c>
      <c r="J818" s="41" t="n">
        <v>46140.77545914352</v>
      </c>
      <c r="K818" s="27" t="inlineStr">
        <is>
          <t>Collected</t>
        </is>
      </c>
      <c r="L818" s="27" t="inlineStr">
        <is>
          <t>Standard</t>
        </is>
      </c>
      <c r="M818" s="27" t="inlineStr">
        <is>
          <t>KwaZulu-Natal</t>
        </is>
      </c>
      <c r="N818" s="27" t="n">
        <v>462.54</v>
      </c>
      <c r="O818" s="27" t="n">
        <v>4.89</v>
      </c>
      <c r="P818" s="27" t="n">
        <v>43.74</v>
      </c>
      <c r="Q818" s="42">
        <f>IF(H818="","",(H818-F818)*24)</f>
        <v/>
      </c>
      <c r="R818" s="42">
        <f>IF(J818="","",(J818-H818)*24)</f>
        <v/>
      </c>
    </row>
    <row r="819" ht="15" customHeight="1" s="24">
      <c r="A819" s="27" t="n">
        <v>1088953</v>
      </c>
      <c r="B819" s="27" t="inlineStr">
        <is>
          <t>PGO11088953</t>
        </is>
      </c>
      <c r="C819" s="27" t="n">
        <v>97</v>
      </c>
      <c r="D819" s="27" t="n">
        <v>2345</v>
      </c>
      <c r="E819" s="27" t="n">
        <v>349</v>
      </c>
      <c r="F819" s="41" t="n">
        <v>46138.32468534722</v>
      </c>
      <c r="G819" s="41" t="n">
        <v>46138.42652475694</v>
      </c>
      <c r="H819" s="41" t="n">
        <v>46139.03750409722</v>
      </c>
      <c r="I819" s="41" t="n">
        <v>46139.0490653588</v>
      </c>
      <c r="J819" s="41" t="n">
        <v>46140.46998989584</v>
      </c>
      <c r="K819" s="27" t="inlineStr">
        <is>
          <t>Collected</t>
        </is>
      </c>
      <c r="L819" s="27" t="inlineStr">
        <is>
          <t>Standard</t>
        </is>
      </c>
      <c r="M819" s="27" t="inlineStr">
        <is>
          <t>Gauteng</t>
        </is>
      </c>
      <c r="N819" s="27" t="n">
        <v>124.77</v>
      </c>
      <c r="O819" s="27" t="n">
        <v>30</v>
      </c>
      <c r="P819" s="27" t="n">
        <v>68.01000000000001</v>
      </c>
      <c r="Q819" s="42">
        <f>IF(H819="","",(H819-F819)*24)</f>
        <v/>
      </c>
      <c r="R819" s="42">
        <f>IF(J819="","",(J819-H819)*24)</f>
        <v/>
      </c>
    </row>
    <row r="820" ht="15" customHeight="1" s="24">
      <c r="A820" s="27" t="n">
        <v>1114515</v>
      </c>
      <c r="B820" s="27" t="inlineStr">
        <is>
          <t>PGO11114515</t>
        </is>
      </c>
      <c r="C820" s="27" t="n">
        <v>31</v>
      </c>
      <c r="D820" s="27" t="n">
        <v>2095</v>
      </c>
      <c r="E820" s="27" t="n">
        <v>169</v>
      </c>
      <c r="F820" s="41" t="n">
        <v>46139.29991482639</v>
      </c>
      <c r="G820" s="41" t="n">
        <v>46139.53515570602</v>
      </c>
      <c r="H820" s="41" t="n">
        <v>46141.51602376157</v>
      </c>
      <c r="I820" s="41" t="n">
        <v>46141.53888291667</v>
      </c>
      <c r="J820" s="41" t="n">
        <v>46141.91531998842</v>
      </c>
      <c r="K820" s="27" t="inlineStr">
        <is>
          <t>Collected</t>
        </is>
      </c>
      <c r="L820" s="27" t="inlineStr">
        <is>
          <t>Standard</t>
        </is>
      </c>
      <c r="M820" s="27" t="inlineStr">
        <is>
          <t>Eastern Cape</t>
        </is>
      </c>
      <c r="N820" s="27" t="n">
        <v>116.18</v>
      </c>
      <c r="O820" s="27" t="n">
        <v>0.36</v>
      </c>
      <c r="P820" s="27" t="n">
        <v>54.96</v>
      </c>
      <c r="Q820" s="42">
        <f>IF(H820="","",(H820-F820)*24)</f>
        <v/>
      </c>
      <c r="R820" s="42">
        <f>IF(J820="","",(J820-H820)*24)</f>
        <v/>
      </c>
    </row>
    <row r="821" ht="15" customHeight="1" s="24">
      <c r="A821" s="27" t="n">
        <v>1082198</v>
      </c>
      <c r="B821" s="27" t="inlineStr">
        <is>
          <t>PGO11082198</t>
        </is>
      </c>
      <c r="C821" s="27" t="n">
        <v>15</v>
      </c>
      <c r="D821" s="27" t="n">
        <v>2186</v>
      </c>
      <c r="E821" s="27" t="n">
        <v>237</v>
      </c>
      <c r="F821" s="41" t="n">
        <v>46139.9126715625</v>
      </c>
      <c r="G821" s="41" t="n">
        <v>46140.18088314815</v>
      </c>
      <c r="H821" s="41" t="n">
        <v>46141.3324115625</v>
      </c>
      <c r="I821" s="41" t="n">
        <v>46141.34375828704</v>
      </c>
      <c r="J821" s="41" t="n">
        <v>46143.95542761574</v>
      </c>
      <c r="K821" s="27" t="inlineStr">
        <is>
          <t>Collected</t>
        </is>
      </c>
      <c r="L821" s="27" t="inlineStr">
        <is>
          <t>Standard</t>
        </is>
      </c>
      <c r="M821" s="27" t="inlineStr">
        <is>
          <t>KwaZulu-Natal</t>
        </is>
      </c>
      <c r="N821" s="27" t="n">
        <v>166.55</v>
      </c>
      <c r="O821" s="27" t="n">
        <v>1.14</v>
      </c>
      <c r="P821" s="27" t="n">
        <v>63.29</v>
      </c>
      <c r="Q821" s="42">
        <f>IF(H821="","",(H821-F821)*24)</f>
        <v/>
      </c>
      <c r="R821" s="42">
        <f>IF(J821="","",(J821-H821)*24)</f>
        <v/>
      </c>
    </row>
    <row r="822" ht="15" customHeight="1" s="24">
      <c r="A822" s="27" t="n">
        <v>1115386</v>
      </c>
      <c r="B822" s="27" t="inlineStr">
        <is>
          <t>PGO11115386</t>
        </is>
      </c>
      <c r="C822" s="27" t="n">
        <v>76</v>
      </c>
      <c r="D822" s="27" t="n">
        <v>1120</v>
      </c>
      <c r="E822" s="27" t="n">
        <v>10</v>
      </c>
      <c r="F822" s="41" t="n">
        <v>46140.0007546875</v>
      </c>
      <c r="G822" s="41" t="n">
        <v>46140.25880887731</v>
      </c>
      <c r="H822" s="41" t="n">
        <v>46140.63861439815</v>
      </c>
      <c r="I822" s="41" t="n">
        <v>46140.64827295139</v>
      </c>
      <c r="J822" s="41" t="n">
        <v>46142.22955456019</v>
      </c>
      <c r="K822" s="27" t="inlineStr">
        <is>
          <t>Collected</t>
        </is>
      </c>
      <c r="L822" s="27" t="inlineStr">
        <is>
          <t>Standard</t>
        </is>
      </c>
      <c r="M822" s="27" t="inlineStr">
        <is>
          <t>Gauteng</t>
        </is>
      </c>
      <c r="N822" s="27" t="n">
        <v>446.57</v>
      </c>
      <c r="O822" s="27" t="n">
        <v>0.42</v>
      </c>
      <c r="P822" s="27" t="n">
        <v>54.81</v>
      </c>
      <c r="Q822" s="42">
        <f>IF(H822="","",(H822-F822)*24)</f>
        <v/>
      </c>
      <c r="R822" s="42">
        <f>IF(J822="","",(J822-H822)*24)</f>
        <v/>
      </c>
    </row>
    <row r="823" ht="15" customHeight="1" s="24">
      <c r="A823" s="27" t="n">
        <v>1081993</v>
      </c>
      <c r="B823" s="27" t="inlineStr">
        <is>
          <t>PGO11081993</t>
        </is>
      </c>
      <c r="C823" s="27" t="n">
        <v>6</v>
      </c>
      <c r="D823" s="27" t="n">
        <v>3450</v>
      </c>
      <c r="E823" s="27" t="n">
        <v>241</v>
      </c>
      <c r="F823" s="41" t="n">
        <v>46140.49479274305</v>
      </c>
      <c r="G823" s="41" t="n">
        <v>46141.05937634259</v>
      </c>
      <c r="H823" s="41" t="n">
        <v>46141.93299818287</v>
      </c>
      <c r="I823" s="41" t="n">
        <v>46141.96999043981</v>
      </c>
      <c r="J823" s="41" t="n">
        <v>46143.18409635417</v>
      </c>
      <c r="K823" s="27" t="inlineStr">
        <is>
          <t>Collected</t>
        </is>
      </c>
      <c r="L823" s="27" t="inlineStr">
        <is>
          <t>Standard</t>
        </is>
      </c>
      <c r="M823" s="27" t="inlineStr">
        <is>
          <t>Western Cape</t>
        </is>
      </c>
      <c r="N823" s="27" t="n">
        <v>174.58</v>
      </c>
      <c r="O823" s="27" t="n">
        <v>0.8</v>
      </c>
      <c r="P823" s="27" t="n">
        <v>38.82</v>
      </c>
      <c r="Q823" s="42">
        <f>IF(H823="","",(H823-F823)*24)</f>
        <v/>
      </c>
      <c r="R823" s="42">
        <f>IF(J823="","",(J823-H823)*24)</f>
        <v/>
      </c>
    </row>
    <row r="824" ht="15" customHeight="1" s="24">
      <c r="A824" s="27" t="n">
        <v>1117441</v>
      </c>
      <c r="B824" s="27" t="inlineStr">
        <is>
          <t>PGO11117441</t>
        </is>
      </c>
      <c r="C824" s="27" t="n">
        <v>1</v>
      </c>
      <c r="D824" s="27" t="n">
        <v>1634</v>
      </c>
      <c r="E824" s="27" t="n">
        <v>87</v>
      </c>
      <c r="F824" s="41" t="n">
        <v>46142.16284237269</v>
      </c>
      <c r="G824" s="41" t="n">
        <v>46142.23077378472</v>
      </c>
      <c r="H824" s="41" t="n">
        <v>46142.73315212963</v>
      </c>
      <c r="I824" s="41" t="n">
        <v>46142.75464974537</v>
      </c>
      <c r="J824" s="41" t="n">
        <v>46142.96118518519</v>
      </c>
      <c r="K824" s="27" t="inlineStr">
        <is>
          <t>Collected</t>
        </is>
      </c>
      <c r="L824" s="27" t="inlineStr">
        <is>
          <t>Standard</t>
        </is>
      </c>
      <c r="M824" s="27" t="inlineStr">
        <is>
          <t>Gauteng</t>
        </is>
      </c>
      <c r="N824" s="27" t="n">
        <v>645.29</v>
      </c>
      <c r="O824" s="27" t="n">
        <v>2.45</v>
      </c>
      <c r="P824" s="27" t="n">
        <v>44.2</v>
      </c>
      <c r="Q824" s="42">
        <f>IF(H824="","",(H824-F824)*24)</f>
        <v/>
      </c>
      <c r="R824" s="42">
        <f>IF(J824="","",(J824-H824)*24)</f>
        <v/>
      </c>
    </row>
    <row r="825" ht="15" customHeight="1" s="24">
      <c r="A825" s="27" t="n">
        <v>1132595</v>
      </c>
      <c r="B825" s="27" t="inlineStr">
        <is>
          <t>PGO11132595</t>
        </is>
      </c>
      <c r="C825" s="27" t="n">
        <v>1</v>
      </c>
      <c r="D825" s="27" t="n">
        <v>1391</v>
      </c>
      <c r="E825" s="27" t="n">
        <v>442</v>
      </c>
      <c r="F825" s="41" t="n">
        <v>46144.62972833333</v>
      </c>
      <c r="G825" s="41" t="n">
        <v>46144.80300293981</v>
      </c>
      <c r="H825" s="41" t="n">
        <v>46145.73394924768</v>
      </c>
      <c r="I825" s="41" t="n">
        <v>46145.75302340278</v>
      </c>
      <c r="J825" s="41" t="n">
        <v>46147.28824326389</v>
      </c>
      <c r="K825" s="27" t="inlineStr">
        <is>
          <t>Collected</t>
        </is>
      </c>
      <c r="L825" s="27" t="inlineStr">
        <is>
          <t>Standard</t>
        </is>
      </c>
      <c r="M825" s="27" t="inlineStr">
        <is>
          <t>KwaZulu-Natal</t>
        </is>
      </c>
      <c r="N825" s="27" t="n">
        <v>667.39</v>
      </c>
      <c r="O825" s="27" t="n">
        <v>0.23</v>
      </c>
      <c r="P825" s="27" t="n">
        <v>46.23</v>
      </c>
      <c r="Q825" s="42">
        <f>IF(H825="","",(H825-F825)*24)</f>
        <v/>
      </c>
      <c r="R825" s="42">
        <f>IF(J825="","",(J825-H825)*24)</f>
        <v/>
      </c>
    </row>
    <row r="826" ht="15" customHeight="1" s="24">
      <c r="A826" s="27" t="n">
        <v>1150647</v>
      </c>
      <c r="B826" s="27" t="inlineStr">
        <is>
          <t>PGO11150647</t>
        </is>
      </c>
      <c r="C826" s="27" t="n">
        <v>20</v>
      </c>
      <c r="D826" s="27" t="n">
        <v>14</v>
      </c>
      <c r="E826" s="27" t="n">
        <v>167</v>
      </c>
      <c r="F826" s="41" t="n">
        <v>46145.01092306713</v>
      </c>
      <c r="G826" s="41" t="n">
        <v>46145.34249284722</v>
      </c>
      <c r="H826" s="41" t="n">
        <v>46146.70831863426</v>
      </c>
      <c r="I826" s="41" t="n">
        <v>46146.75921247685</v>
      </c>
      <c r="J826" s="41" t="n">
        <v>46147.07044879629</v>
      </c>
      <c r="K826" s="27" t="inlineStr">
        <is>
          <t>Collected</t>
        </is>
      </c>
      <c r="L826" s="27" t="inlineStr">
        <is>
          <t>Standard</t>
        </is>
      </c>
      <c r="M826" s="27" t="inlineStr">
        <is>
          <t>Western Cape</t>
        </is>
      </c>
      <c r="N826" s="27" t="n">
        <v>57.24</v>
      </c>
      <c r="O826" s="27" t="n">
        <v>1.22</v>
      </c>
      <c r="P826" s="27" t="n">
        <v>58.5</v>
      </c>
      <c r="Q826" s="42">
        <f>IF(H826="","",(H826-F826)*24)</f>
        <v/>
      </c>
      <c r="R826" s="42">
        <f>IF(J826="","",(J826-H826)*24)</f>
        <v/>
      </c>
    </row>
    <row r="827" ht="15" customHeight="1" s="24">
      <c r="A827" s="27" t="n">
        <v>1120622</v>
      </c>
      <c r="B827" s="27" t="inlineStr">
        <is>
          <t>PGO11120622</t>
        </is>
      </c>
      <c r="C827" s="27" t="n">
        <v>113</v>
      </c>
      <c r="D827" s="27" t="n">
        <v>3080</v>
      </c>
      <c r="E827" s="27" t="n">
        <v>310</v>
      </c>
      <c r="F827" s="41" t="n">
        <v>46147.60623414352</v>
      </c>
      <c r="G827" s="41" t="n">
        <v>46147.93375841435</v>
      </c>
      <c r="H827" s="41" t="n">
        <v>46149.62450788194</v>
      </c>
      <c r="I827" s="41" t="n">
        <v>46149.63963516204</v>
      </c>
      <c r="J827" s="41" t="n">
        <v>46152.14377908565</v>
      </c>
      <c r="K827" s="27" t="inlineStr">
        <is>
          <t>Collected</t>
        </is>
      </c>
      <c r="L827" s="27" t="inlineStr">
        <is>
          <t>Standard</t>
        </is>
      </c>
      <c r="M827" s="27" t="inlineStr">
        <is>
          <t>Western Cape</t>
        </is>
      </c>
      <c r="N827" s="27" t="n">
        <v>1021.37</v>
      </c>
      <c r="O827" s="27" t="n">
        <v>0.58</v>
      </c>
      <c r="P827" s="27" t="n">
        <v>62.83</v>
      </c>
      <c r="Q827" s="42">
        <f>IF(H827="","",(H827-F827)*24)</f>
        <v/>
      </c>
      <c r="R827" s="42">
        <f>IF(J827="","",(J827-H827)*24)</f>
        <v/>
      </c>
    </row>
    <row r="828" ht="15" customHeight="1" s="24">
      <c r="A828" s="27" t="n">
        <v>1140451</v>
      </c>
      <c r="B828" s="27" t="inlineStr">
        <is>
          <t>PGO11140451</t>
        </is>
      </c>
      <c r="C828" s="27" t="n">
        <v>5</v>
      </c>
      <c r="D828" s="27" t="n">
        <v>1702</v>
      </c>
      <c r="E828" s="27" t="n">
        <v>206</v>
      </c>
      <c r="F828" s="41" t="n">
        <v>46147.75937442129</v>
      </c>
      <c r="G828" s="41" t="n">
        <v>46148.06376454861</v>
      </c>
      <c r="H828" s="41" t="n">
        <v>46148.31238396991</v>
      </c>
      <c r="I828" s="41" t="n">
        <v>46148.36501918981</v>
      </c>
      <c r="J828" s="41" t="n">
        <v>46150.05892306713</v>
      </c>
      <c r="K828" s="27" t="inlineStr">
        <is>
          <t>Collected</t>
        </is>
      </c>
      <c r="L828" s="27" t="inlineStr">
        <is>
          <t>Standard</t>
        </is>
      </c>
      <c r="M828" s="27" t="inlineStr">
        <is>
          <t>Eastern Cape</t>
        </is>
      </c>
      <c r="N828" s="27" t="n">
        <v>364.9</v>
      </c>
      <c r="O828" s="27" t="n">
        <v>1.08</v>
      </c>
      <c r="P828" s="27" t="n">
        <v>59.26</v>
      </c>
      <c r="Q828" s="42">
        <f>IF(H828="","",(H828-F828)*24)</f>
        <v/>
      </c>
      <c r="R828" s="42">
        <f>IF(J828="","",(J828-H828)*24)</f>
        <v/>
      </c>
    </row>
    <row r="829" ht="15" customHeight="1" s="24">
      <c r="A829" s="27" t="n">
        <v>1133381</v>
      </c>
      <c r="B829" s="27" t="inlineStr">
        <is>
          <t>PGO11133381</t>
        </is>
      </c>
      <c r="C829" s="27" t="n">
        <v>2</v>
      </c>
      <c r="D829" s="27" t="n">
        <v>450</v>
      </c>
      <c r="E829" s="27" t="n">
        <v>26</v>
      </c>
      <c r="F829" s="41" t="n">
        <v>46148.4139525463</v>
      </c>
      <c r="G829" s="41" t="n">
        <v>46148.67930855324</v>
      </c>
      <c r="H829" s="41" t="n">
        <v>46149.2500980787</v>
      </c>
      <c r="I829" s="41" t="n">
        <v>46149.30575835648</v>
      </c>
      <c r="J829" s="41" t="n">
        <v>46150.00842694444</v>
      </c>
      <c r="K829" s="27" t="inlineStr">
        <is>
          <t>Collected</t>
        </is>
      </c>
      <c r="L829" s="27" t="inlineStr">
        <is>
          <t>Express</t>
        </is>
      </c>
      <c r="M829" s="27" t="inlineStr">
        <is>
          <t>Free State</t>
        </is>
      </c>
      <c r="N829" s="27" t="n">
        <v>88.8</v>
      </c>
      <c r="O829" s="27" t="n">
        <v>0.72</v>
      </c>
      <c r="P829" s="27" t="n">
        <v>48.92</v>
      </c>
      <c r="Q829" s="42">
        <f>IF(H829="","",(H829-F829)*24)</f>
        <v/>
      </c>
      <c r="R829" s="42">
        <f>IF(J829="","",(J829-H829)*24)</f>
        <v/>
      </c>
    </row>
    <row r="830" ht="15" customHeight="1" s="24">
      <c r="A830" s="27" t="n">
        <v>1153888</v>
      </c>
      <c r="B830" s="27" t="inlineStr">
        <is>
          <t>PGO11153888</t>
        </is>
      </c>
      <c r="C830" s="27" t="n">
        <v>7</v>
      </c>
      <c r="D830" s="27" t="n">
        <v>1192</v>
      </c>
      <c r="E830" s="27" t="n">
        <v>259</v>
      </c>
      <c r="F830" s="41" t="n">
        <v>46150.35791696759</v>
      </c>
      <c r="G830" s="41" t="n">
        <v>46151.16850190972</v>
      </c>
      <c r="H830" s="41" t="n">
        <v>46151.6994993287</v>
      </c>
      <c r="I830" s="41" t="n">
        <v>46151.75168857639</v>
      </c>
      <c r="J830" s="41" t="n">
        <v>46153.68431502315</v>
      </c>
      <c r="K830" s="27" t="inlineStr">
        <is>
          <t>Collected</t>
        </is>
      </c>
      <c r="L830" s="27" t="inlineStr">
        <is>
          <t>Standard</t>
        </is>
      </c>
      <c r="M830" s="27" t="inlineStr">
        <is>
          <t>Northern Cape</t>
        </is>
      </c>
      <c r="N830" s="27" t="n">
        <v>228.04</v>
      </c>
      <c r="O830" s="27" t="n">
        <v>0.57</v>
      </c>
      <c r="P830" s="27" t="n">
        <v>50.41</v>
      </c>
      <c r="Q830" s="42">
        <f>IF(H830="","",(H830-F830)*24)</f>
        <v/>
      </c>
      <c r="R830" s="42">
        <f>IF(J830="","",(J830-H830)*24)</f>
        <v/>
      </c>
    </row>
    <row r="831" ht="15" customHeight="1" s="24">
      <c r="A831" s="27" t="n">
        <v>1144945</v>
      </c>
      <c r="B831" s="27" t="inlineStr">
        <is>
          <t>PGO11144945</t>
        </is>
      </c>
      <c r="C831" s="27" t="n">
        <v>2</v>
      </c>
      <c r="D831" s="27" t="n">
        <v>846</v>
      </c>
      <c r="E831" s="27" t="n">
        <v>341</v>
      </c>
      <c r="F831" s="41" t="n">
        <v>46150.52922706019</v>
      </c>
      <c r="G831" s="41" t="n">
        <v>46150.71173748843</v>
      </c>
      <c r="H831" s="41" t="n">
        <v>46151.25039048611</v>
      </c>
      <c r="I831" s="41" t="n">
        <v>46151.2550728588</v>
      </c>
      <c r="J831" s="41" t="n">
        <v>46153.95877180556</v>
      </c>
      <c r="K831" s="27" t="inlineStr">
        <is>
          <t>Collected</t>
        </is>
      </c>
      <c r="L831" s="27" t="inlineStr">
        <is>
          <t>Standard</t>
        </is>
      </c>
      <c r="M831" s="27" t="inlineStr">
        <is>
          <t>Limpopo</t>
        </is>
      </c>
      <c r="N831" s="27" t="n">
        <v>352.99</v>
      </c>
      <c r="O831" s="27" t="n">
        <v>2.84</v>
      </c>
      <c r="P831" s="27" t="n">
        <v>49.88</v>
      </c>
      <c r="Q831" s="42">
        <f>IF(H831="","",(H831-F831)*24)</f>
        <v/>
      </c>
      <c r="R831" s="42">
        <f>IF(J831="","",(J831-H831)*24)</f>
        <v/>
      </c>
    </row>
    <row r="832" ht="15" customHeight="1" s="24">
      <c r="A832" s="27" t="n">
        <v>1136131</v>
      </c>
      <c r="B832" s="27" t="inlineStr">
        <is>
          <t>PGO11136131</t>
        </is>
      </c>
      <c r="C832" s="27" t="n">
        <v>12</v>
      </c>
      <c r="D832" s="27" t="n">
        <v>1922</v>
      </c>
      <c r="E832" s="27" t="n">
        <v>70</v>
      </c>
      <c r="F832" s="41" t="n">
        <v>46150.74866144676</v>
      </c>
      <c r="G832" s="41" t="n">
        <v>46150.92933488426</v>
      </c>
      <c r="H832" s="41" t="n">
        <v>46152.17914820602</v>
      </c>
      <c r="I832" s="41" t="n">
        <v>46152.1914021875</v>
      </c>
      <c r="J832" s="41" t="n">
        <v>46153.45511622685</v>
      </c>
      <c r="K832" s="27" t="inlineStr">
        <is>
          <t>Collected</t>
        </is>
      </c>
      <c r="L832" s="27" t="inlineStr">
        <is>
          <t>Standard</t>
        </is>
      </c>
      <c r="M832" s="27" t="inlineStr">
        <is>
          <t>KwaZulu-Natal</t>
        </is>
      </c>
      <c r="N832" s="27" t="n">
        <v>169.28</v>
      </c>
      <c r="O832" s="27" t="n">
        <v>1.08</v>
      </c>
      <c r="P832" s="27" t="n">
        <v>69.61</v>
      </c>
      <c r="Q832" s="42">
        <f>IF(H832="","",(H832-F832)*24)</f>
        <v/>
      </c>
      <c r="R832" s="42">
        <f>IF(J832="","",(J832-H832)*24)</f>
        <v/>
      </c>
    </row>
    <row r="833" ht="15" customHeight="1" s="24">
      <c r="A833" s="27" t="n">
        <v>1131917</v>
      </c>
      <c r="B833" s="27" t="inlineStr">
        <is>
          <t>PGO11131917</t>
        </is>
      </c>
      <c r="C833" s="27" t="n">
        <v>102</v>
      </c>
      <c r="D833" s="27" t="n">
        <v>2169</v>
      </c>
      <c r="E833" s="27" t="n">
        <v>466</v>
      </c>
      <c r="F833" s="41" t="n">
        <v>46151.7011116088</v>
      </c>
      <c r="G833" s="41" t="n">
        <v>46151.80404199074</v>
      </c>
      <c r="H833" s="41" t="n">
        <v>46152.63042013889</v>
      </c>
      <c r="I833" s="41" t="n">
        <v>46152.68378513889</v>
      </c>
      <c r="J833" s="41" t="n">
        <v>46152.86858021991</v>
      </c>
      <c r="K833" s="27" t="inlineStr">
        <is>
          <t>Collected</t>
        </is>
      </c>
      <c r="L833" s="27" t="inlineStr">
        <is>
          <t>Standard</t>
        </is>
      </c>
      <c r="M833" s="27" t="inlineStr">
        <is>
          <t>Western Cape</t>
        </is>
      </c>
      <c r="N833" s="27" t="n">
        <v>399.19</v>
      </c>
      <c r="O833" s="27" t="n">
        <v>0.24</v>
      </c>
      <c r="P833" s="27" t="n">
        <v>61.28</v>
      </c>
      <c r="Q833" s="42">
        <f>IF(H833="","",(H833-F833)*24)</f>
        <v/>
      </c>
      <c r="R833" s="42">
        <f>IF(J833="","",(J833-H833)*24)</f>
        <v/>
      </c>
    </row>
    <row r="834" ht="15" customHeight="1" s="24">
      <c r="A834" s="27" t="n">
        <v>1148286</v>
      </c>
      <c r="B834" s="27" t="inlineStr">
        <is>
          <t>PGO11148286</t>
        </is>
      </c>
      <c r="C834" s="27" t="n">
        <v>3</v>
      </c>
      <c r="D834" s="27" t="n">
        <v>1807</v>
      </c>
      <c r="E834" s="27" t="n">
        <v>43</v>
      </c>
      <c r="F834" s="41" t="n">
        <v>46152.48627946759</v>
      </c>
      <c r="G834" s="41" t="n">
        <v>46152.54554612269</v>
      </c>
      <c r="H834" s="41" t="n">
        <v>46153.43358809028</v>
      </c>
      <c r="I834" s="41" t="n">
        <v>46153.47726133102</v>
      </c>
      <c r="J834" s="41" t="n">
        <v>46153.64465861111</v>
      </c>
      <c r="K834" s="27" t="inlineStr">
        <is>
          <t>Collected</t>
        </is>
      </c>
      <c r="L834" s="27" t="inlineStr">
        <is>
          <t>Standard</t>
        </is>
      </c>
      <c r="M834" s="27" t="inlineStr">
        <is>
          <t>KwaZulu-Natal</t>
        </is>
      </c>
      <c r="N834" s="27" t="n">
        <v>142.45</v>
      </c>
      <c r="O834" s="27" t="n">
        <v>0.6</v>
      </c>
      <c r="P834" s="27" t="n">
        <v>38.26</v>
      </c>
      <c r="Q834" s="42">
        <f>IF(H834="","",(H834-F834)*24)</f>
        <v/>
      </c>
      <c r="R834" s="42">
        <f>IF(J834="","",(J834-H834)*24)</f>
        <v/>
      </c>
    </row>
    <row r="835" ht="15" customHeight="1" s="24">
      <c r="A835" s="27" t="n">
        <v>1143141</v>
      </c>
      <c r="B835" s="27" t="inlineStr">
        <is>
          <t>PGO11143141</t>
        </is>
      </c>
      <c r="C835" s="27" t="n">
        <v>6</v>
      </c>
      <c r="D835" s="27" t="n">
        <v>3640</v>
      </c>
      <c r="E835" s="27" t="n">
        <v>485</v>
      </c>
      <c r="F835" s="41" t="n">
        <v>46152.70587871528</v>
      </c>
      <c r="G835" s="41" t="n">
        <v>46152.95070796296</v>
      </c>
      <c r="H835" s="41" t="n">
        <v>46153.88300945602</v>
      </c>
      <c r="I835" s="41" t="n">
        <v>46153.89229564815</v>
      </c>
      <c r="J835" s="41" t="n">
        <v>46155.08934204861</v>
      </c>
      <c r="K835" s="27" t="inlineStr">
        <is>
          <t>Collected</t>
        </is>
      </c>
      <c r="L835" s="27" t="inlineStr">
        <is>
          <t>Standard</t>
        </is>
      </c>
      <c r="M835" s="27" t="inlineStr">
        <is>
          <t>KwaZulu-Natal</t>
        </is>
      </c>
      <c r="N835" s="27" t="n">
        <v>130.55</v>
      </c>
      <c r="O835" s="27" t="n">
        <v>0.29</v>
      </c>
      <c r="P835" s="27" t="n">
        <v>38.48</v>
      </c>
      <c r="Q835" s="42">
        <f>IF(H835="","",(H835-F835)*24)</f>
        <v/>
      </c>
      <c r="R835" s="42">
        <f>IF(J835="","",(J835-H835)*24)</f>
        <v/>
      </c>
    </row>
    <row r="836" ht="15" customHeight="1" s="24">
      <c r="A836" s="27" t="n">
        <v>1122143</v>
      </c>
      <c r="B836" s="27" t="inlineStr">
        <is>
          <t>PGO11122143</t>
        </is>
      </c>
      <c r="C836" s="27" t="n">
        <v>23</v>
      </c>
      <c r="D836" s="27" t="n">
        <v>2709</v>
      </c>
      <c r="E836" s="27" t="n">
        <v>252</v>
      </c>
      <c r="F836" s="41" t="n">
        <v>46154.72622633102</v>
      </c>
      <c r="G836" s="41" t="n">
        <v>46154.74770186342</v>
      </c>
      <c r="H836" s="41" t="n">
        <v>46156.15036563657</v>
      </c>
      <c r="I836" s="41" t="n">
        <v>46156.1927191088</v>
      </c>
      <c r="J836" s="41" t="n">
        <v>46157.29904575231</v>
      </c>
      <c r="K836" s="27" t="inlineStr">
        <is>
          <t>Collected</t>
        </is>
      </c>
      <c r="L836" s="27" t="inlineStr">
        <is>
          <t>Standard</t>
        </is>
      </c>
      <c r="M836" s="27" t="inlineStr">
        <is>
          <t>Mpumalanga</t>
        </is>
      </c>
      <c r="N836" s="27" t="n">
        <v>612.91</v>
      </c>
      <c r="O836" s="27" t="n">
        <v>0.44</v>
      </c>
      <c r="P836" s="27" t="n">
        <v>51.19</v>
      </c>
      <c r="Q836" s="42">
        <f>IF(H836="","",(H836-F836)*24)</f>
        <v/>
      </c>
      <c r="R836" s="42">
        <f>IF(J836="","",(J836-H836)*24)</f>
        <v/>
      </c>
    </row>
    <row r="837" ht="15" customHeight="1" s="24">
      <c r="A837" s="27" t="n">
        <v>1138129</v>
      </c>
      <c r="B837" s="27" t="inlineStr">
        <is>
          <t>PGO11138129</t>
        </is>
      </c>
      <c r="C837" s="27" t="n">
        <v>4</v>
      </c>
      <c r="D837" s="27" t="n">
        <v>219</v>
      </c>
      <c r="E837" s="27" t="n">
        <v>347</v>
      </c>
      <c r="F837" s="41" t="n">
        <v>46156.5974240625</v>
      </c>
      <c r="G837" s="41" t="n">
        <v>46156.69489825232</v>
      </c>
      <c r="H837" s="41" t="n">
        <v>46157.03575027778</v>
      </c>
      <c r="I837" s="41" t="n">
        <v>46157.05556444445</v>
      </c>
      <c r="J837" s="41" t="n">
        <v>46158.98677045139</v>
      </c>
      <c r="K837" s="27" t="inlineStr">
        <is>
          <t>Collected</t>
        </is>
      </c>
      <c r="L837" s="27" t="inlineStr">
        <is>
          <t>Standard</t>
        </is>
      </c>
      <c r="M837" s="27" t="inlineStr">
        <is>
          <t>Free State</t>
        </is>
      </c>
      <c r="N837" s="27" t="n">
        <v>592.41</v>
      </c>
      <c r="O837" s="27" t="n">
        <v>0.96</v>
      </c>
      <c r="P837" s="27" t="n">
        <v>44.24</v>
      </c>
      <c r="Q837" s="42">
        <f>IF(H837="","",(H837-F837)*24)</f>
        <v/>
      </c>
      <c r="R837" s="42">
        <f>IF(J837="","",(J837-H837)*24)</f>
        <v/>
      </c>
    </row>
    <row r="838" ht="15" customHeight="1" s="24">
      <c r="A838" s="27" t="n">
        <v>1127824</v>
      </c>
      <c r="B838" s="27" t="inlineStr">
        <is>
          <t>PGO11127824</t>
        </is>
      </c>
      <c r="C838" s="27" t="n">
        <v>1</v>
      </c>
      <c r="D838" s="27" t="n">
        <v>3907</v>
      </c>
      <c r="E838" s="27" t="n">
        <v>64</v>
      </c>
      <c r="F838" s="41" t="n">
        <v>46156.66373728009</v>
      </c>
      <c r="G838" s="41" t="n">
        <v>46156.94467125</v>
      </c>
      <c r="H838" s="41" t="n">
        <v>46158.05247682871</v>
      </c>
      <c r="I838" s="41" t="n">
        <v>46158.10760336806</v>
      </c>
      <c r="J838" s="41" t="n">
        <v>46158.51063145833</v>
      </c>
      <c r="K838" s="27" t="inlineStr">
        <is>
          <t>Collected</t>
        </is>
      </c>
      <c r="L838" s="27" t="inlineStr">
        <is>
          <t>Standard</t>
        </is>
      </c>
      <c r="M838" s="27" t="inlineStr">
        <is>
          <t>KwaZulu-Natal</t>
        </is>
      </c>
      <c r="N838" s="27" t="n">
        <v>1131.7</v>
      </c>
      <c r="O838" s="27" t="n">
        <v>0.66</v>
      </c>
      <c r="P838" s="27" t="n">
        <v>45.99</v>
      </c>
      <c r="Q838" s="42">
        <f>IF(H838="","",(H838-F838)*24)</f>
        <v/>
      </c>
      <c r="R838" s="42">
        <f>IF(J838="","",(J838-H838)*24)</f>
        <v/>
      </c>
    </row>
    <row r="839" ht="15" customHeight="1" s="24">
      <c r="A839" s="27" t="n">
        <v>1136163</v>
      </c>
      <c r="B839" s="27" t="inlineStr">
        <is>
          <t>PGO11136163</t>
        </is>
      </c>
      <c r="C839" s="27" t="n">
        <v>145</v>
      </c>
      <c r="D839" s="27" t="n">
        <v>819</v>
      </c>
      <c r="E839" s="27" t="n">
        <v>186</v>
      </c>
      <c r="F839" s="41" t="n">
        <v>46160.03458912037</v>
      </c>
      <c r="G839" s="41" t="n">
        <v>46160.40620987269</v>
      </c>
      <c r="H839" s="41" t="n">
        <v>46161.68693761574</v>
      </c>
      <c r="I839" s="41" t="n">
        <v>46161.70069314814</v>
      </c>
      <c r="J839" s="41" t="n">
        <v>46161.74041868056</v>
      </c>
      <c r="K839" s="27" t="inlineStr">
        <is>
          <t>Collected</t>
        </is>
      </c>
      <c r="L839" s="27" t="inlineStr">
        <is>
          <t>Standard</t>
        </is>
      </c>
      <c r="M839" s="27" t="inlineStr">
        <is>
          <t>Eastern Cape</t>
        </is>
      </c>
      <c r="N839" s="27" t="n">
        <v>325.88</v>
      </c>
      <c r="O839" s="27" t="n">
        <v>6.45</v>
      </c>
      <c r="P839" s="27" t="n">
        <v>77.09</v>
      </c>
      <c r="Q839" s="42">
        <f>IF(H839="","",(H839-F839)*24)</f>
        <v/>
      </c>
      <c r="R839" s="42">
        <f>IF(J839="","",(J839-H839)*24)</f>
        <v/>
      </c>
    </row>
    <row r="840" ht="15" customHeight="1" s="24">
      <c r="A840" s="27" t="n">
        <v>1150853</v>
      </c>
      <c r="B840" s="27" t="inlineStr">
        <is>
          <t>PGO11150853</t>
        </is>
      </c>
      <c r="C840" s="27" t="n">
        <v>90</v>
      </c>
      <c r="D840" s="27" t="n">
        <v>1706</v>
      </c>
      <c r="E840" s="27" t="n">
        <v>27</v>
      </c>
      <c r="F840" s="41" t="n">
        <v>46161.27389594907</v>
      </c>
      <c r="G840" s="41" t="n">
        <v>46161.48439663195</v>
      </c>
      <c r="H840" s="41" t="n">
        <v>46162.12116954861</v>
      </c>
      <c r="I840" s="41" t="n">
        <v>46162.14956952546</v>
      </c>
      <c r="J840" s="41" t="n">
        <v>46162.22461321759</v>
      </c>
      <c r="K840" s="27" t="inlineStr">
        <is>
          <t>Collected</t>
        </is>
      </c>
      <c r="L840" s="27" t="inlineStr">
        <is>
          <t>Standard</t>
        </is>
      </c>
      <c r="M840" s="27" t="inlineStr">
        <is>
          <t>Western Cape</t>
        </is>
      </c>
      <c r="N840" s="27" t="n">
        <v>118.17</v>
      </c>
      <c r="O840" s="27" t="n">
        <v>0.66</v>
      </c>
      <c r="P840" s="27" t="n">
        <v>63.36</v>
      </c>
      <c r="Q840" s="42">
        <f>IF(H840="","",(H840-F840)*24)</f>
        <v/>
      </c>
      <c r="R840" s="42">
        <f>IF(J840="","",(J840-H840)*24)</f>
        <v/>
      </c>
    </row>
    <row r="841" ht="15" customHeight="1" s="24">
      <c r="A841" s="27" t="n">
        <v>1120072</v>
      </c>
      <c r="B841" s="27" t="inlineStr">
        <is>
          <t>PGO11120072</t>
        </is>
      </c>
      <c r="C841" s="27" t="n">
        <v>2</v>
      </c>
      <c r="D841" s="27" t="n">
        <v>1277</v>
      </c>
      <c r="E841" s="27" t="n">
        <v>78</v>
      </c>
      <c r="F841" s="41" t="n">
        <v>46161.88375548611</v>
      </c>
      <c r="G841" s="41" t="n">
        <v>46162.0869716088</v>
      </c>
      <c r="H841" s="41" t="n">
        <v>46162.393595</v>
      </c>
      <c r="I841" s="41" t="n">
        <v>46162.40244489583</v>
      </c>
      <c r="J841" s="41" t="n">
        <v>46162.59216842592</v>
      </c>
      <c r="K841" s="27" t="inlineStr">
        <is>
          <t>Collected</t>
        </is>
      </c>
      <c r="L841" s="27" t="inlineStr">
        <is>
          <t>Standard</t>
        </is>
      </c>
      <c r="M841" s="27" t="inlineStr">
        <is>
          <t>Gauteng</t>
        </is>
      </c>
      <c r="N841" s="27" t="n">
        <v>992.73</v>
      </c>
      <c r="O841" s="27" t="n">
        <v>2.12</v>
      </c>
      <c r="P841" s="27" t="n">
        <v>47.9</v>
      </c>
      <c r="Q841" s="42">
        <f>IF(H841="","",(H841-F841)*24)</f>
        <v/>
      </c>
      <c r="R841" s="42">
        <f>IF(J841="","",(J841-H841)*24)</f>
        <v/>
      </c>
    </row>
    <row r="842" ht="15" customHeight="1" s="24">
      <c r="A842" s="27" t="n">
        <v>1120862</v>
      </c>
      <c r="B842" s="27" t="inlineStr">
        <is>
          <t>PGO11120862</t>
        </is>
      </c>
      <c r="C842" s="27" t="n">
        <v>138</v>
      </c>
      <c r="D842" s="27" t="n">
        <v>2057</v>
      </c>
      <c r="E842" s="27" t="n">
        <v>392</v>
      </c>
      <c r="F842" s="41" t="n">
        <v>46162.82281364583</v>
      </c>
      <c r="G842" s="41" t="n">
        <v>46162.93318868055</v>
      </c>
      <c r="H842" s="41" t="n">
        <v>46164.87008866898</v>
      </c>
      <c r="I842" s="41" t="n">
        <v>46164.92924939815</v>
      </c>
      <c r="J842" s="41" t="n">
        <v>46165.28387883102</v>
      </c>
      <c r="K842" s="27" t="inlineStr">
        <is>
          <t>Collected</t>
        </is>
      </c>
      <c r="L842" s="27" t="inlineStr">
        <is>
          <t>Standard</t>
        </is>
      </c>
      <c r="M842" s="27" t="inlineStr">
        <is>
          <t>Western Cape</t>
        </is>
      </c>
      <c r="N842" s="27" t="n">
        <v>463.53</v>
      </c>
      <c r="O842" s="27" t="n">
        <v>3.98</v>
      </c>
      <c r="P842" s="27" t="n">
        <v>57.28</v>
      </c>
      <c r="Q842" s="42">
        <f>IF(H842="","",(H842-F842)*24)</f>
        <v/>
      </c>
      <c r="R842" s="42">
        <f>IF(J842="","",(J842-H842)*24)</f>
        <v/>
      </c>
    </row>
    <row r="843" ht="15" customHeight="1" s="24">
      <c r="A843" s="27" t="n">
        <v>1134899</v>
      </c>
      <c r="B843" s="27" t="inlineStr">
        <is>
          <t>PGO11134899</t>
        </is>
      </c>
      <c r="C843" s="27" t="n">
        <v>28</v>
      </c>
      <c r="D843" s="27" t="n">
        <v>2502</v>
      </c>
      <c r="E843" s="27" t="n">
        <v>53</v>
      </c>
      <c r="F843" s="41" t="n">
        <v>46162.84887753472</v>
      </c>
      <c r="G843" s="41" t="n">
        <v>46163.03901303241</v>
      </c>
      <c r="H843" s="41" t="n">
        <v>46163.71694980324</v>
      </c>
      <c r="I843" s="41" t="n">
        <v>46163.72218329861</v>
      </c>
      <c r="J843" s="41" t="n">
        <v>46164.15825436343</v>
      </c>
      <c r="K843" s="27" t="inlineStr">
        <is>
          <t>Collected</t>
        </is>
      </c>
      <c r="L843" s="27" t="inlineStr">
        <is>
          <t>Standard</t>
        </is>
      </c>
      <c r="M843" s="27" t="inlineStr">
        <is>
          <t>Limpopo</t>
        </is>
      </c>
      <c r="N843" s="27" t="n">
        <v>560.5</v>
      </c>
      <c r="O843" s="27" t="n">
        <v>0.24</v>
      </c>
      <c r="P843" s="27" t="n">
        <v>65.11</v>
      </c>
      <c r="Q843" s="42">
        <f>IF(H843="","",(H843-F843)*24)</f>
        <v/>
      </c>
      <c r="R843" s="42">
        <f>IF(J843="","",(J843-H843)*24)</f>
        <v/>
      </c>
    </row>
    <row r="844" ht="15" customHeight="1" s="24">
      <c r="A844" s="27" t="n">
        <v>1159080</v>
      </c>
      <c r="B844" s="27" t="inlineStr">
        <is>
          <t>PGO11159080</t>
        </is>
      </c>
      <c r="C844" s="27" t="n">
        <v>94</v>
      </c>
      <c r="D844" s="27" t="n">
        <v>2396</v>
      </c>
      <c r="E844" s="27" t="n">
        <v>305</v>
      </c>
      <c r="F844" s="41" t="n">
        <v>46163.12420665509</v>
      </c>
      <c r="G844" s="41" t="n">
        <v>46163.32142070602</v>
      </c>
      <c r="H844" s="41" t="n">
        <v>46164.16418866898</v>
      </c>
      <c r="I844" s="41" t="n">
        <v>46164.17940814815</v>
      </c>
      <c r="J844" s="41" t="n">
        <v>46165.25310590278</v>
      </c>
      <c r="K844" s="27" t="inlineStr">
        <is>
          <t>Collected</t>
        </is>
      </c>
      <c r="L844" s="27" t="inlineStr">
        <is>
          <t>Standard</t>
        </is>
      </c>
      <c r="M844" s="27" t="inlineStr">
        <is>
          <t>KwaZulu-Natal</t>
        </is>
      </c>
      <c r="N844" s="27" t="n">
        <v>522.14</v>
      </c>
      <c r="O844" s="27" t="n">
        <v>3.78</v>
      </c>
      <c r="P844" s="27" t="n">
        <v>61.6</v>
      </c>
      <c r="Q844" s="42">
        <f>IF(H844="","",(H844-F844)*24)</f>
        <v/>
      </c>
      <c r="R844" s="42">
        <f>IF(J844="","",(J844-H844)*24)</f>
        <v/>
      </c>
    </row>
    <row r="845" ht="15" customHeight="1" s="24">
      <c r="A845" s="27" t="n">
        <v>1145220</v>
      </c>
      <c r="B845" s="27" t="inlineStr">
        <is>
          <t>PGO11145220</t>
        </is>
      </c>
      <c r="C845" s="27" t="n">
        <v>46</v>
      </c>
      <c r="D845" s="27" t="n">
        <v>1323</v>
      </c>
      <c r="E845" s="27" t="n">
        <v>22</v>
      </c>
      <c r="F845" s="41" t="n">
        <v>46163.29899957176</v>
      </c>
      <c r="G845" s="41" t="n">
        <v>46163.52443523148</v>
      </c>
      <c r="H845" s="41" t="n">
        <v>46164.21100916667</v>
      </c>
      <c r="I845" s="41" t="n">
        <v>46164.2150875</v>
      </c>
      <c r="J845" s="41" t="n">
        <v>46164.84471622685</v>
      </c>
      <c r="K845" s="27" t="inlineStr">
        <is>
          <t>Collected</t>
        </is>
      </c>
      <c r="L845" s="27" t="inlineStr">
        <is>
          <t>Standard</t>
        </is>
      </c>
      <c r="M845" s="27" t="inlineStr">
        <is>
          <t>Gauteng</t>
        </is>
      </c>
      <c r="N845" s="27" t="n">
        <v>1083.7</v>
      </c>
      <c r="O845" s="27" t="n">
        <v>1.02</v>
      </c>
      <c r="P845" s="27" t="n">
        <v>53.18</v>
      </c>
      <c r="Q845" s="42">
        <f>IF(H845="","",(H845-F845)*24)</f>
        <v/>
      </c>
      <c r="R845" s="42">
        <f>IF(J845="","",(J845-H845)*24)</f>
        <v/>
      </c>
    </row>
    <row r="846" ht="15" customHeight="1" s="24">
      <c r="A846" s="27" t="n">
        <v>1120489</v>
      </c>
      <c r="B846" s="27" t="inlineStr">
        <is>
          <t>PGO11120489</t>
        </is>
      </c>
      <c r="C846" s="27" t="n">
        <v>2</v>
      </c>
      <c r="D846" s="27" t="n">
        <v>3695</v>
      </c>
      <c r="E846" s="27" t="n">
        <v>418</v>
      </c>
      <c r="F846" s="41" t="n">
        <v>46164.91290790509</v>
      </c>
      <c r="G846" s="41" t="n">
        <v>46165.12432953704</v>
      </c>
      <c r="H846" s="41" t="n">
        <v>46166.82133592592</v>
      </c>
      <c r="I846" s="41" t="n">
        <v>46166.85643510416</v>
      </c>
      <c r="J846" s="41" t="n">
        <v>46168.15958056713</v>
      </c>
      <c r="K846" s="27" t="inlineStr">
        <is>
          <t>Collected</t>
        </is>
      </c>
      <c r="L846" s="27" t="inlineStr">
        <is>
          <t>Standard</t>
        </is>
      </c>
      <c r="M846" s="27" t="inlineStr">
        <is>
          <t>Western Cape</t>
        </is>
      </c>
      <c r="N846" s="27" t="n">
        <v>505.81</v>
      </c>
      <c r="O846" s="27" t="n">
        <v>1.47</v>
      </c>
      <c r="P846" s="27" t="n">
        <v>51.77</v>
      </c>
      <c r="Q846" s="42">
        <f>IF(H846="","",(H846-F846)*24)</f>
        <v/>
      </c>
      <c r="R846" s="42">
        <f>IF(J846="","",(J846-H846)*24)</f>
        <v/>
      </c>
    </row>
    <row r="847" ht="15" customHeight="1" s="24">
      <c r="A847" s="27" t="n">
        <v>1130780</v>
      </c>
      <c r="B847" s="27" t="inlineStr">
        <is>
          <t>PGO11130780</t>
        </is>
      </c>
      <c r="C847" s="27" t="n">
        <v>2</v>
      </c>
      <c r="D847" s="27" t="n">
        <v>2857</v>
      </c>
      <c r="E847" s="27" t="n">
        <v>214</v>
      </c>
      <c r="F847" s="41" t="n">
        <v>46166.77883061342</v>
      </c>
      <c r="G847" s="41" t="n">
        <v>46166.98617388889</v>
      </c>
      <c r="H847" s="41" t="n">
        <v>46167.49028440972</v>
      </c>
      <c r="I847" s="41" t="n">
        <v>46167.52433378472</v>
      </c>
      <c r="J847" s="41" t="n">
        <v>46167.61326722222</v>
      </c>
      <c r="K847" s="27" t="inlineStr">
        <is>
          <t>Collected</t>
        </is>
      </c>
      <c r="L847" s="27" t="inlineStr">
        <is>
          <t>Standard</t>
        </is>
      </c>
      <c r="M847" s="27" t="inlineStr">
        <is>
          <t>Western Cape</t>
        </is>
      </c>
      <c r="N847" s="27" t="n">
        <v>166.65</v>
      </c>
      <c r="O847" s="27" t="n">
        <v>2.25</v>
      </c>
      <c r="P847" s="27" t="n">
        <v>51.78</v>
      </c>
      <c r="Q847" s="42">
        <f>IF(H847="","",(H847-F847)*24)</f>
        <v/>
      </c>
      <c r="R847" s="42">
        <f>IF(J847="","",(J847-H847)*24)</f>
        <v/>
      </c>
    </row>
    <row r="848" ht="15" customHeight="1" s="24">
      <c r="A848" s="27" t="n">
        <v>1122644</v>
      </c>
      <c r="B848" s="27" t="inlineStr">
        <is>
          <t>PGO11122644</t>
        </is>
      </c>
      <c r="C848" s="27" t="n">
        <v>1</v>
      </c>
      <c r="D848" s="27" t="n">
        <v>1668</v>
      </c>
      <c r="E848" s="27" t="n">
        <v>1</v>
      </c>
      <c r="F848" s="41" t="n">
        <v>46167.64160251158</v>
      </c>
      <c r="G848" s="41" t="n">
        <v>46167.82630528935</v>
      </c>
      <c r="H848" s="41" t="n">
        <v>46168.69465884259</v>
      </c>
      <c r="I848" s="41" t="n">
        <v>46168.72966047454</v>
      </c>
      <c r="J848" s="41" t="n">
        <v>46170.05459761574</v>
      </c>
      <c r="K848" s="27" t="inlineStr">
        <is>
          <t>Collected</t>
        </is>
      </c>
      <c r="L848" s="27" t="inlineStr">
        <is>
          <t>Standard</t>
        </is>
      </c>
      <c r="M848" s="27" t="inlineStr">
        <is>
          <t>KwaZulu-Natal</t>
        </is>
      </c>
      <c r="N848" s="27" t="n">
        <v>200.28</v>
      </c>
      <c r="O848" s="27" t="n">
        <v>0.39</v>
      </c>
      <c r="P848" s="27" t="n">
        <v>44.15</v>
      </c>
      <c r="Q848" s="42">
        <f>IF(H848="","",(H848-F848)*24)</f>
        <v/>
      </c>
      <c r="R848" s="42">
        <f>IF(J848="","",(J848-H848)*24)</f>
        <v/>
      </c>
    </row>
    <row r="849" ht="15" customHeight="1" s="24">
      <c r="A849" s="27" t="n">
        <v>1141677</v>
      </c>
      <c r="B849" s="27" t="inlineStr">
        <is>
          <t>PGO11141677</t>
        </is>
      </c>
      <c r="C849" s="27" t="n">
        <v>7</v>
      </c>
      <c r="D849" s="27" t="n">
        <v>1977</v>
      </c>
      <c r="E849" s="27" t="n">
        <v>238</v>
      </c>
      <c r="F849" s="41" t="n">
        <v>46167.73918079861</v>
      </c>
      <c r="G849" s="41" t="n">
        <v>46168.01355340278</v>
      </c>
      <c r="H849" s="41" t="n">
        <v>46168.80679276621</v>
      </c>
      <c r="I849" s="41" t="n">
        <v>46168.83411322917</v>
      </c>
      <c r="J849" s="41" t="n">
        <v>46171.32981782407</v>
      </c>
      <c r="K849" s="27" t="inlineStr">
        <is>
          <t>Collected</t>
        </is>
      </c>
      <c r="L849" s="27" t="inlineStr">
        <is>
          <t>Standard</t>
        </is>
      </c>
      <c r="M849" s="27" t="inlineStr">
        <is>
          <t>Limpopo</t>
        </is>
      </c>
      <c r="N849" s="27" t="n">
        <v>182.24</v>
      </c>
      <c r="O849" s="27" t="n">
        <v>0.54</v>
      </c>
      <c r="P849" s="27" t="n">
        <v>47.46</v>
      </c>
      <c r="Q849" s="42">
        <f>IF(H849="","",(H849-F849)*24)</f>
        <v/>
      </c>
      <c r="R849" s="42">
        <f>IF(J849="","",(J849-H849)*24)</f>
        <v/>
      </c>
    </row>
    <row r="850" ht="15" customHeight="1" s="24">
      <c r="A850" s="27" t="n">
        <v>1132307</v>
      </c>
      <c r="B850" s="27" t="inlineStr">
        <is>
          <t>PGO11132307</t>
        </is>
      </c>
      <c r="C850" s="27" t="n">
        <v>18</v>
      </c>
      <c r="D850" s="27" t="n">
        <v>1627</v>
      </c>
      <c r="E850" s="27" t="n">
        <v>474</v>
      </c>
      <c r="F850" s="41" t="n">
        <v>46167.82021063657</v>
      </c>
      <c r="G850" s="41" t="n">
        <v>46167.95545266203</v>
      </c>
      <c r="H850" s="41" t="n">
        <v>46168.59767002315</v>
      </c>
      <c r="I850" s="41" t="n">
        <v>46168.62151503472</v>
      </c>
      <c r="J850" s="41" t="n">
        <v>46169.86542144676</v>
      </c>
      <c r="K850" s="27" t="inlineStr">
        <is>
          <t>Collected</t>
        </is>
      </c>
      <c r="L850" s="27" t="inlineStr">
        <is>
          <t>Standard</t>
        </is>
      </c>
      <c r="M850" s="27" t="inlineStr">
        <is>
          <t>Free State</t>
        </is>
      </c>
      <c r="N850" s="27" t="n">
        <v>90.05</v>
      </c>
      <c r="O850" s="27" t="n">
        <v>0.13</v>
      </c>
      <c r="P850" s="27" t="n">
        <v>43.37</v>
      </c>
      <c r="Q850" s="42">
        <f>IF(H850="","",(H850-F850)*24)</f>
        <v/>
      </c>
      <c r="R850" s="42">
        <f>IF(J850="","",(J850-H850)*24)</f>
        <v/>
      </c>
    </row>
    <row r="851" ht="15" customHeight="1" s="24">
      <c r="A851" s="27" t="n">
        <v>1143554</v>
      </c>
      <c r="B851" s="27" t="inlineStr">
        <is>
          <t>PGO11143554</t>
        </is>
      </c>
      <c r="C851" s="27" t="n">
        <v>46</v>
      </c>
      <c r="D851" s="27" t="n">
        <v>733</v>
      </c>
      <c r="E851" s="27" t="n">
        <v>119</v>
      </c>
      <c r="F851" s="41" t="n">
        <v>46171.4367009375</v>
      </c>
      <c r="G851" s="41" t="n">
        <v>46171.94262091435</v>
      </c>
      <c r="H851" s="41" t="n">
        <v>46173.09095061343</v>
      </c>
      <c r="I851" s="41" t="n">
        <v>46173.14555871528</v>
      </c>
      <c r="J851" s="41" t="n">
        <v>46174.04047736111</v>
      </c>
      <c r="K851" s="27" t="inlineStr">
        <is>
          <t>Collected</t>
        </is>
      </c>
      <c r="L851" s="27" t="inlineStr">
        <is>
          <t>Express</t>
        </is>
      </c>
      <c r="M851" s="27" t="inlineStr">
        <is>
          <t>Western Cape</t>
        </is>
      </c>
      <c r="N851" s="27" t="n">
        <v>233.33</v>
      </c>
      <c r="O851" s="27" t="n">
        <v>0.6</v>
      </c>
      <c r="P851" s="27" t="n">
        <v>56.83</v>
      </c>
      <c r="Q851" s="42">
        <f>IF(H851="","",(H851-F851)*24)</f>
        <v/>
      </c>
      <c r="R851" s="42">
        <f>IF(J851="","",(J851-H851)*24)</f>
        <v/>
      </c>
    </row>
    <row r="852" ht="15" customHeight="1" s="24">
      <c r="A852" s="27" t="n">
        <v>1130888</v>
      </c>
      <c r="B852" s="27" t="inlineStr">
        <is>
          <t>PGO11130888</t>
        </is>
      </c>
      <c r="C852" s="27" t="n">
        <v>4</v>
      </c>
      <c r="D852" s="27" t="n">
        <v>3734</v>
      </c>
      <c r="E852" s="27" t="n">
        <v>54</v>
      </c>
      <c r="F852" s="41" t="n">
        <v>46174.4845291088</v>
      </c>
      <c r="G852" s="41" t="n">
        <v>46174.72864355324</v>
      </c>
      <c r="H852" s="41" t="n">
        <v>46175.95006237269</v>
      </c>
      <c r="I852" s="41" t="n">
        <v>46176.01229221065</v>
      </c>
      <c r="J852" s="41" t="n">
        <v>46176.57425923611</v>
      </c>
      <c r="K852" s="27" t="inlineStr">
        <is>
          <t>Collected</t>
        </is>
      </c>
      <c r="L852" s="27" t="inlineStr">
        <is>
          <t>Standard</t>
        </is>
      </c>
      <c r="M852" s="27" t="inlineStr">
        <is>
          <t>Limpopo</t>
        </is>
      </c>
      <c r="N852" s="27" t="n">
        <v>46.58</v>
      </c>
      <c r="O852" s="27" t="n">
        <v>0.53</v>
      </c>
      <c r="P852" s="27" t="n">
        <v>43.3</v>
      </c>
      <c r="Q852" s="42">
        <f>IF(H852="","",(H852-F852)*24)</f>
        <v/>
      </c>
      <c r="R852" s="42">
        <f>IF(J852="","",(J852-H852)*24)</f>
        <v/>
      </c>
    </row>
    <row r="853" ht="15" customHeight="1" s="24">
      <c r="A853" s="27" t="n">
        <v>1196576</v>
      </c>
      <c r="B853" s="27" t="inlineStr">
        <is>
          <t>PGO11196576</t>
        </is>
      </c>
      <c r="C853" s="27" t="n">
        <v>8</v>
      </c>
      <c r="D853" s="27" t="n">
        <v>3026</v>
      </c>
      <c r="E853" s="27" t="n">
        <v>493</v>
      </c>
      <c r="F853" s="41" t="n">
        <v>46174.75935956019</v>
      </c>
      <c r="G853" s="41" t="n">
        <v>46174.96941196759</v>
      </c>
      <c r="H853" s="41" t="n">
        <v>46176.01287995371</v>
      </c>
      <c r="I853" s="41" t="n">
        <v>46176.05865732639</v>
      </c>
      <c r="J853" s="41" t="n">
        <v>46176.40475460648</v>
      </c>
      <c r="K853" s="27" t="inlineStr">
        <is>
          <t>Collected</t>
        </is>
      </c>
      <c r="L853" s="27" t="inlineStr">
        <is>
          <t>Standard</t>
        </is>
      </c>
      <c r="M853" s="27" t="inlineStr">
        <is>
          <t>KwaZulu-Natal</t>
        </is>
      </c>
      <c r="N853" s="27" t="n">
        <v>438.21</v>
      </c>
      <c r="O853" s="27" t="n">
        <v>1.46</v>
      </c>
      <c r="P853" s="27" t="n">
        <v>58.25</v>
      </c>
      <c r="Q853" s="42">
        <f>IF(H853="","",(H853-F853)*24)</f>
        <v/>
      </c>
      <c r="R853" s="42">
        <f>IF(J853="","",(J853-H853)*24)</f>
        <v/>
      </c>
    </row>
    <row r="854" ht="15" customHeight="1" s="24">
      <c r="A854" s="27" t="n">
        <v>1186462</v>
      </c>
      <c r="B854" s="27" t="inlineStr">
        <is>
          <t>PGO11186462</t>
        </is>
      </c>
      <c r="C854" s="27" t="n">
        <v>8</v>
      </c>
      <c r="D854" s="27" t="n">
        <v>2094</v>
      </c>
      <c r="E854" s="27" t="n">
        <v>231</v>
      </c>
      <c r="F854" s="41" t="n">
        <v>46174.98881180555</v>
      </c>
      <c r="G854" s="41" t="n">
        <v>46175.13909429398</v>
      </c>
      <c r="H854" s="41" t="n">
        <v>46176.18769283565</v>
      </c>
      <c r="I854" s="41" t="n">
        <v>46176.2145052199</v>
      </c>
      <c r="J854" s="41" t="n">
        <v>46177.35927177083</v>
      </c>
      <c r="K854" s="27" t="inlineStr">
        <is>
          <t>Damaged</t>
        </is>
      </c>
      <c r="L854" s="27" t="inlineStr">
        <is>
          <t>Standard</t>
        </is>
      </c>
      <c r="M854" s="27" t="inlineStr">
        <is>
          <t>Limpopo</t>
        </is>
      </c>
      <c r="N854" s="27" t="n">
        <v>247.54</v>
      </c>
      <c r="O854" s="27" t="n">
        <v>0.45</v>
      </c>
      <c r="P854" s="27" t="n">
        <v>54.71</v>
      </c>
      <c r="Q854" s="42">
        <f>IF(H854="","",(H854-F854)*24)</f>
        <v/>
      </c>
      <c r="R854" s="42">
        <f>IF(J854="","",(J854-H854)*24)</f>
        <v/>
      </c>
    </row>
    <row r="855" ht="15" customHeight="1" s="24">
      <c r="A855" s="27" t="n">
        <v>1195519</v>
      </c>
      <c r="B855" s="27" t="inlineStr">
        <is>
          <t>PGO11195519</t>
        </is>
      </c>
      <c r="C855" s="27" t="n">
        <v>1</v>
      </c>
      <c r="D855" s="27" t="n">
        <v>2273</v>
      </c>
      <c r="E855" s="27" t="n">
        <v>199</v>
      </c>
      <c r="F855" s="41" t="n">
        <v>46176.28271626157</v>
      </c>
      <c r="G855" s="41" t="n">
        <v>46176.33676019676</v>
      </c>
      <c r="H855" s="41" t="n">
        <v>46177.439603125</v>
      </c>
      <c r="I855" s="41" t="n">
        <v>46177.45605229167</v>
      </c>
      <c r="J855" s="41" t="n">
        <v>46178.13287679398</v>
      </c>
      <c r="K855" s="27" t="inlineStr">
        <is>
          <t>Collected</t>
        </is>
      </c>
      <c r="L855" s="27" t="inlineStr">
        <is>
          <t>Standard</t>
        </is>
      </c>
      <c r="M855" s="27" t="inlineStr">
        <is>
          <t>KwaZulu-Natal</t>
        </is>
      </c>
      <c r="N855" s="27" t="n">
        <v>446.96</v>
      </c>
      <c r="O855" s="27" t="n">
        <v>2.1</v>
      </c>
      <c r="P855" s="27" t="n">
        <v>44.45</v>
      </c>
      <c r="Q855" s="42">
        <f>IF(H855="","",(H855-F855)*24)</f>
        <v/>
      </c>
      <c r="R855" s="42">
        <f>IF(J855="","",(J855-H855)*24)</f>
        <v/>
      </c>
    </row>
    <row r="856" ht="15" customHeight="1" s="24">
      <c r="A856" s="27" t="n">
        <v>1172523</v>
      </c>
      <c r="B856" s="27" t="inlineStr">
        <is>
          <t>PGO11172523</t>
        </is>
      </c>
      <c r="C856" s="27" t="n">
        <v>2</v>
      </c>
      <c r="D856" s="27" t="n">
        <v>550</v>
      </c>
      <c r="E856" s="27" t="n">
        <v>292</v>
      </c>
      <c r="F856" s="41" t="n">
        <v>46176.35384667824</v>
      </c>
      <c r="G856" s="41" t="n">
        <v>46176.48046821759</v>
      </c>
      <c r="H856" s="41" t="n">
        <v>46178.42349736111</v>
      </c>
      <c r="I856" s="41" t="n">
        <v>46178.45265998843</v>
      </c>
      <c r="J856" s="41" t="n">
        <v>46178.87806518518</v>
      </c>
      <c r="K856" s="27" t="inlineStr">
        <is>
          <t>Collected</t>
        </is>
      </c>
      <c r="L856" s="27" t="inlineStr">
        <is>
          <t>Standard</t>
        </is>
      </c>
      <c r="M856" s="27" t="inlineStr">
        <is>
          <t>KwaZulu-Natal</t>
        </is>
      </c>
      <c r="N856" s="27" t="n">
        <v>170.88</v>
      </c>
      <c r="O856" s="27" t="n">
        <v>0.41</v>
      </c>
      <c r="P856" s="27" t="n">
        <v>50.13</v>
      </c>
      <c r="Q856" s="42">
        <f>IF(H856="","",(H856-F856)*24)</f>
        <v/>
      </c>
      <c r="R856" s="42">
        <f>IF(J856="","",(J856-H856)*24)</f>
        <v/>
      </c>
    </row>
    <row r="857" ht="15" customHeight="1" s="24">
      <c r="A857" s="27" t="n">
        <v>1161747</v>
      </c>
      <c r="B857" s="27" t="inlineStr">
        <is>
          <t>PGO11161747</t>
        </is>
      </c>
      <c r="C857" s="27" t="n">
        <v>150</v>
      </c>
      <c r="D857" s="27" t="n">
        <v>1279</v>
      </c>
      <c r="E857" s="27" t="n">
        <v>348</v>
      </c>
      <c r="F857" s="41" t="n">
        <v>46177.74397001157</v>
      </c>
      <c r="G857" s="41" t="n">
        <v>46177.88494100695</v>
      </c>
      <c r="H857" s="41" t="n">
        <v>46179.25895886574</v>
      </c>
      <c r="I857" s="41" t="n">
        <v>46179.31274769676</v>
      </c>
      <c r="J857" s="41" t="n">
        <v>46183.01529964121</v>
      </c>
      <c r="K857" s="27" t="inlineStr">
        <is>
          <t>Collected</t>
        </is>
      </c>
      <c r="L857" s="27" t="inlineStr">
        <is>
          <t>Standard</t>
        </is>
      </c>
      <c r="M857" s="27" t="inlineStr">
        <is>
          <t>KwaZulu-Natal</t>
        </is>
      </c>
      <c r="N857" s="27" t="n">
        <v>370.25</v>
      </c>
      <c r="O857" s="27" t="n">
        <v>2.01</v>
      </c>
      <c r="P857" s="27" t="n">
        <v>56.68</v>
      </c>
      <c r="Q857" s="42">
        <f>IF(H857="","",(H857-F857)*24)</f>
        <v/>
      </c>
      <c r="R857" s="42">
        <f>IF(J857="","",(J857-H857)*24)</f>
        <v/>
      </c>
    </row>
    <row r="858" ht="15" customHeight="1" s="24">
      <c r="A858" s="27" t="n">
        <v>1175312</v>
      </c>
      <c r="B858" s="27" t="inlineStr">
        <is>
          <t>PGO11175312</t>
        </is>
      </c>
      <c r="C858" s="27" t="n">
        <v>98</v>
      </c>
      <c r="D858" s="27" t="n">
        <v>3598</v>
      </c>
      <c r="E858" s="27" t="n">
        <v>369</v>
      </c>
      <c r="F858" s="41" t="n">
        <v>46178.76677207176</v>
      </c>
      <c r="G858" s="41" t="n">
        <v>46178.83952564815</v>
      </c>
      <c r="H858" s="41" t="n">
        <v>46179.84612042824</v>
      </c>
      <c r="I858" s="41" t="n">
        <v>46179.85594155092</v>
      </c>
      <c r="J858" s="41" t="n">
        <v>46179.99889887732</v>
      </c>
      <c r="K858" s="27" t="inlineStr">
        <is>
          <t>Collected</t>
        </is>
      </c>
      <c r="L858" s="27" t="inlineStr">
        <is>
          <t>Express</t>
        </is>
      </c>
      <c r="M858" s="27" t="inlineStr">
        <is>
          <t>North West</t>
        </is>
      </c>
      <c r="N858" s="27" t="n">
        <v>333.23</v>
      </c>
      <c r="O858" s="27" t="n">
        <v>1.33</v>
      </c>
      <c r="P858" s="27" t="n">
        <v>62.86</v>
      </c>
      <c r="Q858" s="42">
        <f>IF(H858="","",(H858-F858)*24)</f>
        <v/>
      </c>
      <c r="R858" s="42">
        <f>IF(J858="","",(J858-H858)*24)</f>
        <v/>
      </c>
    </row>
    <row r="859" ht="15" customHeight="1" s="24">
      <c r="A859" s="27" t="n">
        <v>1195872</v>
      </c>
      <c r="B859" s="27" t="inlineStr">
        <is>
          <t>PGO11195872</t>
        </is>
      </c>
      <c r="C859" s="27" t="n">
        <v>42</v>
      </c>
      <c r="D859" s="27" t="n">
        <v>2255</v>
      </c>
      <c r="E859" s="27" t="n">
        <v>376</v>
      </c>
      <c r="F859" s="41" t="n">
        <v>46179.93842537037</v>
      </c>
      <c r="G859" s="41" t="n">
        <v>46180.62133886574</v>
      </c>
      <c r="H859" s="41" t="n">
        <v>46181.02319556713</v>
      </c>
      <c r="I859" s="41" t="n">
        <v>46181.02944990741</v>
      </c>
      <c r="J859" s="41" t="n">
        <v>46181.50005875</v>
      </c>
      <c r="K859" s="27" t="inlineStr">
        <is>
          <t>Collected</t>
        </is>
      </c>
      <c r="L859" s="27" t="inlineStr">
        <is>
          <t>Standard</t>
        </is>
      </c>
      <c r="M859" s="27" t="inlineStr">
        <is>
          <t>Gauteng</t>
        </is>
      </c>
      <c r="N859" s="27" t="n">
        <v>183.59</v>
      </c>
      <c r="O859" s="27" t="n">
        <v>1.14</v>
      </c>
      <c r="P859" s="27" t="n">
        <v>61.77</v>
      </c>
      <c r="Q859" s="42">
        <f>IF(H859="","",(H859-F859)*24)</f>
        <v/>
      </c>
      <c r="R859" s="42">
        <f>IF(J859="","",(J859-H859)*24)</f>
        <v/>
      </c>
    </row>
    <row r="860" ht="15" customHeight="1" s="24">
      <c r="A860" s="27" t="n">
        <v>1173111</v>
      </c>
      <c r="B860" s="27" t="inlineStr">
        <is>
          <t>PGO11173111</t>
        </is>
      </c>
      <c r="C860" s="27" t="n">
        <v>9</v>
      </c>
      <c r="D860" s="27" t="n">
        <v>2183</v>
      </c>
      <c r="E860" s="27" t="n">
        <v>331</v>
      </c>
      <c r="F860" s="41" t="n">
        <v>46179.98649168982</v>
      </c>
      <c r="G860" s="41" t="n">
        <v>46180.08105814815</v>
      </c>
      <c r="H860" s="41" t="n">
        <v>46180.81135590278</v>
      </c>
      <c r="I860" s="41" t="n">
        <v>46180.84560637731</v>
      </c>
      <c r="J860" s="41" t="n">
        <v>46183.39341302084</v>
      </c>
      <c r="K860" s="27" t="inlineStr">
        <is>
          <t>Collected</t>
        </is>
      </c>
      <c r="L860" s="27" t="inlineStr">
        <is>
          <t>Express</t>
        </is>
      </c>
      <c r="M860" s="27" t="inlineStr">
        <is>
          <t>Gauteng</t>
        </is>
      </c>
      <c r="N860" s="27" t="n">
        <v>4032.9</v>
      </c>
      <c r="O860" s="27" t="n">
        <v>1.51</v>
      </c>
      <c r="P860" s="27" t="n">
        <v>60.17</v>
      </c>
      <c r="Q860" s="42">
        <f>IF(H860="","",(H860-F860)*24)</f>
        <v/>
      </c>
      <c r="R860" s="42">
        <f>IF(J860="","",(J860-H860)*24)</f>
        <v/>
      </c>
    </row>
    <row r="861" ht="15" customHeight="1" s="24">
      <c r="A861" s="27" t="n">
        <v>1198079</v>
      </c>
      <c r="B861" s="27" t="inlineStr">
        <is>
          <t>PGO11198079</t>
        </is>
      </c>
      <c r="C861" s="27" t="n">
        <v>3</v>
      </c>
      <c r="D861" s="27" t="n">
        <v>1049</v>
      </c>
      <c r="E861" s="27" t="n">
        <v>347</v>
      </c>
      <c r="F861" s="41" t="n">
        <v>46180.49832329861</v>
      </c>
      <c r="G861" s="41" t="n">
        <v>46180.69238640046</v>
      </c>
      <c r="H861" s="41" t="n">
        <v>46181.42763738426</v>
      </c>
      <c r="I861" s="41" t="n">
        <v>46181.47608476852</v>
      </c>
      <c r="J861" s="41" t="n">
        <v>46183.75073013889</v>
      </c>
      <c r="K861" s="27" t="inlineStr">
        <is>
          <t>Collected</t>
        </is>
      </c>
      <c r="L861" s="27" t="inlineStr">
        <is>
          <t>Express</t>
        </is>
      </c>
      <c r="M861" s="27" t="inlineStr">
        <is>
          <t>Free State</t>
        </is>
      </c>
      <c r="N861" s="27" t="n">
        <v>118.57</v>
      </c>
      <c r="O861" s="27" t="n">
        <v>2.34</v>
      </c>
      <c r="P861" s="27" t="n">
        <v>40</v>
      </c>
      <c r="Q861" s="42">
        <f>IF(H861="","",(H861-F861)*24)</f>
        <v/>
      </c>
      <c r="R861" s="42">
        <f>IF(J861="","",(J861-H861)*24)</f>
        <v/>
      </c>
    </row>
    <row r="862" ht="15" customHeight="1" s="24">
      <c r="A862" s="27" t="n">
        <v>1162898</v>
      </c>
      <c r="B862" s="27" t="inlineStr">
        <is>
          <t>PGO11162898</t>
        </is>
      </c>
      <c r="C862" s="27" t="n">
        <v>3</v>
      </c>
      <c r="D862" s="27" t="n">
        <v>1165</v>
      </c>
      <c r="E862" s="27" t="n">
        <v>225</v>
      </c>
      <c r="F862" s="41" t="n">
        <v>46182.91492135417</v>
      </c>
      <c r="G862" s="41" t="n">
        <v>46183.78898361111</v>
      </c>
      <c r="H862" s="41" t="n">
        <v>46185.02575729167</v>
      </c>
      <c r="I862" s="41" t="n">
        <v>46185.05466787037</v>
      </c>
      <c r="J862" s="41" t="n">
        <v>46185.63543775463</v>
      </c>
      <c r="K862" s="27" t="inlineStr">
        <is>
          <t>Collected</t>
        </is>
      </c>
      <c r="L862" s="27" t="inlineStr">
        <is>
          <t>Standard</t>
        </is>
      </c>
      <c r="M862" s="27" t="inlineStr">
        <is>
          <t>North West</t>
        </is>
      </c>
      <c r="N862" s="27" t="n">
        <v>369.8</v>
      </c>
      <c r="O862" s="27" t="n">
        <v>2.44</v>
      </c>
      <c r="P862" s="27" t="n">
        <v>38.8</v>
      </c>
      <c r="Q862" s="42">
        <f>IF(H862="","",(H862-F862)*24)</f>
        <v/>
      </c>
      <c r="R862" s="42">
        <f>IF(J862="","",(J862-H862)*24)</f>
        <v/>
      </c>
    </row>
    <row r="863" ht="15" customHeight="1" s="24">
      <c r="A863" s="27" t="n">
        <v>1171762</v>
      </c>
      <c r="B863" s="27" t="inlineStr">
        <is>
          <t>PGO11171762</t>
        </is>
      </c>
      <c r="C863" s="27" t="n">
        <v>84</v>
      </c>
      <c r="D863" s="27" t="n">
        <v>480</v>
      </c>
      <c r="E863" s="27" t="n">
        <v>137</v>
      </c>
      <c r="F863" s="41" t="n">
        <v>46183.19028828703</v>
      </c>
      <c r="G863" s="41" t="n">
        <v>46183.23915028935</v>
      </c>
      <c r="H863" s="41" t="n">
        <v>46183.84386679398</v>
      </c>
      <c r="I863" s="41" t="n">
        <v>46183.85878061342</v>
      </c>
      <c r="J863" s="41" t="n">
        <v>46184.30798913194</v>
      </c>
      <c r="K863" s="27" t="inlineStr">
        <is>
          <t>Collected</t>
        </is>
      </c>
      <c r="L863" s="27" t="inlineStr">
        <is>
          <t>Standard</t>
        </is>
      </c>
      <c r="M863" s="27" t="inlineStr">
        <is>
          <t>Mpumalanga</t>
        </is>
      </c>
      <c r="N863" s="27" t="n">
        <v>58.97</v>
      </c>
      <c r="O863" s="27" t="n">
        <v>2.36</v>
      </c>
      <c r="P863" s="27" t="n">
        <v>47.96</v>
      </c>
      <c r="Q863" s="42">
        <f>IF(H863="","",(H863-F863)*24)</f>
        <v/>
      </c>
      <c r="R863" s="42">
        <f>IF(J863="","",(J863-H863)*24)</f>
        <v/>
      </c>
    </row>
    <row r="864" ht="15" customHeight="1" s="24">
      <c r="A864" s="27" t="n">
        <v>1169539</v>
      </c>
      <c r="B864" s="27" t="inlineStr">
        <is>
          <t>PGO11169539</t>
        </is>
      </c>
      <c r="C864" s="27" t="n">
        <v>1</v>
      </c>
      <c r="D864" s="27" t="n">
        <v>2580</v>
      </c>
      <c r="E864" s="27" t="n">
        <v>210</v>
      </c>
      <c r="F864" s="41" t="n">
        <v>46183.68948134259</v>
      </c>
      <c r="G864" s="41" t="n">
        <v>46183.7662268287</v>
      </c>
      <c r="H864" s="41" t="n">
        <v>46184.5507565162</v>
      </c>
      <c r="I864" s="41" t="n">
        <v>46184.59859060185</v>
      </c>
      <c r="J864" s="41" t="n">
        <v>46184.67357868056</v>
      </c>
      <c r="K864" s="27" t="inlineStr">
        <is>
          <t>Collected</t>
        </is>
      </c>
      <c r="L864" s="27" t="inlineStr">
        <is>
          <t>Standard</t>
        </is>
      </c>
      <c r="M864" s="27" t="inlineStr">
        <is>
          <t>KwaZulu-Natal</t>
        </is>
      </c>
      <c r="N864" s="27" t="n">
        <v>334.95</v>
      </c>
      <c r="O864" s="27" t="n">
        <v>3.72</v>
      </c>
      <c r="P864" s="27" t="n">
        <v>47.79</v>
      </c>
      <c r="Q864" s="42">
        <f>IF(H864="","",(H864-F864)*24)</f>
        <v/>
      </c>
      <c r="R864" s="42">
        <f>IF(J864="","",(J864-H864)*24)</f>
        <v/>
      </c>
    </row>
    <row r="865" ht="15" customHeight="1" s="24">
      <c r="A865" s="27" t="n">
        <v>1193871</v>
      </c>
      <c r="B865" s="27" t="inlineStr">
        <is>
          <t>PGO11193871</t>
        </is>
      </c>
      <c r="C865" s="27" t="n">
        <v>31</v>
      </c>
      <c r="D865" s="27" t="n">
        <v>2956</v>
      </c>
      <c r="E865" s="27" t="n">
        <v>14</v>
      </c>
      <c r="F865" s="41" t="n">
        <v>46184.51433902778</v>
      </c>
      <c r="G865" s="41" t="n">
        <v>46184.93911614583</v>
      </c>
      <c r="H865" s="41" t="n">
        <v>46185.88763659722</v>
      </c>
      <c r="I865" s="41" t="n">
        <v>46185.89707613426</v>
      </c>
      <c r="J865" s="41" t="n">
        <v>46186.4649965625</v>
      </c>
      <c r="K865" s="27" t="inlineStr">
        <is>
          <t>Collected</t>
        </is>
      </c>
      <c r="L865" s="27" t="inlineStr">
        <is>
          <t>Standard</t>
        </is>
      </c>
      <c r="M865" s="27" t="inlineStr">
        <is>
          <t>Free State</t>
        </is>
      </c>
      <c r="N865" s="27" t="n">
        <v>243.71</v>
      </c>
      <c r="O865" s="27" t="n">
        <v>0.27</v>
      </c>
      <c r="P865" s="27" t="n">
        <v>59.26</v>
      </c>
      <c r="Q865" s="42">
        <f>IF(H865="","",(H865-F865)*24)</f>
        <v/>
      </c>
      <c r="R865" s="42">
        <f>IF(J865="","",(J865-H865)*24)</f>
        <v/>
      </c>
    </row>
    <row r="866" ht="15" customHeight="1" s="24">
      <c r="A866" s="27" t="n">
        <v>1164007</v>
      </c>
      <c r="B866" s="27" t="inlineStr">
        <is>
          <t>PGO11164007</t>
        </is>
      </c>
      <c r="C866" s="27" t="n">
        <v>8</v>
      </c>
      <c r="D866" s="27" t="n">
        <v>28</v>
      </c>
      <c r="E866" s="27" t="n">
        <v>42</v>
      </c>
      <c r="F866" s="41" t="n">
        <v>46185.26499078704</v>
      </c>
      <c r="G866" s="41" t="n">
        <v>46185.48177487269</v>
      </c>
      <c r="H866" s="41" t="n">
        <v>46186.95330422454</v>
      </c>
      <c r="I866" s="41" t="n">
        <v>46186.96805737269</v>
      </c>
      <c r="J866" s="41" t="n">
        <v>46191.38691923611</v>
      </c>
      <c r="K866" s="27" t="inlineStr">
        <is>
          <t>Collected</t>
        </is>
      </c>
      <c r="L866" s="27" t="inlineStr">
        <is>
          <t>Standard</t>
        </is>
      </c>
      <c r="M866" s="27" t="inlineStr">
        <is>
          <t>North West</t>
        </is>
      </c>
      <c r="N866" s="27" t="n">
        <v>158.06</v>
      </c>
      <c r="O866" s="27" t="n">
        <v>4.11</v>
      </c>
      <c r="P866" s="27" t="n">
        <v>55.74</v>
      </c>
      <c r="Q866" s="42">
        <f>IF(H866="","",(H866-F866)*24)</f>
        <v/>
      </c>
      <c r="R866" s="42">
        <f>IF(J866="","",(J866-H866)*24)</f>
        <v/>
      </c>
    </row>
    <row r="867" ht="15" customHeight="1" s="24">
      <c r="A867" s="27" t="n">
        <v>1179200</v>
      </c>
      <c r="B867" s="27" t="inlineStr">
        <is>
          <t>PGO11179200</t>
        </is>
      </c>
      <c r="C867" s="27" t="n">
        <v>7</v>
      </c>
      <c r="D867" s="27" t="n">
        <v>1167</v>
      </c>
      <c r="E867" s="27" t="n">
        <v>323</v>
      </c>
      <c r="F867" s="41" t="n">
        <v>46186.50901920139</v>
      </c>
      <c r="G867" s="41" t="n">
        <v>46186.6380559838</v>
      </c>
      <c r="H867" s="41" t="n">
        <v>46187.26631236111</v>
      </c>
      <c r="I867" s="41" t="n">
        <v>46187.31028872685</v>
      </c>
      <c r="J867" s="41" t="n">
        <v>46189.23752425926</v>
      </c>
      <c r="K867" s="27" t="inlineStr">
        <is>
          <t>Collected</t>
        </is>
      </c>
      <c r="L867" s="27" t="inlineStr">
        <is>
          <t>Standard</t>
        </is>
      </c>
      <c r="M867" s="27" t="inlineStr">
        <is>
          <t>Western Cape</t>
        </is>
      </c>
      <c r="N867" s="27" t="n">
        <v>417.35</v>
      </c>
      <c r="O867" s="27" t="n">
        <v>2.25</v>
      </c>
      <c r="P867" s="27" t="n">
        <v>47.27</v>
      </c>
      <c r="Q867" s="42">
        <f>IF(H867="","",(H867-F867)*24)</f>
        <v/>
      </c>
      <c r="R867" s="42">
        <f>IF(J867="","",(J867-H867)*24)</f>
        <v/>
      </c>
    </row>
    <row r="868" ht="15" customHeight="1" s="24">
      <c r="A868" s="27" t="n">
        <v>1173919</v>
      </c>
      <c r="B868" s="27" t="inlineStr">
        <is>
          <t>PGO11173919</t>
        </is>
      </c>
      <c r="C868" s="27" t="n">
        <v>4</v>
      </c>
      <c r="D868" s="27" t="n">
        <v>3373</v>
      </c>
      <c r="E868" s="27" t="n">
        <v>59</v>
      </c>
      <c r="F868" s="41" t="n">
        <v>46191.92468225695</v>
      </c>
      <c r="G868" s="41" t="n">
        <v>46192.19345825232</v>
      </c>
      <c r="H868" s="41" t="n">
        <v>46193.28884700232</v>
      </c>
      <c r="I868" s="41" t="n">
        <v>46193.31972149306</v>
      </c>
      <c r="J868" s="41" t="n">
        <v>46194.10331659723</v>
      </c>
      <c r="K868" s="27" t="inlineStr">
        <is>
          <t>Collected</t>
        </is>
      </c>
      <c r="L868" s="27" t="inlineStr">
        <is>
          <t>Standard</t>
        </is>
      </c>
      <c r="M868" s="27" t="inlineStr">
        <is>
          <t>KwaZulu-Natal</t>
        </is>
      </c>
      <c r="N868" s="27" t="n">
        <v>337.91</v>
      </c>
      <c r="O868" s="27" t="n">
        <v>1.21</v>
      </c>
      <c r="P868" s="27" t="n">
        <v>44.03</v>
      </c>
      <c r="Q868" s="42">
        <f>IF(H868="","",(H868-F868)*24)</f>
        <v/>
      </c>
      <c r="R868" s="42">
        <f>IF(J868="","",(J868-H868)*24)</f>
        <v/>
      </c>
    </row>
    <row r="869" ht="15" customHeight="1" s="24">
      <c r="A869" s="27" t="n">
        <v>1179637</v>
      </c>
      <c r="B869" s="27" t="inlineStr">
        <is>
          <t>PGO11179637</t>
        </is>
      </c>
      <c r="C869" s="27" t="n">
        <v>76</v>
      </c>
      <c r="D869" s="27" t="n">
        <v>539</v>
      </c>
      <c r="E869" s="27" t="n">
        <v>368</v>
      </c>
      <c r="F869" s="41" t="n">
        <v>46192.2725496412</v>
      </c>
      <c r="G869" s="41" t="n">
        <v>46192.42784149305</v>
      </c>
      <c r="H869" s="41" t="n">
        <v>46193.58752550926</v>
      </c>
      <c r="I869" s="41" t="n">
        <v>46193.60004962963</v>
      </c>
      <c r="J869" s="41" t="n">
        <v>46194.44742365741</v>
      </c>
      <c r="K869" s="27" t="inlineStr">
        <is>
          <t>Collected</t>
        </is>
      </c>
      <c r="L869" s="27" t="inlineStr">
        <is>
          <t>Standard</t>
        </is>
      </c>
      <c r="M869" s="27" t="inlineStr">
        <is>
          <t>Mpumalanga</t>
        </is>
      </c>
      <c r="N869" s="27" t="n">
        <v>120.3</v>
      </c>
      <c r="O869" s="27" t="n">
        <v>3.49</v>
      </c>
      <c r="P869" s="27" t="n">
        <v>56.21</v>
      </c>
      <c r="Q869" s="42">
        <f>IF(H869="","",(H869-F869)*24)</f>
        <v/>
      </c>
      <c r="R869" s="42">
        <f>IF(J869="","",(J869-H869)*24)</f>
        <v/>
      </c>
    </row>
    <row r="870" ht="15" customHeight="1" s="24">
      <c r="A870" s="27" t="n">
        <v>1179955</v>
      </c>
      <c r="B870" s="27" t="inlineStr">
        <is>
          <t>PGO11179955</t>
        </is>
      </c>
      <c r="C870" s="27" t="n">
        <v>2</v>
      </c>
      <c r="D870" s="27" t="n">
        <v>98</v>
      </c>
      <c r="E870" s="27" t="n">
        <v>487</v>
      </c>
      <c r="F870" s="41" t="n">
        <v>46195.63342773148</v>
      </c>
      <c r="G870" s="41" t="n">
        <v>46195.77087454861</v>
      </c>
      <c r="H870" s="41" t="n">
        <v>46196.42478716435</v>
      </c>
      <c r="I870" s="41" t="n">
        <v>46196.43244846065</v>
      </c>
      <c r="J870" s="41" t="n">
        <v>46196.70818056713</v>
      </c>
      <c r="K870" s="27" t="inlineStr">
        <is>
          <t>Collected</t>
        </is>
      </c>
      <c r="L870" s="27" t="inlineStr">
        <is>
          <t>Return-to-Retailer</t>
        </is>
      </c>
      <c r="M870" s="27" t="inlineStr">
        <is>
          <t>Gauteng</t>
        </is>
      </c>
      <c r="N870" s="27" t="n">
        <v>615.1</v>
      </c>
      <c r="O870" s="27" t="n">
        <v>1.32</v>
      </c>
      <c r="P870" s="27" t="n">
        <v>49.83</v>
      </c>
      <c r="Q870" s="42">
        <f>IF(H870="","",(H870-F870)*24)</f>
        <v/>
      </c>
      <c r="R870" s="42">
        <f>IF(J870="","",(J870-H870)*24)</f>
        <v/>
      </c>
    </row>
    <row r="871" ht="15" customHeight="1" s="24">
      <c r="A871" s="27" t="n">
        <v>1162291</v>
      </c>
      <c r="B871" s="27" t="inlineStr">
        <is>
          <t>PGO11162291</t>
        </is>
      </c>
      <c r="C871" s="27" t="n">
        <v>2</v>
      </c>
      <c r="D871" s="27" t="n">
        <v>2542</v>
      </c>
      <c r="E871" s="27" t="n">
        <v>438</v>
      </c>
      <c r="F871" s="41" t="n">
        <v>46196.22761395833</v>
      </c>
      <c r="G871" s="41" t="n">
        <v>46196.45934587963</v>
      </c>
      <c r="H871" s="41" t="n">
        <v>46197.56455259259</v>
      </c>
      <c r="I871" s="41" t="n">
        <v>46197.58157975694</v>
      </c>
      <c r="J871" s="41" t="n">
        <v>46198.88190414352</v>
      </c>
      <c r="K871" s="27" t="inlineStr">
        <is>
          <t>Collected</t>
        </is>
      </c>
      <c r="L871" s="27" t="inlineStr">
        <is>
          <t>Standard</t>
        </is>
      </c>
      <c r="M871" s="27" t="inlineStr">
        <is>
          <t>KwaZulu-Natal</t>
        </is>
      </c>
      <c r="N871" s="27" t="n">
        <v>159.24</v>
      </c>
      <c r="O871" s="27" t="n">
        <v>3.56</v>
      </c>
      <c r="P871" s="27" t="n">
        <v>47.66</v>
      </c>
      <c r="Q871" s="42">
        <f>IF(H871="","",(H871-F871)*24)</f>
        <v/>
      </c>
      <c r="R871" s="42">
        <f>IF(J871="","",(J871-H871)*24)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2"/>
    <col width="23" customWidth="1" style="23" min="3" max="3"/>
    <col width="26" customWidth="1" style="23" min="4" max="4"/>
    <col width="12" customWidth="1" style="23" min="5" max="10"/>
  </cols>
  <sheetData>
    <row r="1" ht="15" customHeight="1" s="24">
      <c r="A1" s="28" t="inlineStr">
        <is>
          <t>tracking_event_id</t>
        </is>
      </c>
      <c r="B1" s="28" t="inlineStr">
        <is>
          <t>parcel_id</t>
        </is>
      </c>
      <c r="C1" s="28" t="inlineStr">
        <is>
          <t>event_type</t>
        </is>
      </c>
      <c r="D1" s="28" t="inlineStr">
        <is>
          <t>event_timestamp</t>
        </is>
      </c>
      <c r="E1" s="28" t="inlineStr">
        <is>
          <t>latitude</t>
        </is>
      </c>
      <c r="F1" s="28" t="inlineStr">
        <is>
          <t>longitude</t>
        </is>
      </c>
      <c r="G1" s="28" t="inlineStr">
        <is>
          <t>status</t>
        </is>
      </c>
      <c r="H1" s="28" t="inlineStr">
        <is>
          <t>source_system</t>
        </is>
      </c>
      <c r="I1" s="28" t="inlineStr">
        <is>
          <t>month</t>
        </is>
      </c>
      <c r="J1" s="28" t="inlineStr">
        <is>
          <t>year</t>
        </is>
      </c>
    </row>
    <row r="2" ht="15" customHeight="1" s="24">
      <c r="A2" s="27" t="n">
        <v>48260</v>
      </c>
      <c r="B2" s="27" t="n">
        <v>2650</v>
      </c>
      <c r="C2" s="27" t="inlineStr">
        <is>
          <t>AtHub</t>
        </is>
      </c>
      <c r="D2" s="41" t="n">
        <v>45115.64903373842</v>
      </c>
      <c r="E2" s="27" t="n">
        <v>-31.145083</v>
      </c>
      <c r="F2" s="27" t="n">
        <v>20.895831</v>
      </c>
      <c r="G2" s="27" t="inlineStr">
        <is>
          <t>Open</t>
        </is>
      </c>
      <c r="H2" s="27" t="inlineStr">
        <is>
          <t>API</t>
        </is>
      </c>
      <c r="I2" s="27" t="inlineStr">
        <is>
          <t>07</t>
        </is>
      </c>
      <c r="J2" s="27" t="n">
        <v>2023</v>
      </c>
    </row>
    <row r="3" ht="15" customHeight="1" s="24">
      <c r="A3" s="27" t="n">
        <v>120871</v>
      </c>
      <c r="B3" s="27" t="n">
        <v>6899</v>
      </c>
      <c r="C3" s="27" t="inlineStr">
        <is>
          <t>CustomerNotified</t>
        </is>
      </c>
      <c r="D3" s="41" t="n">
        <v>45116.33532091435</v>
      </c>
      <c r="E3" s="27" t="n">
        <v>-32.301949</v>
      </c>
      <c r="F3" s="27" t="n">
        <v>18.13506</v>
      </c>
      <c r="G3" s="27" t="inlineStr">
        <is>
          <t>Open</t>
        </is>
      </c>
      <c r="H3" s="27" t="inlineStr">
        <is>
          <t>ScannerApp</t>
        </is>
      </c>
      <c r="I3" s="27" t="inlineStr">
        <is>
          <t>07</t>
        </is>
      </c>
      <c r="J3" s="27" t="n">
        <v>2023</v>
      </c>
    </row>
    <row r="4" ht="15" customHeight="1" s="24">
      <c r="A4" s="27" t="n">
        <v>66277</v>
      </c>
      <c r="B4" s="27" t="n">
        <v>20667</v>
      </c>
      <c r="C4" s="27" t="inlineStr">
        <is>
          <t>AtHub</t>
        </is>
      </c>
      <c r="D4" s="41" t="n">
        <v>45117.23421010416</v>
      </c>
      <c r="E4" s="27" t="n">
        <v>-27.358276</v>
      </c>
      <c r="F4" s="27" t="n">
        <v>27.969543</v>
      </c>
      <c r="G4" s="27" t="inlineStr">
        <is>
          <t>Open</t>
        </is>
      </c>
      <c r="H4" s="27" t="inlineStr">
        <is>
          <t>PartnerPOS</t>
        </is>
      </c>
      <c r="I4" s="27" t="inlineStr">
        <is>
          <t>07</t>
        </is>
      </c>
      <c r="J4" s="27" t="n">
        <v>2023</v>
      </c>
    </row>
    <row r="5" ht="15" customHeight="1" s="24">
      <c r="A5" s="27" t="n">
        <v>119770</v>
      </c>
      <c r="B5" s="27" t="n">
        <v>5795</v>
      </c>
      <c r="C5" s="27" t="inlineStr">
        <is>
          <t>CustomerNotified</t>
        </is>
      </c>
      <c r="D5" s="41" t="n">
        <v>45118.12824824074</v>
      </c>
      <c r="E5" s="27" t="n">
        <v>-32.887358</v>
      </c>
      <c r="F5" s="27" t="n">
        <v>22.89965</v>
      </c>
      <c r="G5" s="27" t="inlineStr">
        <is>
          <t>Open</t>
        </is>
      </c>
      <c r="H5" s="27" t="inlineStr">
        <is>
          <t>ScannerApp</t>
        </is>
      </c>
      <c r="I5" s="27" t="inlineStr">
        <is>
          <t>07</t>
        </is>
      </c>
      <c r="J5" s="27" t="n">
        <v>2023</v>
      </c>
    </row>
    <row r="6" ht="15" customHeight="1" s="24">
      <c r="A6" s="27" t="n">
        <v>142280</v>
      </c>
      <c r="B6" s="27" t="n">
        <v>5971</v>
      </c>
      <c r="C6" s="27" t="inlineStr">
        <is>
          <t>CollectedByCustomer</t>
        </is>
      </c>
      <c r="D6" s="41" t="n">
        <v>45119.55538839121</v>
      </c>
      <c r="E6" s="27" t="n">
        <v>-30.405048</v>
      </c>
      <c r="F6" s="27" t="n">
        <v>18.797544</v>
      </c>
      <c r="G6" s="27" t="inlineStr">
        <is>
          <t>Closed</t>
        </is>
      </c>
      <c r="H6" s="27" t="inlineStr">
        <is>
          <t>CourierGPS</t>
        </is>
      </c>
      <c r="I6" s="27" t="inlineStr">
        <is>
          <t>07</t>
        </is>
      </c>
      <c r="J6" s="27" t="n">
        <v>2023</v>
      </c>
    </row>
    <row r="7" ht="15" customHeight="1" s="24">
      <c r="A7" s="27" t="n">
        <v>154550</v>
      </c>
      <c r="B7" s="27" t="n">
        <v>19263</v>
      </c>
      <c r="C7" s="27" t="inlineStr">
        <is>
          <t>CollectedByCustomer</t>
        </is>
      </c>
      <c r="D7" s="41" t="n">
        <v>45120.56432734954</v>
      </c>
      <c r="E7" s="27" t="n">
        <v>-31.884315</v>
      </c>
      <c r="F7" s="27" t="n">
        <v>28.564855</v>
      </c>
      <c r="G7" s="27" t="inlineStr">
        <is>
          <t>Closed</t>
        </is>
      </c>
      <c r="H7" s="27" t="inlineStr">
        <is>
          <t>ScannerApp</t>
        </is>
      </c>
      <c r="I7" s="27" t="inlineStr">
        <is>
          <t>07</t>
        </is>
      </c>
      <c r="J7" s="27" t="n">
        <v>2023</v>
      </c>
    </row>
    <row r="8" ht="15" customHeight="1" s="24">
      <c r="A8" s="27" t="n">
        <v>100864</v>
      </c>
      <c r="B8" s="27" t="n">
        <v>9663</v>
      </c>
      <c r="C8" s="27" t="inlineStr">
        <is>
          <t>ArrivedAtPickupPoint</t>
        </is>
      </c>
      <c r="D8" s="41" t="n">
        <v>45122.08140171296</v>
      </c>
      <c r="E8" s="27" t="n">
        <v>-25.931499</v>
      </c>
      <c r="F8" s="27" t="n">
        <v>31.33677</v>
      </c>
      <c r="G8" s="27" t="inlineStr">
        <is>
          <t>Open</t>
        </is>
      </c>
      <c r="H8" s="27" t="inlineStr">
        <is>
          <t>ScannerApp</t>
        </is>
      </c>
      <c r="I8" s="27" t="inlineStr">
        <is>
          <t>07</t>
        </is>
      </c>
      <c r="J8" s="27" t="n">
        <v>2023</v>
      </c>
    </row>
    <row r="9" ht="15" customHeight="1" s="24">
      <c r="A9" s="27" t="n">
        <v>23718</v>
      </c>
      <c r="B9" s="27" t="n">
        <v>913</v>
      </c>
      <c r="C9" s="27" t="inlineStr">
        <is>
          <t>CollectedFromRetailer</t>
        </is>
      </c>
      <c r="D9" s="41" t="n">
        <v>45122.8014959838</v>
      </c>
      <c r="E9" s="27" t="n">
        <v>-28.141681</v>
      </c>
      <c r="F9" s="27" t="n">
        <v>31.707802</v>
      </c>
      <c r="G9" s="27" t="inlineStr">
        <is>
          <t>Open</t>
        </is>
      </c>
      <c r="H9" s="27" t="inlineStr">
        <is>
          <t>API</t>
        </is>
      </c>
      <c r="I9" s="27" t="inlineStr">
        <is>
          <t>07</t>
        </is>
      </c>
      <c r="J9" s="27" t="n">
        <v>2023</v>
      </c>
    </row>
    <row r="10" ht="15" customHeight="1" s="24">
      <c r="A10" s="27" t="n">
        <v>103434</v>
      </c>
      <c r="B10" s="27" t="n">
        <v>12237</v>
      </c>
      <c r="C10" s="27" t="inlineStr">
        <is>
          <t>ArrivedAtPickupPoint</t>
        </is>
      </c>
      <c r="D10" s="41" t="n">
        <v>45122.97648017361</v>
      </c>
      <c r="E10" s="27" t="n">
        <v>-26.377128</v>
      </c>
      <c r="F10" s="27" t="n">
        <v>27.247982</v>
      </c>
      <c r="G10" s="27" t="inlineStr">
        <is>
          <t>Open</t>
        </is>
      </c>
      <c r="H10" s="27" t="inlineStr">
        <is>
          <t>PartnerPOS</t>
        </is>
      </c>
      <c r="I10" s="27" t="inlineStr">
        <is>
          <t>07</t>
        </is>
      </c>
      <c r="J10" s="27" t="n">
        <v>2023</v>
      </c>
    </row>
    <row r="11" ht="15" customHeight="1" s="24">
      <c r="A11" s="27" t="n">
        <v>28216</v>
      </c>
      <c r="B11" s="27" t="n">
        <v>5411</v>
      </c>
      <c r="C11" s="27" t="inlineStr">
        <is>
          <t>CollectedFromRetailer</t>
        </is>
      </c>
      <c r="D11" s="41" t="n">
        <v>45128.26792824074</v>
      </c>
      <c r="E11" s="27" t="n">
        <v>-27.502123</v>
      </c>
      <c r="F11" s="27" t="n">
        <v>27.83833</v>
      </c>
      <c r="G11" s="27" t="inlineStr">
        <is>
          <t>Open</t>
        </is>
      </c>
      <c r="H11" s="27" t="inlineStr">
        <is>
          <t>API</t>
        </is>
      </c>
      <c r="I11" s="27" t="inlineStr">
        <is>
          <t>07</t>
        </is>
      </c>
      <c r="J11" s="27" t="n">
        <v>2023</v>
      </c>
    </row>
    <row r="12" ht="15" customHeight="1" s="24">
      <c r="A12" s="27" t="n">
        <v>103683</v>
      </c>
      <c r="B12" s="27" t="n">
        <v>12487</v>
      </c>
      <c r="C12" s="27" t="inlineStr">
        <is>
          <t>ArrivedAtPickupPoint</t>
        </is>
      </c>
      <c r="D12" s="41" t="n">
        <v>45129.00181318287</v>
      </c>
      <c r="E12" s="27" t="n">
        <v>-33.722387</v>
      </c>
      <c r="F12" s="27" t="n">
        <v>19.024572</v>
      </c>
      <c r="G12" s="27" t="inlineStr">
        <is>
          <t>Open</t>
        </is>
      </c>
      <c r="H12" s="27" t="inlineStr">
        <is>
          <t>PartnerPOS</t>
        </is>
      </c>
      <c r="I12" s="27" t="inlineStr">
        <is>
          <t>07</t>
        </is>
      </c>
      <c r="J12" s="27" t="n">
        <v>2023</v>
      </c>
    </row>
    <row r="13" ht="15" customHeight="1" s="24">
      <c r="A13" s="27" t="n">
        <v>119730</v>
      </c>
      <c r="B13" s="27" t="n">
        <v>5755</v>
      </c>
      <c r="C13" s="27" t="inlineStr">
        <is>
          <t>CustomerNotified</t>
        </is>
      </c>
      <c r="D13" s="41" t="n">
        <v>45129.70906802083</v>
      </c>
      <c r="E13" s="27" t="n">
        <v>-25.201989</v>
      </c>
      <c r="F13" s="27" t="n">
        <v>27.340555</v>
      </c>
      <c r="G13" s="27" t="inlineStr">
        <is>
          <t>Open</t>
        </is>
      </c>
      <c r="H13" s="27" t="inlineStr">
        <is>
          <t>PartnerPOS</t>
        </is>
      </c>
      <c r="I13" s="27" t="inlineStr">
        <is>
          <t>07</t>
        </is>
      </c>
      <c r="J13" s="27" t="n">
        <v>2023</v>
      </c>
    </row>
    <row r="14" ht="15" customHeight="1" s="24">
      <c r="A14" s="27" t="n">
        <v>55687</v>
      </c>
      <c r="B14" s="27" t="n">
        <v>10077</v>
      </c>
      <c r="C14" s="27" t="inlineStr">
        <is>
          <t>AtHub</t>
        </is>
      </c>
      <c r="D14" s="41" t="n">
        <v>45130.02393262731</v>
      </c>
      <c r="E14" s="27" t="n">
        <v>-30.288147</v>
      </c>
      <c r="F14" s="27" t="n">
        <v>27.198069</v>
      </c>
      <c r="G14" s="27" t="inlineStr">
        <is>
          <t>Open</t>
        </is>
      </c>
      <c r="H14" s="27" t="inlineStr">
        <is>
          <t>ScannerApp</t>
        </is>
      </c>
      <c r="I14" s="27" t="inlineStr">
        <is>
          <t>07</t>
        </is>
      </c>
      <c r="J14" s="27" t="n">
        <v>2023</v>
      </c>
    </row>
    <row r="15" ht="15" customHeight="1" s="24">
      <c r="A15" s="27" t="n">
        <v>125842</v>
      </c>
      <c r="B15" s="27" t="n">
        <v>11879</v>
      </c>
      <c r="C15" s="27" t="inlineStr">
        <is>
          <t>CustomerNotified</t>
        </is>
      </c>
      <c r="D15" s="41" t="n">
        <v>45133.05261670139</v>
      </c>
      <c r="E15" s="27" t="n">
        <v>-25.742392</v>
      </c>
      <c r="F15" s="27" t="n">
        <v>27.868731</v>
      </c>
      <c r="G15" s="27" t="inlineStr">
        <is>
          <t>Open</t>
        </is>
      </c>
      <c r="H15" s="27" t="inlineStr">
        <is>
          <t>ScannerApp</t>
        </is>
      </c>
      <c r="I15" s="27" t="inlineStr">
        <is>
          <t>07</t>
        </is>
      </c>
      <c r="J15" s="27" t="n">
        <v>2023</v>
      </c>
    </row>
    <row r="16" ht="15" customHeight="1" s="24">
      <c r="A16" s="27" t="n">
        <v>16213</v>
      </c>
      <c r="B16" s="27" t="n">
        <v>16213</v>
      </c>
      <c r="C16" s="27" t="inlineStr">
        <is>
          <t>Created</t>
        </is>
      </c>
      <c r="D16" s="41" t="n">
        <v>45133.46723898148</v>
      </c>
      <c r="E16" s="27" t="n">
        <v>-26.448331</v>
      </c>
      <c r="F16" s="27" t="n">
        <v>29.000992</v>
      </c>
      <c r="G16" s="27" t="inlineStr">
        <is>
          <t>Open</t>
        </is>
      </c>
      <c r="H16" s="27" t="inlineStr">
        <is>
          <t>ScannerApp</t>
        </is>
      </c>
      <c r="I16" s="27" t="inlineStr">
        <is>
          <t>07</t>
        </is>
      </c>
      <c r="J16" s="27" t="n">
        <v>2023</v>
      </c>
    </row>
    <row r="17" ht="15" customHeight="1" s="24">
      <c r="A17" s="27" t="n">
        <v>28028</v>
      </c>
      <c r="B17" s="27" t="n">
        <v>5223</v>
      </c>
      <c r="C17" s="27" t="inlineStr">
        <is>
          <t>CollectedFromRetailer</t>
        </is>
      </c>
      <c r="D17" s="41" t="n">
        <v>45134.64425356482</v>
      </c>
      <c r="E17" s="27" t="n">
        <v>-30.104915</v>
      </c>
      <c r="F17" s="27" t="n">
        <v>28.998436</v>
      </c>
      <c r="G17" s="27" t="inlineStr">
        <is>
          <t>Open</t>
        </is>
      </c>
      <c r="H17" s="27" t="inlineStr">
        <is>
          <t>ScannerApp</t>
        </is>
      </c>
      <c r="I17" s="27" t="inlineStr">
        <is>
          <t>07</t>
        </is>
      </c>
      <c r="J17" s="27" t="n">
        <v>2023</v>
      </c>
    </row>
    <row r="18" ht="15" customHeight="1" s="24">
      <c r="A18" s="27" t="n">
        <v>127150</v>
      </c>
      <c r="B18" s="27" t="n">
        <v>13191</v>
      </c>
      <c r="C18" s="27" t="inlineStr">
        <is>
          <t>CustomerNotified</t>
        </is>
      </c>
      <c r="D18" s="41" t="n">
        <v>45136.11906444444</v>
      </c>
      <c r="E18" s="27" t="n">
        <v>-25.653191</v>
      </c>
      <c r="F18" s="27" t="n">
        <v>28.346206</v>
      </c>
      <c r="G18" s="27" t="inlineStr">
        <is>
          <t>Open</t>
        </is>
      </c>
      <c r="H18" s="27" t="inlineStr">
        <is>
          <t>ScannerApp</t>
        </is>
      </c>
      <c r="I18" s="27" t="inlineStr">
        <is>
          <t>07</t>
        </is>
      </c>
      <c r="J18" s="27" t="n">
        <v>2023</v>
      </c>
    </row>
    <row r="19" ht="15" customHeight="1" s="24">
      <c r="A19" s="27" t="n">
        <v>157494</v>
      </c>
      <c r="B19" s="27" t="n">
        <v>22440</v>
      </c>
      <c r="C19" s="27" t="inlineStr">
        <is>
          <t>CollectedByCustomer</t>
        </is>
      </c>
      <c r="D19" s="41" t="n">
        <v>45136.16837506944</v>
      </c>
      <c r="E19" s="27" t="n">
        <v>-25.726346</v>
      </c>
      <c r="F19" s="27" t="n">
        <v>29.099905</v>
      </c>
      <c r="G19" s="27" t="inlineStr">
        <is>
          <t>Closed</t>
        </is>
      </c>
      <c r="H19" s="27" t="inlineStr">
        <is>
          <t>CourierGPS</t>
        </is>
      </c>
      <c r="I19" s="27" t="inlineStr">
        <is>
          <t>07</t>
        </is>
      </c>
      <c r="J19" s="27" t="n">
        <v>2023</v>
      </c>
    </row>
    <row r="20" ht="15" customHeight="1" s="24">
      <c r="A20" s="27" t="n">
        <v>141408</v>
      </c>
      <c r="B20" s="27" t="n">
        <v>5039</v>
      </c>
      <c r="C20" s="27" t="inlineStr">
        <is>
          <t>CollectedByCustomer</t>
        </is>
      </c>
      <c r="D20" s="41" t="n">
        <v>45137.30741394676</v>
      </c>
      <c r="E20" s="27" t="n">
        <v>-32.593833</v>
      </c>
      <c r="F20" s="27" t="n">
        <v>25.908597</v>
      </c>
      <c r="G20" s="27" t="inlineStr">
        <is>
          <t>Closed</t>
        </is>
      </c>
      <c r="H20" s="27" t="inlineStr">
        <is>
          <t>PartnerPOS</t>
        </is>
      </c>
      <c r="I20" s="27" t="inlineStr">
        <is>
          <t>07</t>
        </is>
      </c>
      <c r="J20" s="27" t="n">
        <v>2023</v>
      </c>
    </row>
    <row r="21" ht="15" customHeight="1" s="24">
      <c r="A21" s="27" t="n">
        <v>925</v>
      </c>
      <c r="B21" s="27" t="n">
        <v>925</v>
      </c>
      <c r="C21" s="27" t="inlineStr">
        <is>
          <t>Created</t>
        </is>
      </c>
      <c r="D21" s="41" t="n">
        <v>45137.88679324074</v>
      </c>
      <c r="E21" s="27" t="n">
        <v>-25.081263</v>
      </c>
      <c r="F21" s="27" t="n">
        <v>28.044496</v>
      </c>
      <c r="G21" s="27" t="inlineStr">
        <is>
          <t>Open</t>
        </is>
      </c>
      <c r="H21" s="27" t="inlineStr">
        <is>
          <t>ScannerApp</t>
        </is>
      </c>
      <c r="I21" s="27" t="inlineStr">
        <is>
          <t>07</t>
        </is>
      </c>
      <c r="J21" s="27" t="n">
        <v>2023</v>
      </c>
    </row>
    <row r="22" ht="15" customHeight="1" s="24">
      <c r="A22" s="27" t="n">
        <v>31231</v>
      </c>
      <c r="B22" s="27" t="n">
        <v>8426</v>
      </c>
      <c r="C22" s="27" t="inlineStr">
        <is>
          <t>CollectedFromRetailer</t>
        </is>
      </c>
      <c r="D22" s="41" t="n">
        <v>45138.52338466435</v>
      </c>
      <c r="E22" s="27" t="n">
        <v>-25.365423</v>
      </c>
      <c r="F22" s="27" t="n">
        <v>31.69556</v>
      </c>
      <c r="G22" s="27" t="inlineStr">
        <is>
          <t>Open</t>
        </is>
      </c>
      <c r="H22" s="27" t="inlineStr">
        <is>
          <t>CourierGPS</t>
        </is>
      </c>
      <c r="I22" s="27" t="inlineStr">
        <is>
          <t>07</t>
        </is>
      </c>
      <c r="J22" s="27" t="n">
        <v>2023</v>
      </c>
    </row>
    <row r="23" ht="15" customHeight="1" s="24">
      <c r="A23" s="27" t="n">
        <v>244588</v>
      </c>
      <c r="B23" s="27" t="n">
        <v>41465</v>
      </c>
      <c r="C23" s="27" t="inlineStr">
        <is>
          <t>InLinehaul</t>
        </is>
      </c>
      <c r="D23" s="41" t="n">
        <v>45142.01516690972</v>
      </c>
      <c r="E23" s="27" t="n">
        <v>-34.849297</v>
      </c>
      <c r="F23" s="27" t="n">
        <v>19.542707</v>
      </c>
      <c r="G23" s="27" t="inlineStr">
        <is>
          <t>Open</t>
        </is>
      </c>
      <c r="H23" s="27" t="inlineStr">
        <is>
          <t>ScannerApp</t>
        </is>
      </c>
      <c r="I23" s="27" t="inlineStr">
        <is>
          <t>08</t>
        </is>
      </c>
      <c r="J23" s="27" t="n">
        <v>2023</v>
      </c>
    </row>
    <row r="24" ht="15" customHeight="1" s="24">
      <c r="A24" s="27" t="n">
        <v>240277</v>
      </c>
      <c r="B24" s="27" t="n">
        <v>37154</v>
      </c>
      <c r="C24" s="27" t="inlineStr">
        <is>
          <t>InLinehaul</t>
        </is>
      </c>
      <c r="D24" s="41" t="n">
        <v>45142.38307296296</v>
      </c>
      <c r="E24" s="27" t="n">
        <v>-26.822871</v>
      </c>
      <c r="F24" s="27" t="n">
        <v>27.755992</v>
      </c>
      <c r="G24" s="27" t="inlineStr">
        <is>
          <t>Open</t>
        </is>
      </c>
      <c r="H24" s="27" t="inlineStr">
        <is>
          <t>ScannerApp</t>
        </is>
      </c>
      <c r="I24" s="27" t="inlineStr">
        <is>
          <t>08</t>
        </is>
      </c>
      <c r="J24" s="27" t="n">
        <v>2023</v>
      </c>
    </row>
    <row r="25" ht="15" customHeight="1" s="24">
      <c r="A25" s="27" t="n">
        <v>213707</v>
      </c>
      <c r="B25" s="27" t="n">
        <v>32846</v>
      </c>
      <c r="C25" s="27" t="inlineStr">
        <is>
          <t>AtHub</t>
        </is>
      </c>
      <c r="D25" s="41" t="n">
        <v>45144.16388649306</v>
      </c>
      <c r="E25" s="27" t="n">
        <v>-23.845592</v>
      </c>
      <c r="F25" s="27" t="n">
        <v>32.880904</v>
      </c>
      <c r="G25" s="27" t="inlineStr">
        <is>
          <t>Open</t>
        </is>
      </c>
      <c r="H25" s="27" t="inlineStr">
        <is>
          <t>CourierGPS</t>
        </is>
      </c>
      <c r="I25" s="27" t="inlineStr">
        <is>
          <t>08</t>
        </is>
      </c>
      <c r="J25" s="27" t="n">
        <v>2023</v>
      </c>
    </row>
    <row r="26" ht="15" customHeight="1" s="24">
      <c r="A26" s="27" t="n">
        <v>236109</v>
      </c>
      <c r="B26" s="27" t="n">
        <v>32986</v>
      </c>
      <c r="C26" s="27" t="inlineStr">
        <is>
          <t>InLinehaul</t>
        </is>
      </c>
      <c r="D26" s="41" t="n">
        <v>45144.79135613426</v>
      </c>
      <c r="E26" s="27" t="n">
        <v>-26.932925</v>
      </c>
      <c r="F26" s="27" t="n">
        <v>26.152672</v>
      </c>
      <c r="G26" s="27" t="inlineStr">
        <is>
          <t>Open</t>
        </is>
      </c>
      <c r="H26" s="27" t="inlineStr">
        <is>
          <t>API</t>
        </is>
      </c>
      <c r="I26" s="27" t="inlineStr">
        <is>
          <t>08</t>
        </is>
      </c>
      <c r="J26" s="27" t="n">
        <v>2023</v>
      </c>
    </row>
    <row r="27" ht="15" customHeight="1" s="24">
      <c r="A27" s="27" t="n">
        <v>163352</v>
      </c>
      <c r="B27" s="27" t="n">
        <v>27015</v>
      </c>
      <c r="C27" s="27" t="inlineStr">
        <is>
          <t>Created</t>
        </is>
      </c>
      <c r="D27" s="41" t="n">
        <v>45145.67938017361</v>
      </c>
      <c r="E27" s="27" t="n">
        <v>-31.835209</v>
      </c>
      <c r="F27" s="27" t="n">
        <v>19.111708</v>
      </c>
      <c r="G27" s="27" t="inlineStr">
        <is>
          <t>Open</t>
        </is>
      </c>
      <c r="H27" s="27" t="inlineStr">
        <is>
          <t>ScannerApp</t>
        </is>
      </c>
      <c r="I27" s="27" t="inlineStr">
        <is>
          <t>08</t>
        </is>
      </c>
      <c r="J27" s="27" t="n">
        <v>2023</v>
      </c>
    </row>
    <row r="28" ht="15" customHeight="1" s="24">
      <c r="A28" s="27" t="n">
        <v>196378</v>
      </c>
      <c r="B28" s="27" t="n">
        <v>37779</v>
      </c>
      <c r="C28" s="27" t="inlineStr">
        <is>
          <t>CollectedFromRetailer</t>
        </is>
      </c>
      <c r="D28" s="41" t="n">
        <v>45146.3288837963</v>
      </c>
      <c r="E28" s="27" t="n">
        <v>-24.883325</v>
      </c>
      <c r="F28" s="27" t="n">
        <v>26.889799</v>
      </c>
      <c r="G28" s="27" t="inlineStr">
        <is>
          <t>Open</t>
        </is>
      </c>
      <c r="H28" s="27" t="inlineStr">
        <is>
          <t>CourierGPS</t>
        </is>
      </c>
      <c r="I28" s="27" t="inlineStr">
        <is>
          <t>08</t>
        </is>
      </c>
      <c r="J28" s="27" t="n">
        <v>2023</v>
      </c>
    </row>
    <row r="29" ht="15" customHeight="1" s="24">
      <c r="A29" s="27" t="n">
        <v>196752</v>
      </c>
      <c r="B29" s="27" t="n">
        <v>38153</v>
      </c>
      <c r="C29" s="27" t="inlineStr">
        <is>
          <t>CollectedFromRetailer</t>
        </is>
      </c>
      <c r="D29" s="41" t="n">
        <v>45147.87038568287</v>
      </c>
      <c r="E29" s="27" t="n">
        <v>-26.993637</v>
      </c>
      <c r="F29" s="27" t="n">
        <v>26.401021</v>
      </c>
      <c r="G29" s="27" t="inlineStr">
        <is>
          <t>Open</t>
        </is>
      </c>
      <c r="H29" s="27" t="inlineStr">
        <is>
          <t>CourierGPS</t>
        </is>
      </c>
      <c r="I29" s="27" t="inlineStr">
        <is>
          <t>08</t>
        </is>
      </c>
      <c r="J29" s="27" t="n">
        <v>2023</v>
      </c>
    </row>
    <row r="30" ht="15" customHeight="1" s="24">
      <c r="A30" s="27" t="n">
        <v>247680</v>
      </c>
      <c r="B30" s="27" t="n">
        <v>44557</v>
      </c>
      <c r="C30" s="27" t="inlineStr">
        <is>
          <t>InLinehaul</t>
        </is>
      </c>
      <c r="D30" s="41" t="n">
        <v>45150.44066675926</v>
      </c>
      <c r="E30" s="27" t="n">
        <v>-26.125639</v>
      </c>
      <c r="F30" s="27" t="n">
        <v>26.878263</v>
      </c>
      <c r="G30" s="27" t="inlineStr">
        <is>
          <t>Open</t>
        </is>
      </c>
      <c r="H30" s="27" t="inlineStr">
        <is>
          <t>PartnerPOS</t>
        </is>
      </c>
      <c r="I30" s="27" t="inlineStr">
        <is>
          <t>08</t>
        </is>
      </c>
      <c r="J30" s="27" t="n">
        <v>2023</v>
      </c>
    </row>
    <row r="31" ht="15" customHeight="1" s="24">
      <c r="A31" s="27" t="n">
        <v>282655</v>
      </c>
      <c r="B31" s="27" t="n">
        <v>35072</v>
      </c>
      <c r="C31" s="27" t="inlineStr">
        <is>
          <t>CustomerNotified</t>
        </is>
      </c>
      <c r="D31" s="41" t="n">
        <v>45154.0035835301</v>
      </c>
      <c r="E31" s="27" t="n">
        <v>-23.868827</v>
      </c>
      <c r="F31" s="27" t="n">
        <v>30.384921</v>
      </c>
      <c r="G31" s="27" t="inlineStr">
        <is>
          <t>Open</t>
        </is>
      </c>
      <c r="H31" s="27" t="inlineStr">
        <is>
          <t>ScannerApp</t>
        </is>
      </c>
      <c r="I31" s="27" t="inlineStr">
        <is>
          <t>08</t>
        </is>
      </c>
      <c r="J31" s="27" t="n">
        <v>2023</v>
      </c>
    </row>
    <row r="32" ht="15" customHeight="1" s="24">
      <c r="A32" s="27" t="n">
        <v>171225</v>
      </c>
      <c r="B32" s="27" t="n">
        <v>34888</v>
      </c>
      <c r="C32" s="27" t="inlineStr">
        <is>
          <t>Created</t>
        </is>
      </c>
      <c r="D32" s="41" t="n">
        <v>45155.15470361111</v>
      </c>
      <c r="E32" s="27" t="n">
        <v>-26.748865</v>
      </c>
      <c r="F32" s="27" t="n">
        <v>29.025316</v>
      </c>
      <c r="G32" s="27" t="inlineStr">
        <is>
          <t>Open</t>
        </is>
      </c>
      <c r="H32" s="27" t="inlineStr">
        <is>
          <t>ScannerApp</t>
        </is>
      </c>
      <c r="I32" s="27" t="inlineStr">
        <is>
          <t>08</t>
        </is>
      </c>
      <c r="J32" s="27" t="n">
        <v>2023</v>
      </c>
    </row>
    <row r="33" ht="15" customHeight="1" s="24">
      <c r="A33" s="27" t="n">
        <v>245017</v>
      </c>
      <c r="B33" s="27" t="n">
        <v>41894</v>
      </c>
      <c r="C33" s="27" t="inlineStr">
        <is>
          <t>InLinehaul</t>
        </is>
      </c>
      <c r="D33" s="41" t="n">
        <v>45155.2236471412</v>
      </c>
      <c r="E33" s="27" t="n">
        <v>-25.048143</v>
      </c>
      <c r="F33" s="27" t="n">
        <v>27.283809</v>
      </c>
      <c r="G33" s="27" t="inlineStr">
        <is>
          <t>Open</t>
        </is>
      </c>
      <c r="H33" s="27" t="inlineStr">
        <is>
          <t>CourierGPS</t>
        </is>
      </c>
      <c r="I33" s="27" t="inlineStr">
        <is>
          <t>08</t>
        </is>
      </c>
      <c r="J33" s="27" t="n">
        <v>2023</v>
      </c>
    </row>
    <row r="34" ht="15" customHeight="1" s="24">
      <c r="A34" s="27" t="n">
        <v>167896</v>
      </c>
      <c r="B34" s="27" t="n">
        <v>31559</v>
      </c>
      <c r="C34" s="27" t="inlineStr">
        <is>
          <t>Created</t>
        </is>
      </c>
      <c r="D34" s="41" t="n">
        <v>45156.25433885417</v>
      </c>
      <c r="E34" s="27" t="n">
        <v>-33.535634</v>
      </c>
      <c r="F34" s="27" t="n">
        <v>20.571399</v>
      </c>
      <c r="G34" s="27" t="inlineStr">
        <is>
          <t>Open</t>
        </is>
      </c>
      <c r="H34" s="27" t="inlineStr">
        <is>
          <t>PartnerPOS</t>
        </is>
      </c>
      <c r="I34" s="27" t="inlineStr">
        <is>
          <t>08</t>
        </is>
      </c>
      <c r="J34" s="27" t="n">
        <v>2023</v>
      </c>
    </row>
    <row r="35" ht="15" customHeight="1" s="24">
      <c r="A35" s="27" t="n">
        <v>191832</v>
      </c>
      <c r="B35" s="27" t="n">
        <v>33233</v>
      </c>
      <c r="C35" s="27" t="inlineStr">
        <is>
          <t>CollectedFromRetailer</t>
        </is>
      </c>
      <c r="D35" s="41" t="n">
        <v>45157.45016163195</v>
      </c>
      <c r="E35" s="27" t="n">
        <v>-23.061833</v>
      </c>
      <c r="F35" s="27" t="n">
        <v>27.676439</v>
      </c>
      <c r="G35" s="27" t="inlineStr">
        <is>
          <t>Open</t>
        </is>
      </c>
      <c r="H35" s="27" t="inlineStr">
        <is>
          <t>CourierGPS</t>
        </is>
      </c>
      <c r="I35" s="27" t="inlineStr">
        <is>
          <t>08</t>
        </is>
      </c>
      <c r="J35" s="27" t="n">
        <v>2023</v>
      </c>
    </row>
    <row r="36" ht="15" customHeight="1" s="24">
      <c r="A36" s="27" t="n">
        <v>252075</v>
      </c>
      <c r="B36" s="27" t="n">
        <v>26696</v>
      </c>
      <c r="C36" s="27" t="inlineStr">
        <is>
          <t>ArrivedAtPickupPoint</t>
        </is>
      </c>
      <c r="D36" s="41" t="n">
        <v>45158.9103521875</v>
      </c>
      <c r="E36" s="27" t="n">
        <v>-28.796717</v>
      </c>
      <c r="F36" s="27" t="n">
        <v>23.368538</v>
      </c>
      <c r="G36" s="27" t="inlineStr">
        <is>
          <t>Open</t>
        </is>
      </c>
      <c r="H36" s="27" t="inlineStr">
        <is>
          <t>PartnerPOS</t>
        </is>
      </c>
      <c r="I36" s="27" t="inlineStr">
        <is>
          <t>08</t>
        </is>
      </c>
      <c r="J36" s="27" t="n">
        <v>2023</v>
      </c>
    </row>
    <row r="37" ht="15" customHeight="1" s="24">
      <c r="A37" s="27" t="n">
        <v>169211</v>
      </c>
      <c r="B37" s="27" t="n">
        <v>32874</v>
      </c>
      <c r="C37" s="27" t="inlineStr">
        <is>
          <t>Created</t>
        </is>
      </c>
      <c r="D37" s="41" t="n">
        <v>45161.83766782407</v>
      </c>
      <c r="E37" s="27" t="n">
        <v>-33.761171</v>
      </c>
      <c r="F37" s="27" t="n">
        <v>30.195725</v>
      </c>
      <c r="G37" s="27" t="inlineStr">
        <is>
          <t>Open</t>
        </is>
      </c>
      <c r="H37" s="27" t="inlineStr">
        <is>
          <t>API</t>
        </is>
      </c>
      <c r="I37" s="27" t="inlineStr">
        <is>
          <t>08</t>
        </is>
      </c>
      <c r="J37" s="27" t="n">
        <v>2023</v>
      </c>
    </row>
    <row r="38" ht="15" customHeight="1" s="24">
      <c r="A38" s="27" t="n">
        <v>229550</v>
      </c>
      <c r="B38" s="27" t="n">
        <v>26427</v>
      </c>
      <c r="C38" s="27" t="inlineStr">
        <is>
          <t>InLinehaul</t>
        </is>
      </c>
      <c r="D38" s="41" t="n">
        <v>45162.67128042824</v>
      </c>
      <c r="E38" s="27" t="n">
        <v>-34.778918</v>
      </c>
      <c r="F38" s="27" t="n">
        <v>26.203737</v>
      </c>
      <c r="G38" s="27" t="inlineStr">
        <is>
          <t>Open</t>
        </is>
      </c>
      <c r="H38" s="27" t="inlineStr">
        <is>
          <t>CourierGPS</t>
        </is>
      </c>
      <c r="I38" s="27" t="inlineStr">
        <is>
          <t>08</t>
        </is>
      </c>
      <c r="J38" s="27" t="n">
        <v>2023</v>
      </c>
    </row>
    <row r="39" ht="15" customHeight="1" s="24">
      <c r="A39" s="27" t="n">
        <v>287546</v>
      </c>
      <c r="B39" s="27" t="n">
        <v>39970</v>
      </c>
      <c r="C39" s="27" t="inlineStr">
        <is>
          <t>CustomerNotified</t>
        </is>
      </c>
      <c r="D39" s="41" t="n">
        <v>45167.27896313657</v>
      </c>
      <c r="E39" s="27" t="n">
        <v>-25.352241</v>
      </c>
      <c r="F39" s="27" t="n">
        <v>28.455466</v>
      </c>
      <c r="G39" s="27" t="inlineStr">
        <is>
          <t>Open</t>
        </is>
      </c>
      <c r="H39" s="27" t="inlineStr">
        <is>
          <t>PartnerPOS</t>
        </is>
      </c>
      <c r="I39" s="27" t="inlineStr">
        <is>
          <t>08</t>
        </is>
      </c>
      <c r="J39" s="27" t="n">
        <v>2023</v>
      </c>
    </row>
    <row r="40" ht="15" customHeight="1" s="24">
      <c r="A40" s="27" t="n">
        <v>261611</v>
      </c>
      <c r="B40" s="27" t="n">
        <v>36254</v>
      </c>
      <c r="C40" s="27" t="inlineStr">
        <is>
          <t>ArrivedAtPickupPoint</t>
        </is>
      </c>
      <c r="D40" s="41" t="n">
        <v>45168.15056385416</v>
      </c>
      <c r="E40" s="27" t="n">
        <v>-33.722387</v>
      </c>
      <c r="F40" s="27" t="n">
        <v>19.024572</v>
      </c>
      <c r="G40" s="27" t="inlineStr">
        <is>
          <t>Open</t>
        </is>
      </c>
      <c r="H40" s="27" t="inlineStr">
        <is>
          <t>CourierGPS</t>
        </is>
      </c>
      <c r="I40" s="27" t="inlineStr">
        <is>
          <t>08</t>
        </is>
      </c>
      <c r="J40" s="27" t="n">
        <v>2023</v>
      </c>
    </row>
    <row r="41" ht="15" customHeight="1" s="24">
      <c r="A41" s="27" t="n">
        <v>165890</v>
      </c>
      <c r="B41" s="27" t="n">
        <v>29553</v>
      </c>
      <c r="C41" s="27" t="inlineStr">
        <is>
          <t>Created</t>
        </is>
      </c>
      <c r="D41" s="41" t="n">
        <v>45168.1581878125</v>
      </c>
      <c r="E41" s="27" t="n">
        <v>-27.315425</v>
      </c>
      <c r="F41" s="27" t="n">
        <v>30.708627</v>
      </c>
      <c r="G41" s="27" t="inlineStr">
        <is>
          <t>Open</t>
        </is>
      </c>
      <c r="H41" s="27" t="inlineStr">
        <is>
          <t>API</t>
        </is>
      </c>
      <c r="I41" s="27" t="inlineStr">
        <is>
          <t>08</t>
        </is>
      </c>
      <c r="J41" s="27" t="n">
        <v>2023</v>
      </c>
    </row>
    <row r="42" ht="15" customHeight="1" s="24">
      <c r="A42" s="27" t="n">
        <v>422490</v>
      </c>
      <c r="B42" s="27" t="n">
        <v>61918</v>
      </c>
      <c r="C42" s="27" t="inlineStr">
        <is>
          <t>ArrivedAtPickupPoint</t>
        </is>
      </c>
      <c r="D42" s="41" t="n">
        <v>45174.2772602662</v>
      </c>
      <c r="E42" s="27" t="n">
        <v>-28.745525</v>
      </c>
      <c r="F42" s="27" t="n">
        <v>27.339606</v>
      </c>
      <c r="G42" s="27" t="inlineStr">
        <is>
          <t>Open</t>
        </is>
      </c>
      <c r="H42" s="27" t="inlineStr">
        <is>
          <t>CourierGPS</t>
        </is>
      </c>
      <c r="I42" s="27" t="inlineStr">
        <is>
          <t>09</t>
        </is>
      </c>
      <c r="J42" s="27" t="n">
        <v>2023</v>
      </c>
    </row>
    <row r="43" ht="15" customHeight="1" s="24">
      <c r="A43" s="27" t="n">
        <v>445313</v>
      </c>
      <c r="B43" s="27" t="n">
        <v>61983</v>
      </c>
      <c r="C43" s="27" t="inlineStr">
        <is>
          <t>CustomerNotified</t>
        </is>
      </c>
      <c r="D43" s="41" t="n">
        <v>45175.91365226852</v>
      </c>
      <c r="E43" s="27" t="n">
        <v>-32.064027</v>
      </c>
      <c r="F43" s="27" t="n">
        <v>22.042747</v>
      </c>
      <c r="G43" s="27" t="inlineStr">
        <is>
          <t>Open</t>
        </is>
      </c>
      <c r="H43" s="27" t="inlineStr">
        <is>
          <t>PartnerPOS</t>
        </is>
      </c>
      <c r="I43" s="27" t="inlineStr">
        <is>
          <t>09</t>
        </is>
      </c>
      <c r="J43" s="27" t="n">
        <v>2023</v>
      </c>
    </row>
    <row r="44" ht="15" customHeight="1" s="24">
      <c r="A44" s="27" t="n">
        <v>416328</v>
      </c>
      <c r="B44" s="27" t="n">
        <v>55743</v>
      </c>
      <c r="C44" s="27" t="inlineStr">
        <is>
          <t>ArrivedAtPickupPoint</t>
        </is>
      </c>
      <c r="D44" s="41" t="n">
        <v>45175.95984054398</v>
      </c>
      <c r="E44" s="27" t="n">
        <v>-26.605962</v>
      </c>
      <c r="F44" s="27" t="n">
        <v>28.109153</v>
      </c>
      <c r="G44" s="27" t="inlineStr">
        <is>
          <t>Open</t>
        </is>
      </c>
      <c r="H44" s="27" t="inlineStr">
        <is>
          <t>CourierGPS</t>
        </is>
      </c>
      <c r="I44" s="27" t="inlineStr">
        <is>
          <t>09</t>
        </is>
      </c>
      <c r="J44" s="27" t="n">
        <v>2023</v>
      </c>
    </row>
    <row r="45" ht="15" customHeight="1" s="24">
      <c r="A45" s="27" t="n">
        <v>335824</v>
      </c>
      <c r="B45" s="27" t="n">
        <v>66441</v>
      </c>
      <c r="C45" s="27" t="inlineStr">
        <is>
          <t>Created</t>
        </is>
      </c>
      <c r="D45" s="41" t="n">
        <v>45177.36118244213</v>
      </c>
      <c r="E45" s="27" t="n">
        <v>-25.273782</v>
      </c>
      <c r="F45" s="27" t="n">
        <v>26.768728</v>
      </c>
      <c r="G45" s="27" t="inlineStr">
        <is>
          <t>Open</t>
        </is>
      </c>
      <c r="H45" s="27" t="inlineStr">
        <is>
          <t>ScannerApp</t>
        </is>
      </c>
      <c r="I45" s="27" t="inlineStr">
        <is>
          <t>09</t>
        </is>
      </c>
      <c r="J45" s="27" t="n">
        <v>2023</v>
      </c>
    </row>
    <row r="46" ht="15" customHeight="1" s="24">
      <c r="A46" s="27" t="n">
        <v>376521</v>
      </c>
      <c r="B46" s="27" t="n">
        <v>61528</v>
      </c>
      <c r="C46" s="27" t="inlineStr">
        <is>
          <t>AtHub</t>
        </is>
      </c>
      <c r="D46" s="41" t="n">
        <v>45180.30136450232</v>
      </c>
      <c r="E46" s="27" t="n">
        <v>-27.162606</v>
      </c>
      <c r="F46" s="27" t="n">
        <v>25.924764</v>
      </c>
      <c r="G46" s="27" t="inlineStr">
        <is>
          <t>Open</t>
        </is>
      </c>
      <c r="H46" s="27" t="inlineStr">
        <is>
          <t>CourierGPS</t>
        </is>
      </c>
      <c r="I46" s="27" t="inlineStr">
        <is>
          <t>09</t>
        </is>
      </c>
      <c r="J46" s="27" t="n">
        <v>2023</v>
      </c>
    </row>
    <row r="47" ht="15" customHeight="1" s="24">
      <c r="A47" s="27" t="n">
        <v>318679</v>
      </c>
      <c r="B47" s="27" t="n">
        <v>49296</v>
      </c>
      <c r="C47" s="27" t="inlineStr">
        <is>
          <t>Created</t>
        </is>
      </c>
      <c r="D47" s="41" t="n">
        <v>45181.39457158565</v>
      </c>
      <c r="E47" s="27" t="n">
        <v>-27.059508</v>
      </c>
      <c r="F47" s="27" t="n">
        <v>28.488839</v>
      </c>
      <c r="G47" s="27" t="inlineStr">
        <is>
          <t>Open</t>
        </is>
      </c>
      <c r="H47" s="27" t="inlineStr">
        <is>
          <t>CourierGPS</t>
        </is>
      </c>
      <c r="I47" s="27" t="inlineStr">
        <is>
          <t>09</t>
        </is>
      </c>
      <c r="J47" s="27" t="n">
        <v>2023</v>
      </c>
    </row>
    <row r="48" ht="15" customHeight="1" s="24">
      <c r="A48" s="27" t="n">
        <v>378192</v>
      </c>
      <c r="B48" s="27" t="n">
        <v>63199</v>
      </c>
      <c r="C48" s="27" t="inlineStr">
        <is>
          <t>AtHub</t>
        </is>
      </c>
      <c r="D48" s="41" t="n">
        <v>45181.61923034722</v>
      </c>
      <c r="E48" s="27" t="n">
        <v>-24.941665</v>
      </c>
      <c r="F48" s="27" t="n">
        <v>27.795501</v>
      </c>
      <c r="G48" s="27" t="inlineStr">
        <is>
          <t>Open</t>
        </is>
      </c>
      <c r="H48" s="27" t="inlineStr">
        <is>
          <t>ScannerApp</t>
        </is>
      </c>
      <c r="I48" s="27" t="inlineStr">
        <is>
          <t>09</t>
        </is>
      </c>
      <c r="J48" s="27" t="n">
        <v>2023</v>
      </c>
    </row>
    <row r="49" ht="15" customHeight="1" s="24">
      <c r="A49" s="27" t="n">
        <v>472746</v>
      </c>
      <c r="B49" s="27" t="n">
        <v>54599</v>
      </c>
      <c r="C49" s="27" t="inlineStr">
        <is>
          <t>ExpiredReturnedToSender</t>
        </is>
      </c>
      <c r="D49" s="41" t="n">
        <v>45183.14435767361</v>
      </c>
      <c r="E49" s="27" t="n">
        <v>-24.929746</v>
      </c>
      <c r="F49" s="27" t="n">
        <v>31.222567</v>
      </c>
      <c r="G49" s="27" t="inlineStr">
        <is>
          <t>RTS</t>
        </is>
      </c>
      <c r="H49" s="27" t="inlineStr">
        <is>
          <t>ScannerApp</t>
        </is>
      </c>
      <c r="I49" s="27" t="inlineStr">
        <is>
          <t>09</t>
        </is>
      </c>
      <c r="J49" s="27" t="n">
        <v>2023</v>
      </c>
    </row>
    <row r="50" ht="15" customHeight="1" s="24">
      <c r="A50" s="27" t="n">
        <v>379570</v>
      </c>
      <c r="B50" s="27" t="n">
        <v>64577</v>
      </c>
      <c r="C50" s="27" t="inlineStr">
        <is>
          <t>AtHub</t>
        </is>
      </c>
      <c r="D50" s="41" t="n">
        <v>45183.69386600694</v>
      </c>
      <c r="E50" s="27" t="n">
        <v>-26.457875</v>
      </c>
      <c r="F50" s="27" t="n">
        <v>28.546272</v>
      </c>
      <c r="G50" s="27" t="inlineStr">
        <is>
          <t>Open</t>
        </is>
      </c>
      <c r="H50" s="27" t="inlineStr">
        <is>
          <t>ScannerApp</t>
        </is>
      </c>
      <c r="I50" s="27" t="inlineStr">
        <is>
          <t>09</t>
        </is>
      </c>
      <c r="J50" s="27" t="n">
        <v>2023</v>
      </c>
    </row>
    <row r="51" ht="15" customHeight="1" s="24">
      <c r="A51" s="27" t="n">
        <v>424350</v>
      </c>
      <c r="B51" s="27" t="n">
        <v>63783</v>
      </c>
      <c r="C51" s="27" t="inlineStr">
        <is>
          <t>ArrivedAtPickupPoint</t>
        </is>
      </c>
      <c r="D51" s="41" t="n">
        <v>45184.96567810185</v>
      </c>
      <c r="E51" s="27" t="n">
        <v>-25.931499</v>
      </c>
      <c r="F51" s="27" t="n">
        <v>31.33677</v>
      </c>
      <c r="G51" s="27" t="inlineStr">
        <is>
          <t>Open</t>
        </is>
      </c>
      <c r="H51" s="27" t="inlineStr">
        <is>
          <t>PartnerPOS</t>
        </is>
      </c>
      <c r="I51" s="27" t="inlineStr">
        <is>
          <t>09</t>
        </is>
      </c>
      <c r="J51" s="27" t="n">
        <v>2023</v>
      </c>
    </row>
    <row r="52" ht="15" customHeight="1" s="24">
      <c r="A52" s="27" t="n">
        <v>411200</v>
      </c>
      <c r="B52" s="27" t="n">
        <v>50608</v>
      </c>
      <c r="C52" s="27" t="inlineStr">
        <is>
          <t>ArrivedAtPickupPoint</t>
        </is>
      </c>
      <c r="D52" s="41" t="n">
        <v>45185.02522887731</v>
      </c>
      <c r="E52" s="27" t="n">
        <v>-25.927006</v>
      </c>
      <c r="F52" s="27" t="n">
        <v>26.502597</v>
      </c>
      <c r="G52" s="27" t="inlineStr">
        <is>
          <t>Open</t>
        </is>
      </c>
      <c r="H52" s="27" t="inlineStr">
        <is>
          <t>PartnerPOS</t>
        </is>
      </c>
      <c r="I52" s="27" t="inlineStr">
        <is>
          <t>09</t>
        </is>
      </c>
      <c r="J52" s="27" t="n">
        <v>2023</v>
      </c>
    </row>
    <row r="53" ht="15" customHeight="1" s="24">
      <c r="A53" s="27" t="n">
        <v>467414</v>
      </c>
      <c r="B53" s="27" t="n">
        <v>62644</v>
      </c>
      <c r="C53" s="27" t="inlineStr">
        <is>
          <t>CollectedByCustomer</t>
        </is>
      </c>
      <c r="D53" s="41" t="n">
        <v>45185.47102193287</v>
      </c>
      <c r="E53" s="27" t="n">
        <v>-29.138179</v>
      </c>
      <c r="F53" s="27" t="n">
        <v>30.848295</v>
      </c>
      <c r="G53" s="27" t="inlineStr">
        <is>
          <t>Closed</t>
        </is>
      </c>
      <c r="H53" s="27" t="inlineStr">
        <is>
          <t>ScannerApp</t>
        </is>
      </c>
      <c r="I53" s="27" t="inlineStr">
        <is>
          <t>09</t>
        </is>
      </c>
      <c r="J53" s="27" t="n">
        <v>2023</v>
      </c>
    </row>
    <row r="54" ht="15" customHeight="1" s="24">
      <c r="A54" s="27" t="n">
        <v>329878</v>
      </c>
      <c r="B54" s="27" t="n">
        <v>60495</v>
      </c>
      <c r="C54" s="27" t="inlineStr">
        <is>
          <t>Created</t>
        </is>
      </c>
      <c r="D54" s="41" t="n">
        <v>45185.85600165509</v>
      </c>
      <c r="E54" s="27" t="n">
        <v>-24.192379</v>
      </c>
      <c r="F54" s="27" t="n">
        <v>29.15413</v>
      </c>
      <c r="G54" s="27" t="inlineStr">
        <is>
          <t>Open</t>
        </is>
      </c>
      <c r="H54" s="27" t="inlineStr">
        <is>
          <t>PartnerPOS</t>
        </is>
      </c>
      <c r="I54" s="27" t="inlineStr">
        <is>
          <t>09</t>
        </is>
      </c>
      <c r="J54" s="27" t="n">
        <v>2023</v>
      </c>
    </row>
    <row r="55" ht="15" customHeight="1" s="24">
      <c r="A55" s="27" t="n">
        <v>382178</v>
      </c>
      <c r="B55" s="27" t="n">
        <v>67185</v>
      </c>
      <c r="C55" s="27" t="inlineStr">
        <is>
          <t>AtHub</t>
        </is>
      </c>
      <c r="D55" s="41" t="n">
        <v>45185.95655733797</v>
      </c>
      <c r="E55" s="27" t="n">
        <v>-27.823135</v>
      </c>
      <c r="F55" s="27" t="n">
        <v>32.208678</v>
      </c>
      <c r="G55" s="27" t="inlineStr">
        <is>
          <t>Open</t>
        </is>
      </c>
      <c r="H55" s="27" t="inlineStr">
        <is>
          <t>CourierGPS</t>
        </is>
      </c>
      <c r="I55" s="27" t="inlineStr">
        <is>
          <t>09</t>
        </is>
      </c>
      <c r="J55" s="27" t="n">
        <v>2023</v>
      </c>
    </row>
    <row r="56" ht="15" customHeight="1" s="24">
      <c r="A56" s="27" t="n">
        <v>319543</v>
      </c>
      <c r="B56" s="27" t="n">
        <v>50160</v>
      </c>
      <c r="C56" s="27" t="inlineStr">
        <is>
          <t>Created</t>
        </is>
      </c>
      <c r="D56" s="41" t="n">
        <v>45187.04305413194</v>
      </c>
      <c r="E56" s="27" t="n">
        <v>-27.375245</v>
      </c>
      <c r="F56" s="27" t="n">
        <v>28.692176</v>
      </c>
      <c r="G56" s="27" t="inlineStr">
        <is>
          <t>Open</t>
        </is>
      </c>
      <c r="H56" s="27" t="inlineStr">
        <is>
          <t>API</t>
        </is>
      </c>
      <c r="I56" s="27" t="inlineStr">
        <is>
          <t>09</t>
        </is>
      </c>
      <c r="J56" s="27" t="n">
        <v>2023</v>
      </c>
    </row>
    <row r="57" ht="15" customHeight="1" s="24">
      <c r="A57" s="27" t="n">
        <v>387846</v>
      </c>
      <c r="B57" s="27" t="n">
        <v>50048</v>
      </c>
      <c r="C57" s="27" t="inlineStr">
        <is>
          <t>InLinehaul</t>
        </is>
      </c>
      <c r="D57" s="41" t="n">
        <v>45191.81019792824</v>
      </c>
      <c r="E57" s="27" t="n">
        <v>-28.513514</v>
      </c>
      <c r="F57" s="27" t="n">
        <v>25.892493</v>
      </c>
      <c r="G57" s="27" t="inlineStr">
        <is>
          <t>Open</t>
        </is>
      </c>
      <c r="H57" s="27" t="inlineStr">
        <is>
          <t>ScannerApp</t>
        </is>
      </c>
      <c r="I57" s="27" t="inlineStr">
        <is>
          <t>09</t>
        </is>
      </c>
      <c r="J57" s="27" t="n">
        <v>2023</v>
      </c>
    </row>
    <row r="58" ht="15" customHeight="1" s="24">
      <c r="A58" s="27" t="n">
        <v>385059</v>
      </c>
      <c r="B58" s="27" t="n">
        <v>47261</v>
      </c>
      <c r="C58" s="27" t="inlineStr">
        <is>
          <t>InLinehaul</t>
        </is>
      </c>
      <c r="D58" s="41" t="n">
        <v>45193.51797905093</v>
      </c>
      <c r="E58" s="27" t="n">
        <v>-31.80753</v>
      </c>
      <c r="F58" s="27" t="n">
        <v>26.319901</v>
      </c>
      <c r="G58" s="27" t="inlineStr">
        <is>
          <t>Open</t>
        </is>
      </c>
      <c r="H58" s="27" t="inlineStr">
        <is>
          <t>ScannerApp</t>
        </is>
      </c>
      <c r="I58" s="27" t="inlineStr">
        <is>
          <t>09</t>
        </is>
      </c>
      <c r="J58" s="27" t="n">
        <v>2023</v>
      </c>
    </row>
    <row r="59" ht="15" customHeight="1" s="24">
      <c r="A59" s="27" t="n">
        <v>350171</v>
      </c>
      <c r="B59" s="27" t="n">
        <v>57983</v>
      </c>
      <c r="C59" s="27" t="inlineStr">
        <is>
          <t>CollectedFromRetailer</t>
        </is>
      </c>
      <c r="D59" s="41" t="n">
        <v>45193.8907528125</v>
      </c>
      <c r="E59" s="27" t="n">
        <v>-24.514774</v>
      </c>
      <c r="F59" s="27" t="n">
        <v>30.238879</v>
      </c>
      <c r="G59" s="27" t="inlineStr">
        <is>
          <t>Open</t>
        </is>
      </c>
      <c r="H59" s="27" t="inlineStr">
        <is>
          <t>CourierGPS</t>
        </is>
      </c>
      <c r="I59" s="27" t="inlineStr">
        <is>
          <t>09</t>
        </is>
      </c>
      <c r="J59" s="27" t="n">
        <v>2023</v>
      </c>
    </row>
    <row r="60" ht="15" customHeight="1" s="24">
      <c r="A60" s="27" t="n">
        <v>342005</v>
      </c>
      <c r="B60" s="27" t="n">
        <v>49817</v>
      </c>
      <c r="C60" s="27" t="inlineStr">
        <is>
          <t>CollectedFromRetailer</t>
        </is>
      </c>
      <c r="D60" s="41" t="n">
        <v>45195.29179216435</v>
      </c>
      <c r="E60" s="27" t="n">
        <v>-29.785138</v>
      </c>
      <c r="F60" s="27" t="n">
        <v>31.755478</v>
      </c>
      <c r="G60" s="27" t="inlineStr">
        <is>
          <t>Open</t>
        </is>
      </c>
      <c r="H60" s="27" t="inlineStr">
        <is>
          <t>ScannerApp</t>
        </is>
      </c>
      <c r="I60" s="27" t="inlineStr">
        <is>
          <t>09</t>
        </is>
      </c>
      <c r="J60" s="27" t="n">
        <v>2023</v>
      </c>
    </row>
    <row r="61" ht="15" customHeight="1" s="24">
      <c r="A61" s="27" t="n">
        <v>361757</v>
      </c>
      <c r="B61" s="27" t="n">
        <v>46764</v>
      </c>
      <c r="C61" s="27" t="inlineStr">
        <is>
          <t>AtHub</t>
        </is>
      </c>
      <c r="D61" s="41" t="n">
        <v>45196.31678100694</v>
      </c>
      <c r="E61" s="27" t="n">
        <v>-25.617198</v>
      </c>
      <c r="F61" s="27" t="n">
        <v>25.006093</v>
      </c>
      <c r="G61" s="27" t="inlineStr">
        <is>
          <t>Open</t>
        </is>
      </c>
      <c r="H61" s="27" t="inlineStr">
        <is>
          <t>CourierGPS</t>
        </is>
      </c>
      <c r="I61" s="27" t="inlineStr">
        <is>
          <t>09</t>
        </is>
      </c>
      <c r="J61" s="27" t="n">
        <v>2023</v>
      </c>
    </row>
    <row r="62" ht="15" customHeight="1" s="24">
      <c r="A62" s="27" t="n">
        <v>449419</v>
      </c>
      <c r="B62" s="27" t="n">
        <v>66102</v>
      </c>
      <c r="C62" s="27" t="inlineStr">
        <is>
          <t>CustomerNotified</t>
        </is>
      </c>
      <c r="D62" s="41" t="n">
        <v>45197.75053206018</v>
      </c>
      <c r="E62" s="27" t="n">
        <v>-26.080407</v>
      </c>
      <c r="F62" s="27" t="n">
        <v>27.672331</v>
      </c>
      <c r="G62" s="27" t="inlineStr">
        <is>
          <t>Open</t>
        </is>
      </c>
      <c r="H62" s="27" t="inlineStr">
        <is>
          <t>ScannerApp</t>
        </is>
      </c>
      <c r="I62" s="27" t="inlineStr">
        <is>
          <t>09</t>
        </is>
      </c>
      <c r="J62" s="27" t="n">
        <v>2023</v>
      </c>
    </row>
    <row r="63" ht="15" customHeight="1" s="24">
      <c r="A63" s="27" t="n">
        <v>441065</v>
      </c>
      <c r="B63" s="27" t="n">
        <v>57724</v>
      </c>
      <c r="C63" s="27" t="inlineStr">
        <is>
          <t>CustomerNotified</t>
        </is>
      </c>
      <c r="D63" s="41" t="n">
        <v>45200.48554790509</v>
      </c>
      <c r="E63" s="27" t="n">
        <v>-24.738135</v>
      </c>
      <c r="F63" s="27" t="n">
        <v>29.85013</v>
      </c>
      <c r="G63" s="27" t="inlineStr">
        <is>
          <t>Open</t>
        </is>
      </c>
      <c r="H63" s="27" t="inlineStr">
        <is>
          <t>ScannerApp</t>
        </is>
      </c>
      <c r="I63" s="27" t="inlineStr">
        <is>
          <t>09</t>
        </is>
      </c>
      <c r="J63" s="27" t="n">
        <v>2023</v>
      </c>
    </row>
    <row r="64" ht="15" customHeight="1" s="24">
      <c r="A64" s="27" t="n">
        <v>407462</v>
      </c>
      <c r="B64" s="27" t="n">
        <v>46864</v>
      </c>
      <c r="C64" s="27" t="inlineStr">
        <is>
          <t>ArrivedAtPickupPoint</t>
        </is>
      </c>
      <c r="D64" s="41" t="n">
        <v>45200.68667299768</v>
      </c>
      <c r="E64" s="27" t="n">
        <v>-23.868827</v>
      </c>
      <c r="F64" s="27" t="n">
        <v>30.384921</v>
      </c>
      <c r="G64" s="27" t="inlineStr">
        <is>
          <t>Open</t>
        </is>
      </c>
      <c r="H64" s="27" t="inlineStr">
        <is>
          <t>CourierGPS</t>
        </is>
      </c>
      <c r="I64" s="27" t="inlineStr">
        <is>
          <t>09</t>
        </is>
      </c>
      <c r="J64" s="27" t="n">
        <v>2023</v>
      </c>
    </row>
    <row r="65" ht="15" customHeight="1" s="24">
      <c r="A65" s="27" t="n">
        <v>624215</v>
      </c>
      <c r="B65" s="27" t="n">
        <v>79437</v>
      </c>
      <c r="C65" s="27" t="inlineStr">
        <is>
          <t>CollectedByCustomer</t>
        </is>
      </c>
      <c r="D65" s="41" t="n">
        <v>45205.68182233796</v>
      </c>
      <c r="E65" s="27" t="n">
        <v>-25.315493</v>
      </c>
      <c r="F65" s="27" t="n">
        <v>28.220731</v>
      </c>
      <c r="G65" s="27" t="inlineStr">
        <is>
          <t>Closed</t>
        </is>
      </c>
      <c r="H65" s="27" t="inlineStr">
        <is>
          <t>PartnerPOS</t>
        </is>
      </c>
      <c r="I65" s="27" t="inlineStr">
        <is>
          <t>10</t>
        </is>
      </c>
      <c r="J65" s="27" t="n">
        <v>2023</v>
      </c>
    </row>
    <row r="66" ht="15" customHeight="1" s="24">
      <c r="A66" s="27" t="n">
        <v>633016</v>
      </c>
      <c r="B66" s="27" t="n">
        <v>88975</v>
      </c>
      <c r="C66" s="27" t="inlineStr">
        <is>
          <t>CollectedByCustomer</t>
        </is>
      </c>
      <c r="D66" s="41" t="n">
        <v>45209.00099796296</v>
      </c>
      <c r="E66" s="27" t="n">
        <v>-26.035557</v>
      </c>
      <c r="F66" s="27" t="n">
        <v>27.988647</v>
      </c>
      <c r="G66" s="27" t="inlineStr">
        <is>
          <t>Closed</t>
        </is>
      </c>
      <c r="H66" s="27" t="inlineStr">
        <is>
          <t>PartnerPOS</t>
        </is>
      </c>
      <c r="I66" s="27" t="inlineStr">
        <is>
          <t>10</t>
        </is>
      </c>
      <c r="J66" s="27" t="n">
        <v>2023</v>
      </c>
    </row>
    <row r="67" ht="15" customHeight="1" s="24">
      <c r="A67" s="27" t="n">
        <v>549886</v>
      </c>
      <c r="B67" s="27" t="n">
        <v>74179</v>
      </c>
      <c r="C67" s="27" t="inlineStr">
        <is>
          <t>InLinehaul</t>
        </is>
      </c>
      <c r="D67" s="41" t="n">
        <v>45209.41226391204</v>
      </c>
      <c r="E67" s="27" t="n">
        <v>-25.744774</v>
      </c>
      <c r="F67" s="27" t="n">
        <v>28.676134</v>
      </c>
      <c r="G67" s="27" t="inlineStr">
        <is>
          <t>Open</t>
        </is>
      </c>
      <c r="H67" s="27" t="inlineStr">
        <is>
          <t>API</t>
        </is>
      </c>
      <c r="I67" s="27" t="inlineStr">
        <is>
          <t>10</t>
        </is>
      </c>
      <c r="J67" s="27" t="n">
        <v>2023</v>
      </c>
    </row>
    <row r="68" ht="15" customHeight="1" s="24">
      <c r="A68" s="27" t="n">
        <v>549497</v>
      </c>
      <c r="B68" s="27" t="n">
        <v>73790</v>
      </c>
      <c r="C68" s="27" t="inlineStr">
        <is>
          <t>InLinehaul</t>
        </is>
      </c>
      <c r="D68" s="41" t="n">
        <v>45212.15615574074</v>
      </c>
      <c r="E68" s="27" t="n">
        <v>-24.157909</v>
      </c>
      <c r="F68" s="27" t="n">
        <v>28.82484</v>
      </c>
      <c r="G68" s="27" t="inlineStr">
        <is>
          <t>Open</t>
        </is>
      </c>
      <c r="H68" s="27" t="inlineStr">
        <is>
          <t>ScannerApp</t>
        </is>
      </c>
      <c r="I68" s="27" t="inlineStr">
        <is>
          <t>10</t>
        </is>
      </c>
      <c r="J68" s="27" t="n">
        <v>2023</v>
      </c>
    </row>
    <row r="69" ht="15" customHeight="1" s="24">
      <c r="A69" s="27" t="n">
        <v>612389</v>
      </c>
      <c r="B69" s="27" t="n">
        <v>90065</v>
      </c>
      <c r="C69" s="27" t="inlineStr">
        <is>
          <t>CustomerNotified</t>
        </is>
      </c>
      <c r="D69" s="41" t="n">
        <v>45216.60539555555</v>
      </c>
      <c r="E69" s="27" t="n">
        <v>-31.778484</v>
      </c>
      <c r="F69" s="27" t="n">
        <v>22.230283</v>
      </c>
      <c r="G69" s="27" t="inlineStr">
        <is>
          <t>Open</t>
        </is>
      </c>
      <c r="H69" s="27" t="inlineStr">
        <is>
          <t>PartnerPOS</t>
        </is>
      </c>
      <c r="I69" s="27" t="inlineStr">
        <is>
          <t>10</t>
        </is>
      </c>
      <c r="J69" s="27" t="n">
        <v>2023</v>
      </c>
    </row>
    <row r="70" ht="15" customHeight="1" s="24">
      <c r="A70" s="27" t="n">
        <v>474192</v>
      </c>
      <c r="B70" s="27" t="n">
        <v>68529</v>
      </c>
      <c r="C70" s="27" t="inlineStr">
        <is>
          <t>Created</t>
        </is>
      </c>
      <c r="D70" s="41" t="n">
        <v>45216.71267559028</v>
      </c>
      <c r="E70" s="27" t="n">
        <v>-29.79365</v>
      </c>
      <c r="F70" s="27" t="n">
        <v>26.511181</v>
      </c>
      <c r="G70" s="27" t="inlineStr">
        <is>
          <t>Open</t>
        </is>
      </c>
      <c r="H70" s="27" t="inlineStr">
        <is>
          <t>ScannerApp</t>
        </is>
      </c>
      <c r="I70" s="27" t="inlineStr">
        <is>
          <t>10</t>
        </is>
      </c>
      <c r="J70" s="27" t="n">
        <v>2023</v>
      </c>
    </row>
    <row r="71" ht="15" customHeight="1" s="24">
      <c r="A71" s="27" t="n">
        <v>566140</v>
      </c>
      <c r="B71" s="27" t="n">
        <v>90433</v>
      </c>
      <c r="C71" s="27" t="inlineStr">
        <is>
          <t>InLinehaul</t>
        </is>
      </c>
      <c r="D71" s="41" t="n">
        <v>45219.65562357639</v>
      </c>
      <c r="E71" s="27" t="n">
        <v>-25.751076</v>
      </c>
      <c r="F71" s="27" t="n">
        <v>26.924625</v>
      </c>
      <c r="G71" s="27" t="inlineStr">
        <is>
          <t>Open</t>
        </is>
      </c>
      <c r="H71" s="27" t="inlineStr">
        <is>
          <t>CourierGPS</t>
        </is>
      </c>
      <c r="I71" s="27" t="inlineStr">
        <is>
          <t>10</t>
        </is>
      </c>
      <c r="J71" s="27" t="n">
        <v>2023</v>
      </c>
    </row>
    <row r="72" ht="15" customHeight="1" s="24">
      <c r="A72" s="27" t="n">
        <v>619456</v>
      </c>
      <c r="B72" s="27" t="n">
        <v>74322</v>
      </c>
      <c r="C72" s="27" t="inlineStr">
        <is>
          <t>CollectedByCustomer</t>
        </is>
      </c>
      <c r="D72" s="41" t="n">
        <v>45220.8851821875</v>
      </c>
      <c r="E72" s="27" t="n">
        <v>-33.722387</v>
      </c>
      <c r="F72" s="27" t="n">
        <v>19.024572</v>
      </c>
      <c r="G72" s="27" t="inlineStr">
        <is>
          <t>Closed</t>
        </is>
      </c>
      <c r="H72" s="27" t="inlineStr">
        <is>
          <t>ScannerApp</t>
        </is>
      </c>
      <c r="I72" s="27" t="inlineStr">
        <is>
          <t>10</t>
        </is>
      </c>
      <c r="J72" s="27" t="n">
        <v>2023</v>
      </c>
    </row>
    <row r="73" ht="15" customHeight="1" s="24">
      <c r="A73" s="27" t="n">
        <v>635906</v>
      </c>
      <c r="B73" s="27" t="n">
        <v>82753</v>
      </c>
      <c r="C73" s="27" t="inlineStr">
        <is>
          <t>ExpiredReturnedToSender</t>
        </is>
      </c>
      <c r="D73" s="41" t="n">
        <v>45220.92969990741</v>
      </c>
      <c r="E73" s="27" t="n">
        <v>-29.887565</v>
      </c>
      <c r="F73" s="27" t="n">
        <v>31.705166</v>
      </c>
      <c r="G73" s="27" t="inlineStr">
        <is>
          <t>RTS</t>
        </is>
      </c>
      <c r="H73" s="27" t="inlineStr">
        <is>
          <t>CourierGPS</t>
        </is>
      </c>
      <c r="I73" s="27" t="inlineStr">
        <is>
          <t>10</t>
        </is>
      </c>
      <c r="J73" s="27" t="n">
        <v>2023</v>
      </c>
    </row>
    <row r="74" ht="15" customHeight="1" s="24">
      <c r="A74" s="27" t="n">
        <v>620660</v>
      </c>
      <c r="B74" s="27" t="n">
        <v>75622</v>
      </c>
      <c r="C74" s="27" t="inlineStr">
        <is>
          <t>CollectedByCustomer</t>
        </is>
      </c>
      <c r="D74" s="41" t="n">
        <v>45221.80805280092</v>
      </c>
      <c r="E74" s="27" t="n">
        <v>-24.83059</v>
      </c>
      <c r="F74" s="27" t="n">
        <v>30.209974</v>
      </c>
      <c r="G74" s="27" t="inlineStr">
        <is>
          <t>Closed</t>
        </is>
      </c>
      <c r="H74" s="27" t="inlineStr">
        <is>
          <t>PartnerPOS</t>
        </is>
      </c>
      <c r="I74" s="27" t="inlineStr">
        <is>
          <t>10</t>
        </is>
      </c>
      <c r="J74" s="27" t="n">
        <v>2023</v>
      </c>
    </row>
    <row r="75" ht="15" customHeight="1" s="24">
      <c r="A75" s="27" t="n">
        <v>556000</v>
      </c>
      <c r="B75" s="27" t="n">
        <v>80293</v>
      </c>
      <c r="C75" s="27" t="inlineStr">
        <is>
          <t>InLinehaul</t>
        </is>
      </c>
      <c r="D75" s="41" t="n">
        <v>45222.7720315625</v>
      </c>
      <c r="E75" s="27" t="n">
        <v>-21.91715</v>
      </c>
      <c r="F75" s="27" t="n">
        <v>27.109544</v>
      </c>
      <c r="G75" s="27" t="inlineStr">
        <is>
          <t>Open</t>
        </is>
      </c>
      <c r="H75" s="27" t="inlineStr">
        <is>
          <t>ScannerApp</t>
        </is>
      </c>
      <c r="I75" s="27" t="inlineStr">
        <is>
          <t>10</t>
        </is>
      </c>
      <c r="J75" s="27" t="n">
        <v>2023</v>
      </c>
    </row>
    <row r="76" ht="15" customHeight="1" s="24">
      <c r="A76" s="27" t="n">
        <v>519193</v>
      </c>
      <c r="B76" s="27" t="n">
        <v>90182</v>
      </c>
      <c r="C76" s="27" t="inlineStr">
        <is>
          <t>CollectedFromRetailer</t>
        </is>
      </c>
      <c r="D76" s="41" t="n">
        <v>45223.99766962963</v>
      </c>
      <c r="E76" s="27" t="n">
        <v>-26.493128</v>
      </c>
      <c r="F76" s="27" t="n">
        <v>28.658594</v>
      </c>
      <c r="G76" s="27" t="inlineStr">
        <is>
          <t>Open</t>
        </is>
      </c>
      <c r="H76" s="27" t="inlineStr">
        <is>
          <t>ScannerApp</t>
        </is>
      </c>
      <c r="I76" s="27" t="inlineStr">
        <is>
          <t>10</t>
        </is>
      </c>
      <c r="J76" s="27" t="n">
        <v>2023</v>
      </c>
    </row>
    <row r="77" ht="15" customHeight="1" s="24">
      <c r="A77" s="27" t="n">
        <v>543494</v>
      </c>
      <c r="B77" s="27" t="n">
        <v>91135</v>
      </c>
      <c r="C77" s="27" t="inlineStr">
        <is>
          <t>AtHub</t>
        </is>
      </c>
      <c r="D77" s="41" t="n">
        <v>45224.83675628472</v>
      </c>
      <c r="E77" s="27" t="n">
        <v>-28.175219</v>
      </c>
      <c r="F77" s="27" t="n">
        <v>30.27608</v>
      </c>
      <c r="G77" s="27" t="inlineStr">
        <is>
          <t>Open</t>
        </is>
      </c>
      <c r="H77" s="27" t="inlineStr">
        <is>
          <t>PartnerPOS</t>
        </is>
      </c>
      <c r="I77" s="27" t="inlineStr">
        <is>
          <t>10</t>
        </is>
      </c>
      <c r="J77" s="27" t="n">
        <v>2023</v>
      </c>
    </row>
    <row r="78" ht="15" customHeight="1" s="24">
      <c r="A78" s="27" t="n">
        <v>507777</v>
      </c>
      <c r="B78" s="27" t="n">
        <v>78766</v>
      </c>
      <c r="C78" s="27" t="inlineStr">
        <is>
          <t>CollectedFromRetailer</t>
        </is>
      </c>
      <c r="D78" s="41" t="n">
        <v>45227.53011350695</v>
      </c>
      <c r="E78" s="27" t="n">
        <v>-27.158608</v>
      </c>
      <c r="F78" s="27" t="n">
        <v>28.356135</v>
      </c>
      <c r="G78" s="27" t="inlineStr">
        <is>
          <t>Open</t>
        </is>
      </c>
      <c r="H78" s="27" t="inlineStr">
        <is>
          <t>ScannerApp</t>
        </is>
      </c>
      <c r="I78" s="27" t="inlineStr">
        <is>
          <t>10</t>
        </is>
      </c>
      <c r="J78" s="27" t="n">
        <v>2023</v>
      </c>
    </row>
    <row r="79" ht="15" customHeight="1" s="24">
      <c r="A79" s="27" t="n">
        <v>618324</v>
      </c>
      <c r="B79" s="27" t="n">
        <v>73080</v>
      </c>
      <c r="C79" s="27" t="inlineStr">
        <is>
          <t>CollectedByCustomer</t>
        </is>
      </c>
      <c r="D79" s="41" t="n">
        <v>45230.21165635416</v>
      </c>
      <c r="E79" s="27" t="n">
        <v>-32.790507</v>
      </c>
      <c r="F79" s="27" t="n">
        <v>25.05351</v>
      </c>
      <c r="G79" s="27" t="inlineStr">
        <is>
          <t>Closed</t>
        </is>
      </c>
      <c r="H79" s="27" t="inlineStr">
        <is>
          <t>PartnerPOS</t>
        </is>
      </c>
      <c r="I79" s="27" t="inlineStr">
        <is>
          <t>10</t>
        </is>
      </c>
      <c r="J79" s="27" t="n">
        <v>2023</v>
      </c>
    </row>
    <row r="80" ht="15" customHeight="1" s="24">
      <c r="A80" s="27" t="n">
        <v>559799</v>
      </c>
      <c r="B80" s="27" t="n">
        <v>84092</v>
      </c>
      <c r="C80" s="27" t="inlineStr">
        <is>
          <t>InLinehaul</t>
        </is>
      </c>
      <c r="D80" s="41" t="n">
        <v>45230.86549165509</v>
      </c>
      <c r="E80" s="27" t="n">
        <v>-27.251336</v>
      </c>
      <c r="F80" s="27" t="n">
        <v>24.925318</v>
      </c>
      <c r="G80" s="27" t="inlineStr">
        <is>
          <t>Open</t>
        </is>
      </c>
      <c r="H80" s="27" t="inlineStr">
        <is>
          <t>API</t>
        </is>
      </c>
      <c r="I80" s="27" t="inlineStr">
        <is>
          <t>10</t>
        </is>
      </c>
      <c r="J80" s="27" t="n">
        <v>2023</v>
      </c>
    </row>
    <row r="81" ht="15" customHeight="1" s="24">
      <c r="A81" s="27" t="n">
        <v>505089</v>
      </c>
      <c r="B81" s="27" t="n">
        <v>76078</v>
      </c>
      <c r="C81" s="27" t="inlineStr">
        <is>
          <t>CollectedFromRetailer</t>
        </is>
      </c>
      <c r="D81" s="41" t="n">
        <v>45231.70941569444</v>
      </c>
      <c r="E81" s="27" t="n">
        <v>-25.61717</v>
      </c>
      <c r="F81" s="27" t="n">
        <v>28.294958</v>
      </c>
      <c r="G81" s="27" t="inlineStr">
        <is>
          <t>Open</t>
        </is>
      </c>
      <c r="H81" s="27" t="inlineStr">
        <is>
          <t>CourierGPS</t>
        </is>
      </c>
      <c r="I81" s="27" t="inlineStr">
        <is>
          <t>10</t>
        </is>
      </c>
      <c r="J81" s="27" t="n">
        <v>2023</v>
      </c>
    </row>
    <row r="82" ht="15" customHeight="1" s="24">
      <c r="A82" s="27" t="n">
        <v>712768</v>
      </c>
      <c r="B82" s="27" t="n">
        <v>123383</v>
      </c>
      <c r="C82" s="27" t="inlineStr">
        <is>
          <t>CollectedFromRetailer</t>
        </is>
      </c>
      <c r="D82" s="41" t="n">
        <v>45232.86019208333</v>
      </c>
      <c r="E82" s="27" t="n">
        <v>-27.079988</v>
      </c>
      <c r="F82" s="27" t="n">
        <v>23.938004</v>
      </c>
      <c r="G82" s="27" t="inlineStr">
        <is>
          <t>Open</t>
        </is>
      </c>
      <c r="H82" s="27" t="inlineStr">
        <is>
          <t>ScannerApp</t>
        </is>
      </c>
      <c r="I82" s="27" t="inlineStr">
        <is>
          <t>11</t>
        </is>
      </c>
      <c r="J82" s="27" t="n">
        <v>2023</v>
      </c>
    </row>
    <row r="83" ht="15" customHeight="1" s="24">
      <c r="A83" s="27" t="n">
        <v>712299</v>
      </c>
      <c r="B83" s="27" t="n">
        <v>122914</v>
      </c>
      <c r="C83" s="27" t="inlineStr">
        <is>
          <t>CollectedFromRetailer</t>
        </is>
      </c>
      <c r="D83" s="41" t="n">
        <v>45232.90461902778</v>
      </c>
      <c r="E83" s="27" t="n">
        <v>-24.475266</v>
      </c>
      <c r="F83" s="27" t="n">
        <v>28.357847</v>
      </c>
      <c r="G83" s="27" t="inlineStr">
        <is>
          <t>Open</t>
        </is>
      </c>
      <c r="H83" s="27" t="inlineStr">
        <is>
          <t>PartnerPOS</t>
        </is>
      </c>
      <c r="I83" s="27" t="inlineStr">
        <is>
          <t>11</t>
        </is>
      </c>
      <c r="J83" s="27" t="n">
        <v>2023</v>
      </c>
    </row>
    <row r="84" ht="15" customHeight="1" s="24">
      <c r="A84" s="27" t="n">
        <v>701250</v>
      </c>
      <c r="B84" s="27" t="n">
        <v>111865</v>
      </c>
      <c r="C84" s="27" t="inlineStr">
        <is>
          <t>CollectedFromRetailer</t>
        </is>
      </c>
      <c r="D84" s="41" t="n">
        <v>45235.54910421297</v>
      </c>
      <c r="E84" s="27" t="n">
        <v>-23.928854</v>
      </c>
      <c r="F84" s="27" t="n">
        <v>29.721921</v>
      </c>
      <c r="G84" s="27" t="inlineStr">
        <is>
          <t>Open</t>
        </is>
      </c>
      <c r="H84" s="27" t="inlineStr">
        <is>
          <t>PartnerPOS</t>
        </is>
      </c>
      <c r="I84" s="27" t="inlineStr">
        <is>
          <t>11</t>
        </is>
      </c>
      <c r="J84" s="27" t="n">
        <v>2023</v>
      </c>
    </row>
    <row r="85" ht="15" customHeight="1" s="24">
      <c r="A85" s="27" t="n">
        <v>919120</v>
      </c>
      <c r="B85" s="27" t="n">
        <v>110345</v>
      </c>
      <c r="C85" s="27" t="inlineStr">
        <is>
          <t>CollectedByCustomer</t>
        </is>
      </c>
      <c r="D85" s="41" t="n">
        <v>45237.1275503125</v>
      </c>
      <c r="E85" s="27" t="n">
        <v>-31.480384</v>
      </c>
      <c r="F85" s="27" t="n">
        <v>29.216562</v>
      </c>
      <c r="G85" s="27" t="inlineStr">
        <is>
          <t>Closed</t>
        </is>
      </c>
      <c r="H85" s="27" t="inlineStr">
        <is>
          <t>ScannerApp</t>
        </is>
      </c>
      <c r="I85" s="27" t="inlineStr">
        <is>
          <t>11</t>
        </is>
      </c>
      <c r="J85" s="27" t="n">
        <v>2023</v>
      </c>
    </row>
    <row r="86" ht="15" customHeight="1" s="24">
      <c r="A86" s="27" t="n">
        <v>664791</v>
      </c>
      <c r="B86" s="27" t="n">
        <v>119606</v>
      </c>
      <c r="C86" s="27" t="inlineStr">
        <is>
          <t>Created</t>
        </is>
      </c>
      <c r="D86" s="41" t="n">
        <v>45237.23498502315</v>
      </c>
      <c r="E86" s="27" t="n">
        <v>-25.224312</v>
      </c>
      <c r="F86" s="27" t="n">
        <v>29.874171</v>
      </c>
      <c r="G86" s="27" t="inlineStr">
        <is>
          <t>Open</t>
        </is>
      </c>
      <c r="H86" s="27" t="inlineStr">
        <is>
          <t>CourierGPS</t>
        </is>
      </c>
      <c r="I86" s="27" t="inlineStr">
        <is>
          <t>11</t>
        </is>
      </c>
      <c r="J86" s="27" t="n">
        <v>2023</v>
      </c>
    </row>
    <row r="87" ht="15" customHeight="1" s="24">
      <c r="A87" s="27" t="n">
        <v>741607</v>
      </c>
      <c r="B87" s="27" t="n">
        <v>108022</v>
      </c>
      <c r="C87" s="27" t="inlineStr">
        <is>
          <t>AtHub</t>
        </is>
      </c>
      <c r="D87" s="41" t="n">
        <v>45237.30494108796</v>
      </c>
      <c r="E87" s="27" t="n">
        <v>-28.906268</v>
      </c>
      <c r="F87" s="27" t="n">
        <v>30.757096</v>
      </c>
      <c r="G87" s="27" t="inlineStr">
        <is>
          <t>Open</t>
        </is>
      </c>
      <c r="H87" s="27" t="inlineStr">
        <is>
          <t>ScannerApp</t>
        </is>
      </c>
      <c r="I87" s="27" t="inlineStr">
        <is>
          <t>11</t>
        </is>
      </c>
      <c r="J87" s="27" t="n">
        <v>2023</v>
      </c>
    </row>
    <row r="88" ht="15" customHeight="1" s="24">
      <c r="A88" s="27" t="n">
        <v>936508</v>
      </c>
      <c r="B88" s="27" t="n">
        <v>129182</v>
      </c>
      <c r="C88" s="27" t="inlineStr">
        <is>
          <t>CollectedByCustomer</t>
        </is>
      </c>
      <c r="D88" s="41" t="n">
        <v>45243.48945638889</v>
      </c>
      <c r="E88" s="27" t="n">
        <v>-28.234508</v>
      </c>
      <c r="F88" s="27" t="n">
        <v>28.159758</v>
      </c>
      <c r="G88" s="27" t="inlineStr">
        <is>
          <t>Closed</t>
        </is>
      </c>
      <c r="H88" s="27" t="inlineStr">
        <is>
          <t>API</t>
        </is>
      </c>
      <c r="I88" s="27" t="inlineStr">
        <is>
          <t>11</t>
        </is>
      </c>
      <c r="J88" s="27" t="n">
        <v>2023</v>
      </c>
    </row>
    <row r="89" ht="15" customHeight="1" s="24">
      <c r="A89" s="27" t="n">
        <v>779340</v>
      </c>
      <c r="B89" s="27" t="n">
        <v>101555</v>
      </c>
      <c r="C89" s="27" t="inlineStr">
        <is>
          <t>InLinehaul</t>
        </is>
      </c>
      <c r="D89" s="41" t="n">
        <v>45245.82051746528</v>
      </c>
      <c r="E89" s="27" t="n">
        <v>-24.314614</v>
      </c>
      <c r="F89" s="27" t="n">
        <v>29.136497</v>
      </c>
      <c r="G89" s="27" t="inlineStr">
        <is>
          <t>Open</t>
        </is>
      </c>
      <c r="H89" s="27" t="inlineStr">
        <is>
          <t>CourierGPS</t>
        </is>
      </c>
      <c r="I89" s="27" t="inlineStr">
        <is>
          <t>11</t>
        </is>
      </c>
      <c r="J89" s="27" t="n">
        <v>2023</v>
      </c>
    </row>
    <row r="90" ht="15" customHeight="1" s="24">
      <c r="A90" s="27" t="n">
        <v>822980</v>
      </c>
      <c r="B90" s="27" t="n">
        <v>101011</v>
      </c>
      <c r="C90" s="27" t="inlineStr">
        <is>
          <t>ArrivedAtPickupPoint</t>
        </is>
      </c>
      <c r="D90" s="41" t="n">
        <v>45248.34904391204</v>
      </c>
      <c r="E90" s="27" t="n">
        <v>-29.870072</v>
      </c>
      <c r="F90" s="27" t="n">
        <v>31.762887</v>
      </c>
      <c r="G90" s="27" t="inlineStr">
        <is>
          <t>Open</t>
        </is>
      </c>
      <c r="H90" s="27" t="inlineStr">
        <is>
          <t>PartnerPOS</t>
        </is>
      </c>
      <c r="I90" s="27" t="inlineStr">
        <is>
          <t>11</t>
        </is>
      </c>
      <c r="J90" s="27" t="n">
        <v>2023</v>
      </c>
    </row>
    <row r="91" ht="15" customHeight="1" s="24">
      <c r="A91" s="27" t="n">
        <v>745632</v>
      </c>
      <c r="B91" s="27" t="n">
        <v>112047</v>
      </c>
      <c r="C91" s="27" t="inlineStr">
        <is>
          <t>AtHub</t>
        </is>
      </c>
      <c r="D91" s="41" t="n">
        <v>45250.39726600694</v>
      </c>
      <c r="E91" s="27" t="n">
        <v>-27.445714</v>
      </c>
      <c r="F91" s="27" t="n">
        <v>27.797788</v>
      </c>
      <c r="G91" s="27" t="inlineStr">
        <is>
          <t>Open</t>
        </is>
      </c>
      <c r="H91" s="27" t="inlineStr">
        <is>
          <t>API</t>
        </is>
      </c>
      <c r="I91" s="27" t="inlineStr">
        <is>
          <t>11</t>
        </is>
      </c>
      <c r="J91" s="27" t="n">
        <v>2023</v>
      </c>
    </row>
    <row r="92" ht="15" customHeight="1" s="24">
      <c r="A92" s="27" t="n">
        <v>735909</v>
      </c>
      <c r="B92" s="27" t="n">
        <v>102324</v>
      </c>
      <c r="C92" s="27" t="inlineStr">
        <is>
          <t>AtHub</t>
        </is>
      </c>
      <c r="D92" s="41" t="n">
        <v>45250.92506586805</v>
      </c>
      <c r="E92" s="27" t="n">
        <v>-26.530579</v>
      </c>
      <c r="F92" s="27" t="n">
        <v>27.777575</v>
      </c>
      <c r="G92" s="27" t="inlineStr">
        <is>
          <t>Open</t>
        </is>
      </c>
      <c r="H92" s="27" t="inlineStr">
        <is>
          <t>CourierGPS</t>
        </is>
      </c>
      <c r="I92" s="27" t="inlineStr">
        <is>
          <t>11</t>
        </is>
      </c>
      <c r="J92" s="27" t="n">
        <v>2023</v>
      </c>
    </row>
    <row r="93" ht="15" customHeight="1" s="24">
      <c r="A93" s="27" t="n">
        <v>856114</v>
      </c>
      <c r="B93" s="27" t="n">
        <v>134199</v>
      </c>
      <c r="C93" s="27" t="inlineStr">
        <is>
          <t>ArrivedAtPickupPoint</t>
        </is>
      </c>
      <c r="D93" s="41" t="n">
        <v>45251.43541082176</v>
      </c>
      <c r="E93" s="27" t="n">
        <v>-26.387914</v>
      </c>
      <c r="F93" s="27" t="n">
        <v>31.630814</v>
      </c>
      <c r="G93" s="27" t="inlineStr">
        <is>
          <t>Open</t>
        </is>
      </c>
      <c r="H93" s="27" t="inlineStr">
        <is>
          <t>API</t>
        </is>
      </c>
      <c r="I93" s="27" t="inlineStr">
        <is>
          <t>11</t>
        </is>
      </c>
      <c r="J93" s="27" t="n">
        <v>2023</v>
      </c>
    </row>
    <row r="94" ht="15" customHeight="1" s="24">
      <c r="A94" s="27" t="n">
        <v>656755</v>
      </c>
      <c r="B94" s="27" t="n">
        <v>111570</v>
      </c>
      <c r="C94" s="27" t="inlineStr">
        <is>
          <t>Created</t>
        </is>
      </c>
      <c r="D94" s="41" t="n">
        <v>45253.91680479167</v>
      </c>
      <c r="E94" s="27" t="n">
        <v>-25.098282</v>
      </c>
      <c r="F94" s="27" t="n">
        <v>31.164984</v>
      </c>
      <c r="G94" s="27" t="inlineStr">
        <is>
          <t>Open</t>
        </is>
      </c>
      <c r="H94" s="27" t="inlineStr">
        <is>
          <t>ScannerApp</t>
        </is>
      </c>
      <c r="I94" s="27" t="inlineStr">
        <is>
          <t>11</t>
        </is>
      </c>
      <c r="J94" s="27" t="n">
        <v>2023</v>
      </c>
    </row>
    <row r="95" ht="15" customHeight="1" s="24">
      <c r="A95" s="27" t="n">
        <v>834065</v>
      </c>
      <c r="B95" s="27" t="n">
        <v>112110</v>
      </c>
      <c r="C95" s="27" t="inlineStr">
        <is>
          <t>ArrivedAtPickupPoint</t>
        </is>
      </c>
      <c r="D95" s="41" t="n">
        <v>45254.59269967592</v>
      </c>
      <c r="E95" s="27" t="n">
        <v>-34.252292</v>
      </c>
      <c r="F95" s="27" t="n">
        <v>18.476068</v>
      </c>
      <c r="G95" s="27" t="inlineStr">
        <is>
          <t>Open</t>
        </is>
      </c>
      <c r="H95" s="27" t="inlineStr">
        <is>
          <t>ScannerApp</t>
        </is>
      </c>
      <c r="I95" s="27" t="inlineStr">
        <is>
          <t>11</t>
        </is>
      </c>
      <c r="J95" s="27" t="n">
        <v>2023</v>
      </c>
    </row>
    <row r="96" ht="15" customHeight="1" s="24">
      <c r="A96" s="27" t="n">
        <v>925696</v>
      </c>
      <c r="B96" s="27" t="n">
        <v>117505</v>
      </c>
      <c r="C96" s="27" t="inlineStr">
        <is>
          <t>CollectedByCustomer</t>
        </is>
      </c>
      <c r="D96" s="41" t="n">
        <v>45256.53661456019</v>
      </c>
      <c r="E96" s="27" t="n">
        <v>-32.193261</v>
      </c>
      <c r="F96" s="27" t="n">
        <v>24.530753</v>
      </c>
      <c r="G96" s="27" t="inlineStr">
        <is>
          <t>Closed</t>
        </is>
      </c>
      <c r="H96" s="27" t="inlineStr">
        <is>
          <t>CourierGPS</t>
        </is>
      </c>
      <c r="I96" s="27" t="inlineStr">
        <is>
          <t>11</t>
        </is>
      </c>
      <c r="J96" s="27" t="n">
        <v>2023</v>
      </c>
    </row>
    <row r="97" ht="15" customHeight="1" s="24">
      <c r="A97" s="27" t="n">
        <v>796324</v>
      </c>
      <c r="B97" s="27" t="n">
        <v>118539</v>
      </c>
      <c r="C97" s="27" t="inlineStr">
        <is>
          <t>InLinehaul</t>
        </is>
      </c>
      <c r="D97" s="41" t="n">
        <v>45257.10078569444</v>
      </c>
      <c r="E97" s="27" t="n">
        <v>-27.868765</v>
      </c>
      <c r="F97" s="27" t="n">
        <v>28.92873</v>
      </c>
      <c r="G97" s="27" t="inlineStr">
        <is>
          <t>Open</t>
        </is>
      </c>
      <c r="H97" s="27" t="inlineStr">
        <is>
          <t>PartnerPOS</t>
        </is>
      </c>
      <c r="I97" s="27" t="inlineStr">
        <is>
          <t>11</t>
        </is>
      </c>
      <c r="J97" s="27" t="n">
        <v>2023</v>
      </c>
    </row>
    <row r="98" ht="15" customHeight="1" s="24">
      <c r="A98" s="27" t="n">
        <v>926755</v>
      </c>
      <c r="B98" s="27" t="n">
        <v>118639</v>
      </c>
      <c r="C98" s="27" t="inlineStr">
        <is>
          <t>CollectedByCustomer</t>
        </is>
      </c>
      <c r="D98" s="41" t="n">
        <v>45258.63530133102</v>
      </c>
      <c r="E98" s="27" t="n">
        <v>-26.138033</v>
      </c>
      <c r="F98" s="27" t="n">
        <v>27.797729</v>
      </c>
      <c r="G98" s="27" t="inlineStr">
        <is>
          <t>Closed</t>
        </is>
      </c>
      <c r="H98" s="27" t="inlineStr">
        <is>
          <t>PartnerPOS</t>
        </is>
      </c>
      <c r="I98" s="27" t="inlineStr">
        <is>
          <t>11</t>
        </is>
      </c>
      <c r="J98" s="27" t="n">
        <v>2023</v>
      </c>
    </row>
    <row r="99" ht="15" customHeight="1" s="24">
      <c r="A99" s="27" t="n">
        <v>755391</v>
      </c>
      <c r="B99" s="27" t="n">
        <v>121806</v>
      </c>
      <c r="C99" s="27" t="inlineStr">
        <is>
          <t>AtHub</t>
        </is>
      </c>
      <c r="D99" s="41" t="n">
        <v>45258.8558366088</v>
      </c>
      <c r="E99" s="27" t="n">
        <v>-24.312611</v>
      </c>
      <c r="F99" s="27" t="n">
        <v>30.276761</v>
      </c>
      <c r="G99" s="27" t="inlineStr">
        <is>
          <t>Open</t>
        </is>
      </c>
      <c r="H99" s="27" t="inlineStr">
        <is>
          <t>ScannerApp</t>
        </is>
      </c>
      <c r="I99" s="27" t="inlineStr">
        <is>
          <t>11</t>
        </is>
      </c>
      <c r="J99" s="27" t="n">
        <v>2023</v>
      </c>
    </row>
    <row r="100" ht="15" customHeight="1" s="24">
      <c r="A100" s="27" t="n">
        <v>655075</v>
      </c>
      <c r="B100" s="27" t="n">
        <v>109890</v>
      </c>
      <c r="C100" s="27" t="inlineStr">
        <is>
          <t>Created</t>
        </is>
      </c>
      <c r="D100" s="41" t="n">
        <v>45259.49442416667</v>
      </c>
      <c r="E100" s="27" t="n">
        <v>-31.420637</v>
      </c>
      <c r="F100" s="27" t="n">
        <v>25.651945</v>
      </c>
      <c r="G100" s="27" t="inlineStr">
        <is>
          <t>Open</t>
        </is>
      </c>
      <c r="H100" s="27" t="inlineStr">
        <is>
          <t>CourierGPS</t>
        </is>
      </c>
      <c r="I100" s="27" t="inlineStr">
        <is>
          <t>11</t>
        </is>
      </c>
      <c r="J100" s="27" t="n">
        <v>2023</v>
      </c>
    </row>
    <row r="101" ht="15" customHeight="1" s="24">
      <c r="A101" s="27" t="n">
        <v>725119</v>
      </c>
      <c r="B101" s="27" t="n">
        <v>91534</v>
      </c>
      <c r="C101" s="27" t="inlineStr">
        <is>
          <t>AtHub</t>
        </is>
      </c>
      <c r="D101" s="41" t="n">
        <v>45259.7943749074</v>
      </c>
      <c r="E101" s="27" t="n">
        <v>-26.432868</v>
      </c>
      <c r="F101" s="27" t="n">
        <v>28.337798</v>
      </c>
      <c r="G101" s="27" t="inlineStr">
        <is>
          <t>Open</t>
        </is>
      </c>
      <c r="H101" s="27" t="inlineStr">
        <is>
          <t>API</t>
        </is>
      </c>
      <c r="I101" s="27" t="inlineStr">
        <is>
          <t>11</t>
        </is>
      </c>
      <c r="J101" s="27" t="n">
        <v>2023</v>
      </c>
    </row>
    <row r="102" ht="15" customHeight="1" s="24">
      <c r="A102" s="27" t="n">
        <v>813459</v>
      </c>
      <c r="B102" s="27" t="n">
        <v>91474</v>
      </c>
      <c r="C102" s="27" t="inlineStr">
        <is>
          <t>ArrivedAtPickupPoint</t>
        </is>
      </c>
      <c r="D102" s="41" t="n">
        <v>45260.70637137732</v>
      </c>
      <c r="E102" s="27" t="n">
        <v>-33.478592</v>
      </c>
      <c r="F102" s="27" t="n">
        <v>26.733806</v>
      </c>
      <c r="G102" s="27" t="inlineStr">
        <is>
          <t>Open</t>
        </is>
      </c>
      <c r="H102" s="27" t="inlineStr">
        <is>
          <t>CourierGPS</t>
        </is>
      </c>
      <c r="I102" s="27" t="inlineStr">
        <is>
          <t>11</t>
        </is>
      </c>
      <c r="J102" s="27" t="n">
        <v>2023</v>
      </c>
    </row>
    <row r="103" ht="15" customHeight="1" s="24">
      <c r="A103" s="27" t="n">
        <v>1083725</v>
      </c>
      <c r="B103" s="27" t="n">
        <v>168083</v>
      </c>
      <c r="C103" s="27" t="inlineStr">
        <is>
          <t>InLinehaul</t>
        </is>
      </c>
      <c r="D103" s="41" t="n">
        <v>45262.4187233912</v>
      </c>
      <c r="E103" s="27" t="n">
        <v>-32.63601</v>
      </c>
      <c r="F103" s="27" t="n">
        <v>28.999446</v>
      </c>
      <c r="G103" s="27" t="inlineStr">
        <is>
          <t>Open</t>
        </is>
      </c>
      <c r="H103" s="27" t="inlineStr">
        <is>
          <t>ScannerApp</t>
        </is>
      </c>
      <c r="I103" s="27" t="inlineStr">
        <is>
          <t>12</t>
        </is>
      </c>
      <c r="J103" s="27" t="n">
        <v>2023</v>
      </c>
    </row>
    <row r="104" ht="15" customHeight="1" s="24">
      <c r="A104" s="27" t="n">
        <v>902383</v>
      </c>
      <c r="B104" s="27" t="n">
        <v>92204</v>
      </c>
      <c r="C104" s="27" t="inlineStr">
        <is>
          <t>CollectedByCustomer</t>
        </is>
      </c>
      <c r="D104" s="41" t="n">
        <v>45262.67329967592</v>
      </c>
      <c r="E104" s="27" t="n">
        <v>-26.43169</v>
      </c>
      <c r="F104" s="27" t="n">
        <v>27.743845</v>
      </c>
      <c r="G104" s="27" t="inlineStr">
        <is>
          <t>Closed</t>
        </is>
      </c>
      <c r="H104" s="27" t="inlineStr">
        <is>
          <t>ScannerApp</t>
        </is>
      </c>
      <c r="I104" s="27" t="inlineStr">
        <is>
          <t>11</t>
        </is>
      </c>
      <c r="J104" s="27" t="n">
        <v>2023</v>
      </c>
    </row>
    <row r="105" ht="15" customHeight="1" s="24">
      <c r="A105" s="27" t="n">
        <v>1133239</v>
      </c>
      <c r="B105" s="27" t="n">
        <v>146828</v>
      </c>
      <c r="C105" s="27" t="inlineStr">
        <is>
          <t>CustomerNotified</t>
        </is>
      </c>
      <c r="D105" s="41" t="n">
        <v>45262.7141783912</v>
      </c>
      <c r="E105" s="27" t="n">
        <v>-26.927754</v>
      </c>
      <c r="F105" s="27" t="n">
        <v>24.414247</v>
      </c>
      <c r="G105" s="27" t="inlineStr">
        <is>
          <t>Open</t>
        </is>
      </c>
      <c r="H105" s="27" t="inlineStr">
        <is>
          <t>PartnerPOS</t>
        </is>
      </c>
      <c r="I105" s="27" t="inlineStr">
        <is>
          <t>12</t>
        </is>
      </c>
      <c r="J105" s="27" t="n">
        <v>2023</v>
      </c>
    </row>
    <row r="106" ht="15" customHeight="1" s="24">
      <c r="A106" s="27" t="n">
        <v>917546</v>
      </c>
      <c r="B106" s="27" t="n">
        <v>108650</v>
      </c>
      <c r="C106" s="27" t="inlineStr">
        <is>
          <t>CollectedByCustomer</t>
        </is>
      </c>
      <c r="D106" s="41" t="n">
        <v>45263.15033333333</v>
      </c>
      <c r="E106" s="27" t="n">
        <v>-29.954961</v>
      </c>
      <c r="F106" s="27" t="n">
        <v>29.29332</v>
      </c>
      <c r="G106" s="27" t="inlineStr">
        <is>
          <t>Closed</t>
        </is>
      </c>
      <c r="H106" s="27" t="inlineStr">
        <is>
          <t>ScannerApp</t>
        </is>
      </c>
      <c r="I106" s="27" t="inlineStr">
        <is>
          <t>11</t>
        </is>
      </c>
      <c r="J106" s="27" t="n">
        <v>2023</v>
      </c>
    </row>
    <row r="107" ht="15" customHeight="1" s="24">
      <c r="A107" s="27" t="n">
        <v>1103754</v>
      </c>
      <c r="B107" s="27" t="n">
        <v>152715</v>
      </c>
      <c r="C107" s="27" t="inlineStr">
        <is>
          <t>ArrivedAtPickupPoint</t>
        </is>
      </c>
      <c r="D107" s="41" t="n">
        <v>45263.19061443287</v>
      </c>
      <c r="E107" s="27" t="n">
        <v>-26.365332</v>
      </c>
      <c r="F107" s="27" t="n">
        <v>28.584018</v>
      </c>
      <c r="G107" s="27" t="inlineStr">
        <is>
          <t>Open</t>
        </is>
      </c>
      <c r="H107" s="27" t="inlineStr">
        <is>
          <t>ScannerApp</t>
        </is>
      </c>
      <c r="I107" s="27" t="inlineStr">
        <is>
          <t>12</t>
        </is>
      </c>
      <c r="J107" s="27" t="n">
        <v>2023</v>
      </c>
    </row>
    <row r="108" ht="15" customHeight="1" s="24">
      <c r="A108" s="27" t="n">
        <v>1001024</v>
      </c>
      <c r="B108" s="27" t="n">
        <v>156242</v>
      </c>
      <c r="C108" s="27" t="inlineStr">
        <is>
          <t>CollectedFromRetailer</t>
        </is>
      </c>
      <c r="D108" s="41" t="n">
        <v>45264.84946932871</v>
      </c>
      <c r="E108" s="27" t="n">
        <v>-25.668862</v>
      </c>
      <c r="F108" s="27" t="n">
        <v>26.721703</v>
      </c>
      <c r="G108" s="27" t="inlineStr">
        <is>
          <t>Open</t>
        </is>
      </c>
      <c r="H108" s="27" t="inlineStr">
        <is>
          <t>PartnerPOS</t>
        </is>
      </c>
      <c r="I108" s="27" t="inlineStr">
        <is>
          <t>12</t>
        </is>
      </c>
      <c r="J108" s="27" t="n">
        <v>2023</v>
      </c>
    </row>
    <row r="109" ht="15" customHeight="1" s="24">
      <c r="A109" s="27" t="n">
        <v>1118110</v>
      </c>
      <c r="B109" s="27" t="n">
        <v>167094</v>
      </c>
      <c r="C109" s="27" t="inlineStr">
        <is>
          <t>ArrivedAtPickupPoint</t>
        </is>
      </c>
      <c r="D109" s="41" t="n">
        <v>45265.04635707176</v>
      </c>
      <c r="E109" s="27" t="n">
        <v>-26.138033</v>
      </c>
      <c r="F109" s="27" t="n">
        <v>27.797729</v>
      </c>
      <c r="G109" s="27" t="inlineStr">
        <is>
          <t>Open</t>
        </is>
      </c>
      <c r="H109" s="27" t="inlineStr">
        <is>
          <t>API</t>
        </is>
      </c>
      <c r="I109" s="27" t="inlineStr">
        <is>
          <t>12</t>
        </is>
      </c>
      <c r="J109" s="27" t="n">
        <v>2023</v>
      </c>
    </row>
    <row r="110" ht="15" customHeight="1" s="24">
      <c r="A110" s="27" t="n">
        <v>1083356</v>
      </c>
      <c r="B110" s="27" t="n">
        <v>167714</v>
      </c>
      <c r="C110" s="27" t="inlineStr">
        <is>
          <t>InLinehaul</t>
        </is>
      </c>
      <c r="D110" s="41" t="n">
        <v>45265.21917829861</v>
      </c>
      <c r="E110" s="27" t="n">
        <v>-26.534919</v>
      </c>
      <c r="F110" s="27" t="n">
        <v>26.63453</v>
      </c>
      <c r="G110" s="27" t="inlineStr">
        <is>
          <t>Open</t>
        </is>
      </c>
      <c r="H110" s="27" t="inlineStr">
        <is>
          <t>CourierGPS</t>
        </is>
      </c>
      <c r="I110" s="27" t="inlineStr">
        <is>
          <t>12</t>
        </is>
      </c>
      <c r="J110" s="27" t="n">
        <v>2023</v>
      </c>
    </row>
    <row r="111" ht="15" customHeight="1" s="24">
      <c r="A111" s="27" t="n">
        <v>1100256</v>
      </c>
      <c r="B111" s="27" t="n">
        <v>149212</v>
      </c>
      <c r="C111" s="27" t="inlineStr">
        <is>
          <t>ArrivedAtPickupPoint</t>
        </is>
      </c>
      <c r="D111" s="41" t="n">
        <v>45265.99336621528</v>
      </c>
      <c r="E111" s="27" t="n">
        <v>-31.202421</v>
      </c>
      <c r="F111" s="27" t="n">
        <v>28.160306</v>
      </c>
      <c r="G111" s="27" t="inlineStr">
        <is>
          <t>Open</t>
        </is>
      </c>
      <c r="H111" s="27" t="inlineStr">
        <is>
          <t>PartnerPOS</t>
        </is>
      </c>
      <c r="I111" s="27" t="inlineStr">
        <is>
          <t>12</t>
        </is>
      </c>
      <c r="J111" s="27" t="n">
        <v>2023</v>
      </c>
    </row>
    <row r="112" ht="15" customHeight="1" s="24">
      <c r="A112" s="27" t="n">
        <v>1170736</v>
      </c>
      <c r="B112" s="27" t="n">
        <v>150035</v>
      </c>
      <c r="C112" s="27" t="inlineStr">
        <is>
          <t>CollectedByCustomer</t>
        </is>
      </c>
      <c r="D112" s="41" t="n">
        <v>45266.52981515046</v>
      </c>
      <c r="E112" s="27" t="n">
        <v>-25.395528</v>
      </c>
      <c r="F112" s="27" t="n">
        <v>26.535213</v>
      </c>
      <c r="G112" s="27" t="inlineStr">
        <is>
          <t>Closed</t>
        </is>
      </c>
      <c r="H112" s="27" t="inlineStr">
        <is>
          <t>CourierGPS</t>
        </is>
      </c>
      <c r="I112" s="27" t="inlineStr">
        <is>
          <t>12</t>
        </is>
      </c>
      <c r="J112" s="27" t="n">
        <v>2023</v>
      </c>
    </row>
    <row r="113" ht="15" customHeight="1" s="24">
      <c r="A113" s="27" t="n">
        <v>1072711</v>
      </c>
      <c r="B113" s="27" t="n">
        <v>157069</v>
      </c>
      <c r="C113" s="27" t="inlineStr">
        <is>
          <t>InLinehaul</t>
        </is>
      </c>
      <c r="D113" s="41" t="n">
        <v>45272.29410222222</v>
      </c>
      <c r="E113" s="27" t="n">
        <v>-22.225337</v>
      </c>
      <c r="F113" s="27" t="n">
        <v>29.896694</v>
      </c>
      <c r="G113" s="27" t="inlineStr">
        <is>
          <t>Open</t>
        </is>
      </c>
      <c r="H113" s="27" t="inlineStr">
        <is>
          <t>PartnerPOS</t>
        </is>
      </c>
      <c r="I113" s="27" t="inlineStr">
        <is>
          <t>12</t>
        </is>
      </c>
      <c r="J113" s="27" t="n">
        <v>2023</v>
      </c>
    </row>
    <row r="114" ht="15" customHeight="1" s="24">
      <c r="A114" s="27" t="n">
        <v>992147</v>
      </c>
      <c r="B114" s="27" t="n">
        <v>147365</v>
      </c>
      <c r="C114" s="27" t="inlineStr">
        <is>
          <t>CollectedFromRetailer</t>
        </is>
      </c>
      <c r="D114" s="41" t="n">
        <v>45274.53112613426</v>
      </c>
      <c r="E114" s="27" t="n">
        <v>-26.539644</v>
      </c>
      <c r="F114" s="27" t="n">
        <v>28.68851</v>
      </c>
      <c r="G114" s="27" t="inlineStr">
        <is>
          <t>Open</t>
        </is>
      </c>
      <c r="H114" s="27" t="inlineStr">
        <is>
          <t>ScannerApp</t>
        </is>
      </c>
      <c r="I114" s="27" t="inlineStr">
        <is>
          <t>12</t>
        </is>
      </c>
      <c r="J114" s="27" t="n">
        <v>2023</v>
      </c>
    </row>
    <row r="115" ht="15" customHeight="1" s="24">
      <c r="A115" s="27" t="n">
        <v>1032665</v>
      </c>
      <c r="B115" s="27" t="n">
        <v>152453</v>
      </c>
      <c r="C115" s="27" t="inlineStr">
        <is>
          <t>AtHub</t>
        </is>
      </c>
      <c r="D115" s="41" t="n">
        <v>45274.72792400463</v>
      </c>
      <c r="E115" s="27" t="n">
        <v>-28.900346</v>
      </c>
      <c r="F115" s="27" t="n">
        <v>30.757334</v>
      </c>
      <c r="G115" s="27" t="inlineStr">
        <is>
          <t>Open</t>
        </is>
      </c>
      <c r="H115" s="27" t="inlineStr">
        <is>
          <t>ScannerApp</t>
        </is>
      </c>
      <c r="I115" s="27" t="inlineStr">
        <is>
          <t>12</t>
        </is>
      </c>
      <c r="J115" s="27" t="n">
        <v>2023</v>
      </c>
    </row>
    <row r="116" ht="15" customHeight="1" s="24">
      <c r="A116" s="27" t="n">
        <v>954665</v>
      </c>
      <c r="B116" s="27" t="n">
        <v>145313</v>
      </c>
      <c r="C116" s="27" t="inlineStr">
        <is>
          <t>Created</t>
        </is>
      </c>
      <c r="D116" s="41" t="n">
        <v>45275.49499641204</v>
      </c>
      <c r="E116" s="27" t="n">
        <v>-32.534129</v>
      </c>
      <c r="F116" s="27" t="n">
        <v>30.059709</v>
      </c>
      <c r="G116" s="27" t="inlineStr">
        <is>
          <t>Open</t>
        </is>
      </c>
      <c r="H116" s="27" t="inlineStr">
        <is>
          <t>ScannerApp</t>
        </is>
      </c>
      <c r="I116" s="27" t="inlineStr">
        <is>
          <t>12</t>
        </is>
      </c>
      <c r="J116" s="27" t="n">
        <v>2023</v>
      </c>
    </row>
    <row r="117" ht="15" customHeight="1" s="24">
      <c r="A117" s="27" t="n">
        <v>1113770</v>
      </c>
      <c r="B117" s="27" t="n">
        <v>162749</v>
      </c>
      <c r="C117" s="27" t="inlineStr">
        <is>
          <t>ArrivedAtPickupPoint</t>
        </is>
      </c>
      <c r="D117" s="41" t="n">
        <v>45275.89283152778</v>
      </c>
      <c r="E117" s="27" t="n">
        <v>-25.620698</v>
      </c>
      <c r="F117" s="27" t="n">
        <v>28.52935</v>
      </c>
      <c r="G117" s="27" t="inlineStr">
        <is>
          <t>Open</t>
        </is>
      </c>
      <c r="H117" s="27" t="inlineStr">
        <is>
          <t>ScannerApp</t>
        </is>
      </c>
      <c r="I117" s="27" t="inlineStr">
        <is>
          <t>12</t>
        </is>
      </c>
      <c r="J117" s="27" t="n">
        <v>2023</v>
      </c>
    </row>
    <row r="118" ht="15" customHeight="1" s="24">
      <c r="A118" s="27" t="n">
        <v>952925</v>
      </c>
      <c r="B118" s="27" t="n">
        <v>143573</v>
      </c>
      <c r="C118" s="27" t="inlineStr">
        <is>
          <t>Created</t>
        </is>
      </c>
      <c r="D118" s="41" t="n">
        <v>45276.90783621528</v>
      </c>
      <c r="E118" s="27" t="n">
        <v>-31.888541</v>
      </c>
      <c r="F118" s="27" t="n">
        <v>26.20777</v>
      </c>
      <c r="G118" s="27" t="inlineStr">
        <is>
          <t>Open</t>
        </is>
      </c>
      <c r="H118" s="27" t="inlineStr">
        <is>
          <t>PartnerPOS</t>
        </is>
      </c>
      <c r="I118" s="27" t="inlineStr">
        <is>
          <t>12</t>
        </is>
      </c>
      <c r="J118" s="27" t="n">
        <v>2023</v>
      </c>
    </row>
    <row r="119" ht="15" customHeight="1" s="24">
      <c r="A119" s="27" t="n">
        <v>1095979</v>
      </c>
      <c r="B119" s="27" t="n">
        <v>144927</v>
      </c>
      <c r="C119" s="27" t="inlineStr">
        <is>
          <t>ArrivedAtPickupPoint</t>
        </is>
      </c>
      <c r="D119" s="41" t="n">
        <v>45277.88250116898</v>
      </c>
      <c r="E119" s="27" t="n">
        <v>-25.936412</v>
      </c>
      <c r="F119" s="27" t="n">
        <v>28.177576</v>
      </c>
      <c r="G119" s="27" t="inlineStr">
        <is>
          <t>Open</t>
        </is>
      </c>
      <c r="H119" s="27" t="inlineStr">
        <is>
          <t>ScannerApp</t>
        </is>
      </c>
      <c r="I119" s="27" t="inlineStr">
        <is>
          <t>12</t>
        </is>
      </c>
      <c r="J119" s="27" t="n">
        <v>2023</v>
      </c>
    </row>
    <row r="120" ht="15" customHeight="1" s="24">
      <c r="A120" s="27" t="n">
        <v>990756</v>
      </c>
      <c r="B120" s="27" t="n">
        <v>145974</v>
      </c>
      <c r="C120" s="27" t="inlineStr">
        <is>
          <t>CollectedFromRetailer</t>
        </is>
      </c>
      <c r="D120" s="41" t="n">
        <v>45278.47591486111</v>
      </c>
      <c r="E120" s="27" t="n">
        <v>-25.345109</v>
      </c>
      <c r="F120" s="27" t="n">
        <v>26.500262</v>
      </c>
      <c r="G120" s="27" t="inlineStr">
        <is>
          <t>Open</t>
        </is>
      </c>
      <c r="H120" s="27" t="inlineStr">
        <is>
          <t>ScannerApp</t>
        </is>
      </c>
      <c r="I120" s="27" t="inlineStr">
        <is>
          <t>12</t>
        </is>
      </c>
      <c r="J120" s="27" t="n">
        <v>2023</v>
      </c>
    </row>
    <row r="121" ht="15" customHeight="1" s="24">
      <c r="A121" s="27" t="n">
        <v>1014179</v>
      </c>
      <c r="B121" s="27" t="n">
        <v>169397</v>
      </c>
      <c r="C121" s="27" t="inlineStr">
        <is>
          <t>CollectedFromRetailer</t>
        </is>
      </c>
      <c r="D121" s="41" t="n">
        <v>45279.53999506944</v>
      </c>
      <c r="E121" s="27" t="n">
        <v>-31.197547</v>
      </c>
      <c r="F121" s="27" t="n">
        <v>27.301073</v>
      </c>
      <c r="G121" s="27" t="inlineStr">
        <is>
          <t>Open</t>
        </is>
      </c>
      <c r="H121" s="27" t="inlineStr">
        <is>
          <t>CourierGPS</t>
        </is>
      </c>
      <c r="I121" s="27" t="inlineStr">
        <is>
          <t>12</t>
        </is>
      </c>
      <c r="J121" s="27" t="n">
        <v>2023</v>
      </c>
    </row>
    <row r="122" ht="15" customHeight="1" s="24">
      <c r="A122" s="27" t="n">
        <v>992286</v>
      </c>
      <c r="B122" s="27" t="n">
        <v>147504</v>
      </c>
      <c r="C122" s="27" t="inlineStr">
        <is>
          <t>CollectedFromRetailer</t>
        </is>
      </c>
      <c r="D122" s="41" t="n">
        <v>45281.93310717592</v>
      </c>
      <c r="E122" s="27" t="n">
        <v>-24.077681</v>
      </c>
      <c r="F122" s="27" t="n">
        <v>30.162621</v>
      </c>
      <c r="G122" s="27" t="inlineStr">
        <is>
          <t>Open</t>
        </is>
      </c>
      <c r="H122" s="27" t="inlineStr">
        <is>
          <t>API</t>
        </is>
      </c>
      <c r="I122" s="27" t="inlineStr">
        <is>
          <t>12</t>
        </is>
      </c>
      <c r="J122" s="27" t="n">
        <v>2023</v>
      </c>
    </row>
    <row r="123" ht="15" customHeight="1" s="24">
      <c r="A123" s="27" t="n">
        <v>957867</v>
      </c>
      <c r="B123" s="27" t="n">
        <v>148515</v>
      </c>
      <c r="C123" s="27" t="inlineStr">
        <is>
          <t>Created</t>
        </is>
      </c>
      <c r="D123" s="41" t="n">
        <v>45283.53356767361</v>
      </c>
      <c r="E123" s="27" t="n">
        <v>-26.249386</v>
      </c>
      <c r="F123" s="27" t="n">
        <v>27.694676</v>
      </c>
      <c r="G123" s="27" t="inlineStr">
        <is>
          <t>Open</t>
        </is>
      </c>
      <c r="H123" s="27" t="inlineStr">
        <is>
          <t>ScannerApp</t>
        </is>
      </c>
      <c r="I123" s="27" t="inlineStr">
        <is>
          <t>12</t>
        </is>
      </c>
      <c r="J123" s="27" t="n">
        <v>2023</v>
      </c>
    </row>
    <row r="124" ht="15" customHeight="1" s="24">
      <c r="A124" s="27" t="n">
        <v>981428</v>
      </c>
      <c r="B124" s="27" t="n">
        <v>136646</v>
      </c>
      <c r="C124" s="27" t="inlineStr">
        <is>
          <t>CollectedFromRetailer</t>
        </is>
      </c>
      <c r="D124" s="41" t="n">
        <v>45283.91435135416</v>
      </c>
      <c r="E124" s="27" t="n">
        <v>-28.151845</v>
      </c>
      <c r="F124" s="27" t="n">
        <v>30.212814</v>
      </c>
      <c r="G124" s="27" t="inlineStr">
        <is>
          <t>Open</t>
        </is>
      </c>
      <c r="H124" s="27" t="inlineStr">
        <is>
          <t>ScannerApp</t>
        </is>
      </c>
      <c r="I124" s="27" t="inlineStr">
        <is>
          <t>12</t>
        </is>
      </c>
      <c r="J124" s="27" t="n">
        <v>2023</v>
      </c>
    </row>
    <row r="125" ht="15" customHeight="1" s="24">
      <c r="A125" s="27" t="n">
        <v>1190703</v>
      </c>
      <c r="B125" s="27" t="n">
        <v>150914</v>
      </c>
      <c r="C125" s="27" t="inlineStr">
        <is>
          <t>ExpiredReturnedToSender</t>
        </is>
      </c>
      <c r="D125" s="41" t="n">
        <v>45284.04066512732</v>
      </c>
      <c r="E125" s="27" t="n">
        <v>-27.588099</v>
      </c>
      <c r="F125" s="27" t="n">
        <v>24.765474</v>
      </c>
      <c r="G125" s="27" t="inlineStr">
        <is>
          <t>RTS</t>
        </is>
      </c>
      <c r="H125" s="27" t="inlineStr">
        <is>
          <t>ScannerApp</t>
        </is>
      </c>
      <c r="I125" s="27" t="inlineStr">
        <is>
          <t>12</t>
        </is>
      </c>
      <c r="J125" s="27" t="n">
        <v>2023</v>
      </c>
    </row>
    <row r="126" ht="15" customHeight="1" s="24">
      <c r="A126" s="27" t="n">
        <v>1070995</v>
      </c>
      <c r="B126" s="27" t="n">
        <v>155353</v>
      </c>
      <c r="C126" s="27" t="inlineStr">
        <is>
          <t>InLinehaul</t>
        </is>
      </c>
      <c r="D126" s="41" t="n">
        <v>45284.47250179398</v>
      </c>
      <c r="E126" s="27" t="n">
        <v>-25.781132</v>
      </c>
      <c r="F126" s="27" t="n">
        <v>28.883351</v>
      </c>
      <c r="G126" s="27" t="inlineStr">
        <is>
          <t>Open</t>
        </is>
      </c>
      <c r="H126" s="27" t="inlineStr">
        <is>
          <t>CourierGPS</t>
        </is>
      </c>
      <c r="I126" s="27" t="inlineStr">
        <is>
          <t>12</t>
        </is>
      </c>
      <c r="J126" s="27" t="n">
        <v>2023</v>
      </c>
    </row>
    <row r="127" ht="15" customHeight="1" s="24">
      <c r="A127" s="27" t="n">
        <v>1103791</v>
      </c>
      <c r="B127" s="27" t="n">
        <v>152752</v>
      </c>
      <c r="C127" s="27" t="inlineStr">
        <is>
          <t>ArrivedAtPickupPoint</t>
        </is>
      </c>
      <c r="D127" s="41" t="n">
        <v>45284.82136487269</v>
      </c>
      <c r="E127" s="27" t="n">
        <v>-25.053993</v>
      </c>
      <c r="F127" s="27" t="n">
        <v>26.21521</v>
      </c>
      <c r="G127" s="27" t="inlineStr">
        <is>
          <t>Open</t>
        </is>
      </c>
      <c r="H127" s="27" t="inlineStr">
        <is>
          <t>ScannerApp</t>
        </is>
      </c>
      <c r="I127" s="27" t="inlineStr">
        <is>
          <t>12</t>
        </is>
      </c>
      <c r="J127" s="27" t="n">
        <v>2023</v>
      </c>
    </row>
    <row r="128" ht="15" customHeight="1" s="24">
      <c r="A128" s="27" t="n">
        <v>948755</v>
      </c>
      <c r="B128" s="27" t="n">
        <v>139403</v>
      </c>
      <c r="C128" s="27" t="inlineStr">
        <is>
          <t>Created</t>
        </is>
      </c>
      <c r="D128" s="41" t="n">
        <v>45286.15024010417</v>
      </c>
      <c r="E128" s="27" t="n">
        <v>-26.423212</v>
      </c>
      <c r="F128" s="27" t="n">
        <v>29.00315</v>
      </c>
      <c r="G128" s="27" t="inlineStr">
        <is>
          <t>Open</t>
        </is>
      </c>
      <c r="H128" s="27" t="inlineStr">
        <is>
          <t>ScannerApp</t>
        </is>
      </c>
      <c r="I128" s="27" t="inlineStr">
        <is>
          <t>12</t>
        </is>
      </c>
      <c r="J128" s="27" t="n">
        <v>2023</v>
      </c>
    </row>
    <row r="129" ht="15" customHeight="1" s="24">
      <c r="A129" s="27" t="n">
        <v>1057044</v>
      </c>
      <c r="B129" s="27" t="n">
        <v>141402</v>
      </c>
      <c r="C129" s="27" t="inlineStr">
        <is>
          <t>InLinehaul</t>
        </is>
      </c>
      <c r="D129" s="41" t="n">
        <v>45286.18396413195</v>
      </c>
      <c r="E129" s="27" t="n">
        <v>-27.092306</v>
      </c>
      <c r="F129" s="27" t="n">
        <v>28.253091</v>
      </c>
      <c r="G129" s="27" t="inlineStr">
        <is>
          <t>Open</t>
        </is>
      </c>
      <c r="H129" s="27" t="inlineStr">
        <is>
          <t>ScannerApp</t>
        </is>
      </c>
      <c r="I129" s="27" t="inlineStr">
        <is>
          <t>12</t>
        </is>
      </c>
      <c r="J129" s="27" t="n">
        <v>2023</v>
      </c>
    </row>
    <row r="130" ht="15" customHeight="1" s="24">
      <c r="A130" s="27" t="n">
        <v>965129</v>
      </c>
      <c r="B130" s="27" t="n">
        <v>155777</v>
      </c>
      <c r="C130" s="27" t="inlineStr">
        <is>
          <t>Created</t>
        </is>
      </c>
      <c r="D130" s="41" t="n">
        <v>45286.49959273148</v>
      </c>
      <c r="E130" s="27" t="n">
        <v>-31.772192</v>
      </c>
      <c r="F130" s="27" t="n">
        <v>25.446102</v>
      </c>
      <c r="G130" s="27" t="inlineStr">
        <is>
          <t>Open</t>
        </is>
      </c>
      <c r="H130" s="27" t="inlineStr">
        <is>
          <t>CourierGPS</t>
        </is>
      </c>
      <c r="I130" s="27" t="inlineStr">
        <is>
          <t>12</t>
        </is>
      </c>
      <c r="J130" s="27" t="n">
        <v>2023</v>
      </c>
    </row>
    <row r="131" ht="15" customHeight="1" s="24">
      <c r="A131" s="27" t="n">
        <v>1072490</v>
      </c>
      <c r="B131" s="27" t="n">
        <v>156848</v>
      </c>
      <c r="C131" s="27" t="inlineStr">
        <is>
          <t>InLinehaul</t>
        </is>
      </c>
      <c r="D131" s="41" t="n">
        <v>45287.69236809028</v>
      </c>
      <c r="E131" s="27" t="n">
        <v>-25.427075</v>
      </c>
      <c r="F131" s="27" t="n">
        <v>28.560044</v>
      </c>
      <c r="G131" s="27" t="inlineStr">
        <is>
          <t>Open</t>
        </is>
      </c>
      <c r="H131" s="27" t="inlineStr">
        <is>
          <t>ScannerApp</t>
        </is>
      </c>
      <c r="I131" s="27" t="inlineStr">
        <is>
          <t>12</t>
        </is>
      </c>
      <c r="J131" s="27" t="n">
        <v>2023</v>
      </c>
    </row>
    <row r="132" ht="15" customHeight="1" s="24">
      <c r="A132" s="27" t="n">
        <v>971546</v>
      </c>
      <c r="B132" s="27" t="n">
        <v>162194</v>
      </c>
      <c r="C132" s="27" t="inlineStr">
        <is>
          <t>Created</t>
        </is>
      </c>
      <c r="D132" s="41" t="n">
        <v>45289.23882559028</v>
      </c>
      <c r="E132" s="27" t="n">
        <v>-26.490652</v>
      </c>
      <c r="F132" s="27" t="n">
        <v>27.697594</v>
      </c>
      <c r="G132" s="27" t="inlineStr">
        <is>
          <t>Open</t>
        </is>
      </c>
      <c r="H132" s="27" t="inlineStr">
        <is>
          <t>PartnerPOS</t>
        </is>
      </c>
      <c r="I132" s="27" t="inlineStr">
        <is>
          <t>12</t>
        </is>
      </c>
      <c r="J132" s="27" t="n">
        <v>2023</v>
      </c>
    </row>
    <row r="133" ht="15" customHeight="1" s="24">
      <c r="A133" s="27" t="n">
        <v>1187527</v>
      </c>
      <c r="B133" s="27" t="n">
        <v>168304</v>
      </c>
      <c r="C133" s="27" t="inlineStr">
        <is>
          <t>CollectedByCustomer</t>
        </is>
      </c>
      <c r="D133" s="41" t="n">
        <v>45290.11886959491</v>
      </c>
      <c r="E133" s="27" t="n">
        <v>-29.887565</v>
      </c>
      <c r="F133" s="27" t="n">
        <v>31.705166</v>
      </c>
      <c r="G133" s="27" t="inlineStr">
        <is>
          <t>Closed</t>
        </is>
      </c>
      <c r="H133" s="27" t="inlineStr">
        <is>
          <t>CourierGPS</t>
        </is>
      </c>
      <c r="I133" s="27" t="inlineStr">
        <is>
          <t>12</t>
        </is>
      </c>
      <c r="J133" s="27" t="n">
        <v>2023</v>
      </c>
    </row>
    <row r="134" ht="15" customHeight="1" s="24">
      <c r="A134" s="27" t="n">
        <v>1049622</v>
      </c>
      <c r="B134" s="27" t="n">
        <v>169410</v>
      </c>
      <c r="C134" s="27" t="inlineStr">
        <is>
          <t>AtHub</t>
        </is>
      </c>
      <c r="D134" s="41" t="n">
        <v>45290.50001328703</v>
      </c>
      <c r="E134" s="27" t="n">
        <v>-34.523494</v>
      </c>
      <c r="F134" s="27" t="n">
        <v>20.702437</v>
      </c>
      <c r="G134" s="27" t="inlineStr">
        <is>
          <t>Open</t>
        </is>
      </c>
      <c r="H134" s="27" t="inlineStr">
        <is>
          <t>PartnerPOS</t>
        </is>
      </c>
      <c r="I134" s="27" t="inlineStr">
        <is>
          <t>12</t>
        </is>
      </c>
      <c r="J134" s="27" t="n">
        <v>2023</v>
      </c>
    </row>
    <row r="135" ht="15" customHeight="1" s="24">
      <c r="A135" s="27" t="n">
        <v>985512</v>
      </c>
      <c r="B135" s="27" t="n">
        <v>140730</v>
      </c>
      <c r="C135" s="27" t="inlineStr">
        <is>
          <t>CollectedFromRetailer</t>
        </is>
      </c>
      <c r="D135" s="41" t="n">
        <v>45290.54224190972</v>
      </c>
      <c r="E135" s="27" t="n">
        <v>-26.81107</v>
      </c>
      <c r="F135" s="27" t="n">
        <v>32.392908</v>
      </c>
      <c r="G135" s="27" t="inlineStr">
        <is>
          <t>Open</t>
        </is>
      </c>
      <c r="H135" s="27" t="inlineStr">
        <is>
          <t>CourierGPS</t>
        </is>
      </c>
      <c r="I135" s="27" t="inlineStr">
        <is>
          <t>12</t>
        </is>
      </c>
      <c r="J135" s="27" t="n">
        <v>2023</v>
      </c>
    </row>
    <row r="136" ht="15" customHeight="1" s="24">
      <c r="A136" s="27" t="n">
        <v>945363</v>
      </c>
      <c r="B136" s="27" t="n">
        <v>136011</v>
      </c>
      <c r="C136" s="27" t="inlineStr">
        <is>
          <t>Created</t>
        </is>
      </c>
      <c r="D136" s="41" t="n">
        <v>45290.62819751157</v>
      </c>
      <c r="E136" s="27" t="n">
        <v>-22.396039</v>
      </c>
      <c r="F136" s="27" t="n">
        <v>29.033451</v>
      </c>
      <c r="G136" s="27" t="inlineStr">
        <is>
          <t>Open</t>
        </is>
      </c>
      <c r="H136" s="27" t="inlineStr">
        <is>
          <t>API</t>
        </is>
      </c>
      <c r="I136" s="27" t="inlineStr">
        <is>
          <t>12</t>
        </is>
      </c>
      <c r="J136" s="27" t="n">
        <v>2023</v>
      </c>
    </row>
    <row r="137" ht="15" customHeight="1" s="24">
      <c r="A137" s="27" t="n">
        <v>1082968</v>
      </c>
      <c r="B137" s="27" t="n">
        <v>167326</v>
      </c>
      <c r="C137" s="27" t="inlineStr">
        <is>
          <t>InLinehaul</t>
        </is>
      </c>
      <c r="D137" s="41" t="n">
        <v>45291.49103862268</v>
      </c>
      <c r="E137" s="27" t="n">
        <v>-29.580161</v>
      </c>
      <c r="F137" s="27" t="n">
        <v>30.339294</v>
      </c>
      <c r="G137" s="27" t="inlineStr">
        <is>
          <t>Open</t>
        </is>
      </c>
      <c r="H137" s="27" t="inlineStr">
        <is>
          <t>ScannerApp</t>
        </is>
      </c>
      <c r="I137" s="27" t="inlineStr">
        <is>
          <t>12</t>
        </is>
      </c>
      <c r="J137" s="27" t="n">
        <v>2023</v>
      </c>
    </row>
    <row r="138" ht="15" customHeight="1" s="24">
      <c r="A138" s="27" t="n">
        <v>1196636</v>
      </c>
      <c r="B138" s="27" t="n">
        <v>175566</v>
      </c>
      <c r="C138" s="27" t="inlineStr">
        <is>
          <t>Created</t>
        </is>
      </c>
      <c r="D138" s="41" t="n">
        <v>45300.16236429398</v>
      </c>
      <c r="E138" s="27" t="n">
        <v>-24.921731</v>
      </c>
      <c r="F138" s="27" t="n">
        <v>27.695679</v>
      </c>
      <c r="G138" s="27" t="inlineStr">
        <is>
          <t>Open</t>
        </is>
      </c>
      <c r="H138" s="27" t="inlineStr">
        <is>
          <t>ScannerApp</t>
        </is>
      </c>
      <c r="I138" s="27" t="inlineStr">
        <is>
          <t>01</t>
        </is>
      </c>
      <c r="J138" s="27" t="n">
        <v>2024</v>
      </c>
    </row>
    <row r="139" ht="15" customHeight="1" s="24">
      <c r="A139" s="27" t="n">
        <v>1214295</v>
      </c>
      <c r="B139" s="27" t="n">
        <v>175741</v>
      </c>
      <c r="C139" s="27" t="inlineStr">
        <is>
          <t>CollectedFromRetailer</t>
        </is>
      </c>
      <c r="D139" s="41" t="n">
        <v>45302.40892777777</v>
      </c>
      <c r="E139" s="27" t="n">
        <v>-27.147661</v>
      </c>
      <c r="F139" s="27" t="n">
        <v>27.430815</v>
      </c>
      <c r="G139" s="27" t="inlineStr">
        <is>
          <t>Open</t>
        </is>
      </c>
      <c r="H139" s="27" t="inlineStr">
        <is>
          <t>ScannerApp</t>
        </is>
      </c>
      <c r="I139" s="27" t="inlineStr">
        <is>
          <t>01</t>
        </is>
      </c>
      <c r="J139" s="27" t="n">
        <v>2024</v>
      </c>
    </row>
    <row r="140" ht="15" customHeight="1" s="24">
      <c r="A140" s="27" t="n">
        <v>1257229</v>
      </c>
      <c r="B140" s="27" t="n">
        <v>183707</v>
      </c>
      <c r="C140" s="27" t="inlineStr">
        <is>
          <t>InLinehaul</t>
        </is>
      </c>
      <c r="D140" s="41" t="n">
        <v>45308.3079784838</v>
      </c>
      <c r="E140" s="27" t="n">
        <v>-25.71981</v>
      </c>
      <c r="F140" s="27" t="n">
        <v>29.138584</v>
      </c>
      <c r="G140" s="27" t="inlineStr">
        <is>
          <t>Open</t>
        </is>
      </c>
      <c r="H140" s="27" t="inlineStr">
        <is>
          <t>PartnerPOS</t>
        </is>
      </c>
      <c r="I140" s="27" t="inlineStr">
        <is>
          <t>01</t>
        </is>
      </c>
      <c r="J140" s="27" t="n">
        <v>2024</v>
      </c>
    </row>
    <row r="141" ht="15" customHeight="1" s="24">
      <c r="A141" s="27" t="n">
        <v>1192098</v>
      </c>
      <c r="B141" s="27" t="n">
        <v>171028</v>
      </c>
      <c r="C141" s="27" t="inlineStr">
        <is>
          <t>Created</t>
        </is>
      </c>
      <c r="D141" s="41" t="n">
        <v>45311.51464623843</v>
      </c>
      <c r="E141" s="27" t="n">
        <v>-34.207052</v>
      </c>
      <c r="F141" s="27" t="n">
        <v>19.217051</v>
      </c>
      <c r="G141" s="27" t="inlineStr">
        <is>
          <t>Open</t>
        </is>
      </c>
      <c r="H141" s="27" t="inlineStr">
        <is>
          <t>PartnerPOS</t>
        </is>
      </c>
      <c r="I141" s="27" t="inlineStr">
        <is>
          <t>01</t>
        </is>
      </c>
      <c r="J141" s="27" t="n">
        <v>2024</v>
      </c>
    </row>
    <row r="142" ht="15" customHeight="1" s="24">
      <c r="A142" s="27" t="n">
        <v>1209582</v>
      </c>
      <c r="B142" s="27" t="n">
        <v>171028</v>
      </c>
      <c r="C142" s="27" t="inlineStr">
        <is>
          <t>CollectedFromRetailer</t>
        </is>
      </c>
      <c r="D142" s="41" t="n">
        <v>45312.13712743056</v>
      </c>
      <c r="E142" s="27" t="n">
        <v>-32.940169</v>
      </c>
      <c r="F142" s="27" t="n">
        <v>17.45656</v>
      </c>
      <c r="G142" s="27" t="inlineStr">
        <is>
          <t>Open</t>
        </is>
      </c>
      <c r="H142" s="27" t="inlineStr">
        <is>
          <t>API</t>
        </is>
      </c>
      <c r="I142" s="27" t="inlineStr">
        <is>
          <t>01</t>
        </is>
      </c>
      <c r="J142" s="27" t="n">
        <v>2024</v>
      </c>
    </row>
    <row r="143" ht="15" customHeight="1" s="24">
      <c r="A143" s="27" t="n">
        <v>1266801</v>
      </c>
      <c r="B143" s="27" t="n">
        <v>175809</v>
      </c>
      <c r="C143" s="27" t="inlineStr">
        <is>
          <t>ArrivedAtPickupPoint</t>
        </is>
      </c>
      <c r="D143" s="41" t="n">
        <v>45317.42599917824</v>
      </c>
      <c r="E143" s="27" t="n">
        <v>-26.607442</v>
      </c>
      <c r="F143" s="27" t="n">
        <v>31.60123</v>
      </c>
      <c r="G143" s="27" t="inlineStr">
        <is>
          <t>Open</t>
        </is>
      </c>
      <c r="H143" s="27" t="inlineStr">
        <is>
          <t>ScannerApp</t>
        </is>
      </c>
      <c r="I143" s="27" t="inlineStr">
        <is>
          <t>01</t>
        </is>
      </c>
      <c r="J143" s="27" t="n">
        <v>2024</v>
      </c>
    </row>
    <row r="144" ht="15" customHeight="1" s="24">
      <c r="A144" s="27" t="n">
        <v>1226840</v>
      </c>
      <c r="B144" s="27" t="n">
        <v>188286</v>
      </c>
      <c r="C144" s="27" t="inlineStr">
        <is>
          <t>CollectedFromRetailer</t>
        </is>
      </c>
      <c r="D144" s="41" t="n">
        <v>45317.77930158565</v>
      </c>
      <c r="E144" s="27" t="n">
        <v>-33.407377</v>
      </c>
      <c r="F144" s="27" t="n">
        <v>22.27901</v>
      </c>
      <c r="G144" s="27" t="inlineStr">
        <is>
          <t>Open</t>
        </is>
      </c>
      <c r="H144" s="27" t="inlineStr">
        <is>
          <t>CourierGPS</t>
        </is>
      </c>
      <c r="I144" s="27" t="inlineStr">
        <is>
          <t>01</t>
        </is>
      </c>
      <c r="J144" s="27" t="n">
        <v>2024</v>
      </c>
    </row>
    <row r="145" ht="15" customHeight="1" s="24">
      <c r="A145" s="27" t="n">
        <v>1282887</v>
      </c>
      <c r="B145" s="27" t="n">
        <v>174446</v>
      </c>
      <c r="C145" s="27" t="inlineStr">
        <is>
          <t>CustomerNotified</t>
        </is>
      </c>
      <c r="D145" s="41" t="n">
        <v>45321.1153277662</v>
      </c>
      <c r="E145" s="27" t="n">
        <v>-34.49162</v>
      </c>
      <c r="F145" s="27" t="n">
        <v>18.838343</v>
      </c>
      <c r="G145" s="27" t="inlineStr">
        <is>
          <t>Open</t>
        </is>
      </c>
      <c r="H145" s="27" t="inlineStr">
        <is>
          <t>ScannerApp</t>
        </is>
      </c>
      <c r="I145" s="27" t="inlineStr">
        <is>
          <t>01</t>
        </is>
      </c>
      <c r="J145" s="27" t="n">
        <v>2024</v>
      </c>
    </row>
    <row r="146" ht="15" customHeight="1" s="24">
      <c r="A146" s="27" t="n">
        <v>1236492</v>
      </c>
      <c r="B146" s="27" t="n">
        <v>180454</v>
      </c>
      <c r="C146" s="27" t="inlineStr">
        <is>
          <t>AtHub</t>
        </is>
      </c>
      <c r="D146" s="41" t="n">
        <v>45322.82707288195</v>
      </c>
      <c r="E146" s="27" t="n">
        <v>-33.359918</v>
      </c>
      <c r="F146" s="27" t="n">
        <v>27.945102</v>
      </c>
      <c r="G146" s="27" t="inlineStr">
        <is>
          <t>Open</t>
        </is>
      </c>
      <c r="H146" s="27" t="inlineStr">
        <is>
          <t>PartnerPOS</t>
        </is>
      </c>
      <c r="I146" s="27" t="inlineStr">
        <is>
          <t>01</t>
        </is>
      </c>
      <c r="J146" s="27" t="n">
        <v>2024</v>
      </c>
    </row>
    <row r="147" ht="15" customHeight="1" s="24">
      <c r="A147" s="27" t="n">
        <v>1431338</v>
      </c>
      <c r="B147" s="27" t="n">
        <v>203819</v>
      </c>
      <c r="C147" s="27" t="inlineStr">
        <is>
          <t>CustomerNotified</t>
        </is>
      </c>
      <c r="D147" s="41" t="n">
        <v>45325.90936189815</v>
      </c>
      <c r="E147" s="27" t="n">
        <v>-31.845406</v>
      </c>
      <c r="F147" s="27" t="n">
        <v>27.861703</v>
      </c>
      <c r="G147" s="27" t="inlineStr">
        <is>
          <t>Open</t>
        </is>
      </c>
      <c r="H147" s="27" t="inlineStr">
        <is>
          <t>ScannerApp</t>
        </is>
      </c>
      <c r="I147" s="27" t="inlineStr">
        <is>
          <t>02</t>
        </is>
      </c>
      <c r="J147" s="27" t="n">
        <v>2024</v>
      </c>
    </row>
    <row r="148" ht="15" customHeight="1" s="24">
      <c r="A148" s="27" t="n">
        <v>1355304</v>
      </c>
      <c r="B148" s="27" t="n">
        <v>188956</v>
      </c>
      <c r="C148" s="27" t="inlineStr">
        <is>
          <t>AtHub</t>
        </is>
      </c>
      <c r="D148" s="41" t="n">
        <v>45327.61003509259</v>
      </c>
      <c r="E148" s="27" t="n">
        <v>-27.780514</v>
      </c>
      <c r="F148" s="27" t="n">
        <v>30.018756</v>
      </c>
      <c r="G148" s="27" t="inlineStr">
        <is>
          <t>Open</t>
        </is>
      </c>
      <c r="H148" s="27" t="inlineStr">
        <is>
          <t>ScannerApp</t>
        </is>
      </c>
      <c r="I148" s="27" t="inlineStr">
        <is>
          <t>02</t>
        </is>
      </c>
      <c r="J148" s="27" t="n">
        <v>2024</v>
      </c>
    </row>
    <row r="149" ht="15" customHeight="1" s="24">
      <c r="A149" s="27" t="n">
        <v>1317247</v>
      </c>
      <c r="B149" s="27" t="n">
        <v>191731</v>
      </c>
      <c r="C149" s="27" t="inlineStr">
        <is>
          <t>Created</t>
        </is>
      </c>
      <c r="D149" s="41" t="n">
        <v>45328.3536712963</v>
      </c>
      <c r="E149" s="27" t="n">
        <v>-33.823331</v>
      </c>
      <c r="F149" s="27" t="n">
        <v>17.951716</v>
      </c>
      <c r="G149" s="27" t="inlineStr">
        <is>
          <t>Open</t>
        </is>
      </c>
      <c r="H149" s="27" t="inlineStr">
        <is>
          <t>ScannerApp</t>
        </is>
      </c>
      <c r="I149" s="27" t="inlineStr">
        <is>
          <t>02</t>
        </is>
      </c>
      <c r="J149" s="27" t="n">
        <v>2024</v>
      </c>
    </row>
    <row r="150" ht="15" customHeight="1" s="24">
      <c r="A150" s="27" t="n">
        <v>1378651</v>
      </c>
      <c r="B150" s="27" t="n">
        <v>191887</v>
      </c>
      <c r="C150" s="27" t="inlineStr">
        <is>
          <t>InLinehaul</t>
        </is>
      </c>
      <c r="D150" s="41" t="n">
        <v>45328.65909773148</v>
      </c>
      <c r="E150" s="27" t="n">
        <v>-26.015675</v>
      </c>
      <c r="F150" s="27" t="n">
        <v>30.025113</v>
      </c>
      <c r="G150" s="27" t="inlineStr">
        <is>
          <t>Open</t>
        </is>
      </c>
      <c r="H150" s="27" t="inlineStr">
        <is>
          <t>ScannerApp</t>
        </is>
      </c>
      <c r="I150" s="27" t="inlineStr">
        <is>
          <t>02</t>
        </is>
      </c>
      <c r="J150" s="27" t="n">
        <v>2024</v>
      </c>
    </row>
    <row r="151" ht="15" customHeight="1" s="24">
      <c r="A151" s="27" t="n">
        <v>1333584</v>
      </c>
      <c r="B151" s="27" t="n">
        <v>208068</v>
      </c>
      <c r="C151" s="27" t="inlineStr">
        <is>
          <t>Created</t>
        </is>
      </c>
      <c r="D151" s="41" t="n">
        <v>45330.40322206019</v>
      </c>
      <c r="E151" s="27" t="n">
        <v>-33.502345</v>
      </c>
      <c r="F151" s="27" t="n">
        <v>22.803723</v>
      </c>
      <c r="G151" s="27" t="inlineStr">
        <is>
          <t>Open</t>
        </is>
      </c>
      <c r="H151" s="27" t="inlineStr">
        <is>
          <t>CourierGPS</t>
        </is>
      </c>
      <c r="I151" s="27" t="inlineStr">
        <is>
          <t>02</t>
        </is>
      </c>
      <c r="J151" s="27" t="n">
        <v>2024</v>
      </c>
    </row>
    <row r="152" ht="15" customHeight="1" s="24">
      <c r="A152" s="27" t="n">
        <v>1441187</v>
      </c>
      <c r="B152" s="27" t="n">
        <v>193766</v>
      </c>
      <c r="C152" s="27" t="inlineStr">
        <is>
          <t>CollectedByCustomer</t>
        </is>
      </c>
      <c r="D152" s="41" t="n">
        <v>45333.83826675926</v>
      </c>
      <c r="E152" s="27" t="n">
        <v>-26.740561</v>
      </c>
      <c r="F152" s="27" t="n">
        <v>26.131011</v>
      </c>
      <c r="G152" s="27" t="inlineStr">
        <is>
          <t>Closed</t>
        </is>
      </c>
      <c r="H152" s="27" t="inlineStr">
        <is>
          <t>PartnerPOS</t>
        </is>
      </c>
      <c r="I152" s="27" t="inlineStr">
        <is>
          <t>02</t>
        </is>
      </c>
      <c r="J152" s="27" t="n">
        <v>2024</v>
      </c>
    </row>
    <row r="153" ht="15" customHeight="1" s="24">
      <c r="A153" s="27" t="n">
        <v>1366269</v>
      </c>
      <c r="B153" s="27" t="n">
        <v>199921</v>
      </c>
      <c r="C153" s="27" t="inlineStr">
        <is>
          <t>AtHub</t>
        </is>
      </c>
      <c r="D153" s="41" t="n">
        <v>45334.2630174537</v>
      </c>
      <c r="E153" s="27" t="n">
        <v>-24.063197</v>
      </c>
      <c r="F153" s="27" t="n">
        <v>26.989638</v>
      </c>
      <c r="G153" s="27" t="inlineStr">
        <is>
          <t>Open</t>
        </is>
      </c>
      <c r="H153" s="27" t="inlineStr">
        <is>
          <t>ScannerApp</t>
        </is>
      </c>
      <c r="I153" s="27" t="inlineStr">
        <is>
          <t>02</t>
        </is>
      </c>
      <c r="J153" s="27" t="n">
        <v>2024</v>
      </c>
    </row>
    <row r="154" ht="15" customHeight="1" s="24">
      <c r="A154" s="27" t="n">
        <v>1436484</v>
      </c>
      <c r="B154" s="27" t="n">
        <v>188592</v>
      </c>
      <c r="C154" s="27" t="inlineStr">
        <is>
          <t>CollectedByCustomer</t>
        </is>
      </c>
      <c r="D154" s="41" t="n">
        <v>45336.81555105324</v>
      </c>
      <c r="E154" s="27" t="n">
        <v>-25.957723</v>
      </c>
      <c r="F154" s="27" t="n">
        <v>28.149942</v>
      </c>
      <c r="G154" s="27" t="inlineStr">
        <is>
          <t>Closed</t>
        </is>
      </c>
      <c r="H154" s="27" t="inlineStr">
        <is>
          <t>API</t>
        </is>
      </c>
      <c r="I154" s="27" t="inlineStr">
        <is>
          <t>02</t>
        </is>
      </c>
      <c r="J154" s="27" t="n">
        <v>2024</v>
      </c>
    </row>
    <row r="155" ht="15" customHeight="1" s="24">
      <c r="A155" s="27" t="n">
        <v>1406586</v>
      </c>
      <c r="B155" s="27" t="n">
        <v>199429</v>
      </c>
      <c r="C155" s="27" t="inlineStr">
        <is>
          <t>ArrivedAtPickupPoint</t>
        </is>
      </c>
      <c r="D155" s="41" t="n">
        <v>45337.17283196759</v>
      </c>
      <c r="E155" s="27" t="n">
        <v>-27.610076</v>
      </c>
      <c r="F155" s="27" t="n">
        <v>30.040856</v>
      </c>
      <c r="G155" s="27" t="inlineStr">
        <is>
          <t>Open</t>
        </is>
      </c>
      <c r="H155" s="27" t="inlineStr">
        <is>
          <t>CourierGPS</t>
        </is>
      </c>
      <c r="I155" s="27" t="inlineStr">
        <is>
          <t>02</t>
        </is>
      </c>
      <c r="J155" s="27" t="n">
        <v>2024</v>
      </c>
    </row>
    <row r="156" ht="15" customHeight="1" s="24">
      <c r="A156" s="27" t="n">
        <v>1397191</v>
      </c>
      <c r="B156" s="27" t="n">
        <v>190016</v>
      </c>
      <c r="C156" s="27" t="inlineStr">
        <is>
          <t>ArrivedAtPickupPoint</t>
        </is>
      </c>
      <c r="D156" s="41" t="n">
        <v>45338.47707129629</v>
      </c>
      <c r="E156" s="27" t="n">
        <v>-24.93756</v>
      </c>
      <c r="F156" s="27" t="n">
        <v>31.118993</v>
      </c>
      <c r="G156" s="27" t="inlineStr">
        <is>
          <t>Open</t>
        </is>
      </c>
      <c r="H156" s="27" t="inlineStr">
        <is>
          <t>ScannerApp</t>
        </is>
      </c>
      <c r="I156" s="27" t="inlineStr">
        <is>
          <t>02</t>
        </is>
      </c>
      <c r="J156" s="27" t="n">
        <v>2024</v>
      </c>
    </row>
    <row r="157" ht="15" customHeight="1" s="24">
      <c r="A157" s="27" t="n">
        <v>1445950</v>
      </c>
      <c r="B157" s="27" t="n">
        <v>198922</v>
      </c>
      <c r="C157" s="27" t="inlineStr">
        <is>
          <t>CollectedByCustomer</t>
        </is>
      </c>
      <c r="D157" s="41" t="n">
        <v>45338.8128740625</v>
      </c>
      <c r="E157" s="27" t="n">
        <v>-29.963766</v>
      </c>
      <c r="F157" s="27" t="n">
        <v>31.071486</v>
      </c>
      <c r="G157" s="27" t="inlineStr">
        <is>
          <t>Closed</t>
        </is>
      </c>
      <c r="H157" s="27" t="inlineStr">
        <is>
          <t>ScannerApp</t>
        </is>
      </c>
      <c r="I157" s="27" t="inlineStr">
        <is>
          <t>02</t>
        </is>
      </c>
      <c r="J157" s="27" t="n">
        <v>2024</v>
      </c>
    </row>
    <row r="158" ht="15" customHeight="1" s="24">
      <c r="A158" s="27" t="n">
        <v>1418616</v>
      </c>
      <c r="B158" s="27" t="n">
        <v>191071</v>
      </c>
      <c r="C158" s="27" t="inlineStr">
        <is>
          <t>CustomerNotified</t>
        </is>
      </c>
      <c r="D158" s="41" t="n">
        <v>45339.5012815162</v>
      </c>
      <c r="E158" s="27" t="n">
        <v>-31.845406</v>
      </c>
      <c r="F158" s="27" t="n">
        <v>27.861703</v>
      </c>
      <c r="G158" s="27" t="inlineStr">
        <is>
          <t>Open</t>
        </is>
      </c>
      <c r="H158" s="27" t="inlineStr">
        <is>
          <t>CourierGPS</t>
        </is>
      </c>
      <c r="I158" s="27" t="inlineStr">
        <is>
          <t>02</t>
        </is>
      </c>
      <c r="J158" s="27" t="n">
        <v>2024</v>
      </c>
    </row>
    <row r="159" ht="15" customHeight="1" s="24">
      <c r="A159" s="27" t="n">
        <v>1397446</v>
      </c>
      <c r="B159" s="27" t="n">
        <v>190272</v>
      </c>
      <c r="C159" s="27" t="inlineStr">
        <is>
          <t>ArrivedAtPickupPoint</t>
        </is>
      </c>
      <c r="D159" s="41" t="n">
        <v>45341.09106070602</v>
      </c>
      <c r="E159" s="27" t="n">
        <v>-25.906705</v>
      </c>
      <c r="F159" s="27" t="n">
        <v>29.532254</v>
      </c>
      <c r="G159" s="27" t="inlineStr">
        <is>
          <t>Open</t>
        </is>
      </c>
      <c r="H159" s="27" t="inlineStr">
        <is>
          <t>CourierGPS</t>
        </is>
      </c>
      <c r="I159" s="27" t="inlineStr">
        <is>
          <t>02</t>
        </is>
      </c>
      <c r="J159" s="27" t="n">
        <v>2024</v>
      </c>
    </row>
    <row r="160" ht="15" customHeight="1" s="24">
      <c r="A160" s="27" t="n">
        <v>1375387</v>
      </c>
      <c r="B160" s="27" t="n">
        <v>188623</v>
      </c>
      <c r="C160" s="27" t="inlineStr">
        <is>
          <t>InLinehaul</t>
        </is>
      </c>
      <c r="D160" s="41" t="n">
        <v>45341.75097553241</v>
      </c>
      <c r="E160" s="27" t="n">
        <v>-23.164644</v>
      </c>
      <c r="F160" s="27" t="n">
        <v>29.525347</v>
      </c>
      <c r="G160" s="27" t="inlineStr">
        <is>
          <t>Open</t>
        </is>
      </c>
      <c r="H160" s="27" t="inlineStr">
        <is>
          <t>ScannerApp</t>
        </is>
      </c>
      <c r="I160" s="27" t="inlineStr">
        <is>
          <t>02</t>
        </is>
      </c>
      <c r="J160" s="27" t="n">
        <v>2024</v>
      </c>
    </row>
    <row r="161" ht="15" customHeight="1" s="24">
      <c r="A161" s="27" t="n">
        <v>1453088</v>
      </c>
      <c r="B161" s="27" t="n">
        <v>206645</v>
      </c>
      <c r="C161" s="27" t="inlineStr">
        <is>
          <t>CollectedByCustomer</t>
        </is>
      </c>
      <c r="D161" s="41" t="n">
        <v>45342.50284164352</v>
      </c>
      <c r="E161" s="27" t="n">
        <v>-26.445806</v>
      </c>
      <c r="F161" s="27" t="n">
        <v>27.599799</v>
      </c>
      <c r="G161" s="27" t="inlineStr">
        <is>
          <t>Closed</t>
        </is>
      </c>
      <c r="H161" s="27" t="inlineStr">
        <is>
          <t>CourierGPS</t>
        </is>
      </c>
      <c r="I161" s="27" t="inlineStr">
        <is>
          <t>02</t>
        </is>
      </c>
      <c r="J161" s="27" t="n">
        <v>2024</v>
      </c>
    </row>
    <row r="162" ht="15" customHeight="1" s="24">
      <c r="A162" s="27" t="n">
        <v>1374220</v>
      </c>
      <c r="B162" s="27" t="n">
        <v>207872</v>
      </c>
      <c r="C162" s="27" t="inlineStr">
        <is>
          <t>AtHub</t>
        </is>
      </c>
      <c r="D162" s="41" t="n">
        <v>45343.00963155093</v>
      </c>
      <c r="E162" s="27" t="n">
        <v>-24.038211</v>
      </c>
      <c r="F162" s="27" t="n">
        <v>30.380907</v>
      </c>
      <c r="G162" s="27" t="inlineStr">
        <is>
          <t>Open</t>
        </is>
      </c>
      <c r="H162" s="27" t="inlineStr">
        <is>
          <t>ScannerApp</t>
        </is>
      </c>
      <c r="I162" s="27" t="inlineStr">
        <is>
          <t>02</t>
        </is>
      </c>
      <c r="J162" s="27" t="n">
        <v>2024</v>
      </c>
    </row>
    <row r="163" ht="15" customHeight="1" s="24">
      <c r="A163" s="27" t="n">
        <v>1435131</v>
      </c>
      <c r="B163" s="27" t="n">
        <v>207622</v>
      </c>
      <c r="C163" s="27" t="inlineStr">
        <is>
          <t>CustomerNotified</t>
        </is>
      </c>
      <c r="D163" s="41" t="n">
        <v>45345.62444773148</v>
      </c>
      <c r="E163" s="27" t="n">
        <v>-26.275571</v>
      </c>
      <c r="F163" s="27" t="n">
        <v>24.311104</v>
      </c>
      <c r="G163" s="27" t="inlineStr">
        <is>
          <t>Open</t>
        </is>
      </c>
      <c r="H163" s="27" t="inlineStr">
        <is>
          <t>PartnerPOS</t>
        </is>
      </c>
      <c r="I163" s="27" t="inlineStr">
        <is>
          <t>02</t>
        </is>
      </c>
      <c r="J163" s="27" t="n">
        <v>2024</v>
      </c>
    </row>
    <row r="164" ht="15" customHeight="1" s="24">
      <c r="A164" s="27" t="n">
        <v>1320802</v>
      </c>
      <c r="B164" s="27" t="n">
        <v>195286</v>
      </c>
      <c r="C164" s="27" t="inlineStr">
        <is>
          <t>Created</t>
        </is>
      </c>
      <c r="D164" s="41" t="n">
        <v>45347.32043972222</v>
      </c>
      <c r="E164" s="27" t="n">
        <v>-29.730236</v>
      </c>
      <c r="F164" s="27" t="n">
        <v>29.176155</v>
      </c>
      <c r="G164" s="27" t="inlineStr">
        <is>
          <t>Open</t>
        </is>
      </c>
      <c r="H164" s="27" t="inlineStr">
        <is>
          <t>CourierGPS</t>
        </is>
      </c>
      <c r="I164" s="27" t="inlineStr">
        <is>
          <t>02</t>
        </is>
      </c>
      <c r="J164" s="27" t="n">
        <v>2024</v>
      </c>
    </row>
    <row r="165" ht="15" customHeight="1" s="24">
      <c r="A165" s="27" t="n">
        <v>1342033</v>
      </c>
      <c r="B165" s="27" t="n">
        <v>196101</v>
      </c>
      <c r="C165" s="27" t="inlineStr">
        <is>
          <t>CollectedFromRetailer</t>
        </is>
      </c>
      <c r="D165" s="41" t="n">
        <v>45347.38184785879</v>
      </c>
      <c r="E165" s="27" t="n">
        <v>-31.036199</v>
      </c>
      <c r="F165" s="27" t="n">
        <v>21.112185</v>
      </c>
      <c r="G165" s="27" t="inlineStr">
        <is>
          <t>Open</t>
        </is>
      </c>
      <c r="H165" s="27" t="inlineStr">
        <is>
          <t>ScannerApp</t>
        </is>
      </c>
      <c r="I165" s="27" t="inlineStr">
        <is>
          <t>02</t>
        </is>
      </c>
      <c r="J165" s="27" t="n">
        <v>2024</v>
      </c>
    </row>
    <row r="166" ht="15" customHeight="1" s="24">
      <c r="A166" s="27" t="n">
        <v>1420523</v>
      </c>
      <c r="B166" s="27" t="n">
        <v>192985</v>
      </c>
      <c r="C166" s="27" t="inlineStr">
        <is>
          <t>CustomerNotified</t>
        </is>
      </c>
      <c r="D166" s="41" t="n">
        <v>45348.26960811343</v>
      </c>
      <c r="E166" s="27" t="n">
        <v>-29.129791</v>
      </c>
      <c r="F166" s="27" t="n">
        <v>25.01218</v>
      </c>
      <c r="G166" s="27" t="inlineStr">
        <is>
          <t>Open</t>
        </is>
      </c>
      <c r="H166" s="27" t="inlineStr">
        <is>
          <t>ScannerApp</t>
        </is>
      </c>
      <c r="I166" s="27" t="inlineStr">
        <is>
          <t>02</t>
        </is>
      </c>
      <c r="J166" s="27" t="n">
        <v>2024</v>
      </c>
    </row>
    <row r="167" ht="15" customHeight="1" s="24">
      <c r="A167" s="27" t="n">
        <v>1400898</v>
      </c>
      <c r="B167" s="27" t="n">
        <v>193733</v>
      </c>
      <c r="C167" s="27" t="inlineStr">
        <is>
          <t>ArrivedAtPickupPoint</t>
        </is>
      </c>
      <c r="D167" s="41" t="n">
        <v>45349.98442635417</v>
      </c>
      <c r="E167" s="27" t="n">
        <v>-26.138033</v>
      </c>
      <c r="F167" s="27" t="n">
        <v>27.797729</v>
      </c>
      <c r="G167" s="27" t="inlineStr">
        <is>
          <t>Open</t>
        </is>
      </c>
      <c r="H167" s="27" t="inlineStr">
        <is>
          <t>API</t>
        </is>
      </c>
      <c r="I167" s="27" t="inlineStr">
        <is>
          <t>02</t>
        </is>
      </c>
      <c r="J167" s="27" t="n">
        <v>2024</v>
      </c>
    </row>
    <row r="168" ht="15" customHeight="1" s="24">
      <c r="A168" s="27" t="n">
        <v>1337070</v>
      </c>
      <c r="B168" s="27" t="n">
        <v>191138</v>
      </c>
      <c r="C168" s="27" t="inlineStr">
        <is>
          <t>CollectedFromRetailer</t>
        </is>
      </c>
      <c r="D168" s="41" t="n">
        <v>45352.3204321875</v>
      </c>
      <c r="E168" s="27" t="n">
        <v>-26.6961</v>
      </c>
      <c r="F168" s="27" t="n">
        <v>27.186501</v>
      </c>
      <c r="G168" s="27" t="inlineStr">
        <is>
          <t>Open</t>
        </is>
      </c>
      <c r="H168" s="27" t="inlineStr">
        <is>
          <t>API</t>
        </is>
      </c>
      <c r="I168" s="27" t="inlineStr">
        <is>
          <t>02</t>
        </is>
      </c>
      <c r="J168" s="27" t="n">
        <v>2024</v>
      </c>
    </row>
    <row r="169" ht="15" customHeight="1" s="24">
      <c r="A169" s="27" t="n">
        <v>1420451</v>
      </c>
      <c r="B169" s="27" t="n">
        <v>192913</v>
      </c>
      <c r="C169" s="27" t="inlineStr">
        <is>
          <t>CustomerNotified</t>
        </is>
      </c>
      <c r="D169" s="41" t="n">
        <v>45352.47471039352</v>
      </c>
      <c r="E169" s="27" t="n">
        <v>-28.690094</v>
      </c>
      <c r="F169" s="27" t="n">
        <v>30.974285</v>
      </c>
      <c r="G169" s="27" t="inlineStr">
        <is>
          <t>Open</t>
        </is>
      </c>
      <c r="H169" s="27" t="inlineStr">
        <is>
          <t>CourierGPS</t>
        </is>
      </c>
      <c r="I169" s="27" t="inlineStr">
        <is>
          <t>02</t>
        </is>
      </c>
      <c r="J169" s="27" t="n">
        <v>2024</v>
      </c>
    </row>
    <row r="170" ht="15" customHeight="1" s="24">
      <c r="A170" s="27" t="n">
        <v>1433992</v>
      </c>
      <c r="B170" s="27" t="n">
        <v>206478</v>
      </c>
      <c r="C170" s="27" t="inlineStr">
        <is>
          <t>CustomerNotified</t>
        </is>
      </c>
      <c r="D170" s="41" t="n">
        <v>45353.08775673611</v>
      </c>
      <c r="E170" s="27" t="n">
        <v>-27.536502</v>
      </c>
      <c r="F170" s="27" t="n">
        <v>31.421599</v>
      </c>
      <c r="G170" s="27" t="inlineStr">
        <is>
          <t>Open</t>
        </is>
      </c>
      <c r="H170" s="27" t="inlineStr">
        <is>
          <t>ScannerApp</t>
        </is>
      </c>
      <c r="I170" s="27" t="inlineStr">
        <is>
          <t>02</t>
        </is>
      </c>
      <c r="J170" s="27" t="n">
        <v>2024</v>
      </c>
    </row>
    <row r="171" ht="15" customHeight="1" s="24">
      <c r="A171" s="27" t="n">
        <v>1565772</v>
      </c>
      <c r="B171" s="27" t="n">
        <v>214033</v>
      </c>
      <c r="C171" s="27" t="inlineStr">
        <is>
          <t>ArrivedAtPickupPoint</t>
        </is>
      </c>
      <c r="D171" s="41" t="n">
        <v>45354.97696556713</v>
      </c>
      <c r="E171" s="27" t="n">
        <v>-25.790055</v>
      </c>
      <c r="F171" s="27" t="n">
        <v>28.6464</v>
      </c>
      <c r="G171" s="27" t="inlineStr">
        <is>
          <t>Open</t>
        </is>
      </c>
      <c r="H171" s="27" t="inlineStr">
        <is>
          <t>ScannerApp</t>
        </is>
      </c>
      <c r="I171" s="27" t="inlineStr">
        <is>
          <t>03</t>
        </is>
      </c>
      <c r="J171" s="27" t="n">
        <v>2024</v>
      </c>
    </row>
    <row r="172" ht="15" customHeight="1" s="24">
      <c r="A172" s="27" t="n">
        <v>1563554</v>
      </c>
      <c r="B172" s="27" t="n">
        <v>211811</v>
      </c>
      <c r="C172" s="27" t="inlineStr">
        <is>
          <t>ArrivedAtPickupPoint</t>
        </is>
      </c>
      <c r="D172" s="41" t="n">
        <v>45355.3977584375</v>
      </c>
      <c r="E172" s="27" t="n">
        <v>-22.93004</v>
      </c>
      <c r="F172" s="27" t="n">
        <v>29.747536</v>
      </c>
      <c r="G172" s="27" t="inlineStr">
        <is>
          <t>Open</t>
        </is>
      </c>
      <c r="H172" s="27" t="inlineStr">
        <is>
          <t>ScannerApp</t>
        </is>
      </c>
      <c r="I172" s="27" t="inlineStr">
        <is>
          <t>03</t>
        </is>
      </c>
      <c r="J172" s="27" t="n">
        <v>2024</v>
      </c>
    </row>
    <row r="173" ht="15" customHeight="1" s="24">
      <c r="A173" s="27" t="n">
        <v>1460054</v>
      </c>
      <c r="B173" s="27" t="n">
        <v>212555</v>
      </c>
      <c r="C173" s="27" t="inlineStr">
        <is>
          <t>Created</t>
        </is>
      </c>
      <c r="D173" s="41" t="n">
        <v>45355.99239038194</v>
      </c>
      <c r="E173" s="27" t="n">
        <v>-25.772582</v>
      </c>
      <c r="F173" s="27" t="n">
        <v>27.604869</v>
      </c>
      <c r="G173" s="27" t="inlineStr">
        <is>
          <t>Open</t>
        </is>
      </c>
      <c r="H173" s="27" t="inlineStr">
        <is>
          <t>PartnerPOS</t>
        </is>
      </c>
      <c r="I173" s="27" t="inlineStr">
        <is>
          <t>03</t>
        </is>
      </c>
      <c r="J173" s="27" t="n">
        <v>2024</v>
      </c>
    </row>
    <row r="174" ht="15" customHeight="1" s="24">
      <c r="A174" s="27" t="n">
        <v>1603713</v>
      </c>
      <c r="B174" s="27" t="n">
        <v>225987</v>
      </c>
      <c r="C174" s="27" t="inlineStr">
        <is>
          <t>CustomerNotified</t>
        </is>
      </c>
      <c r="D174" s="41" t="n">
        <v>45358.12740024306</v>
      </c>
      <c r="E174" s="27" t="n">
        <v>-31.826797</v>
      </c>
      <c r="F174" s="27" t="n">
        <v>19.490712</v>
      </c>
      <c r="G174" s="27" t="inlineStr">
        <is>
          <t>Open</t>
        </is>
      </c>
      <c r="H174" s="27" t="inlineStr">
        <is>
          <t>CourierGPS</t>
        </is>
      </c>
      <c r="I174" s="27" t="inlineStr">
        <is>
          <t>03</t>
        </is>
      </c>
      <c r="J174" s="27" t="n">
        <v>2024</v>
      </c>
    </row>
    <row r="175" ht="15" customHeight="1" s="24">
      <c r="A175" s="27" t="n">
        <v>1633726</v>
      </c>
      <c r="B175" s="27" t="n">
        <v>231748</v>
      </c>
      <c r="C175" s="27" t="inlineStr">
        <is>
          <t>CollectedByCustomer</t>
        </is>
      </c>
      <c r="D175" s="41" t="n">
        <v>45362.45184921296</v>
      </c>
      <c r="E175" s="27" t="n">
        <v>-26.686593</v>
      </c>
      <c r="F175" s="27" t="n">
        <v>27.70124</v>
      </c>
      <c r="G175" s="27" t="inlineStr">
        <is>
          <t>Closed</t>
        </is>
      </c>
      <c r="H175" s="27" t="inlineStr">
        <is>
          <t>CourierGPS</t>
        </is>
      </c>
      <c r="I175" s="27" t="inlineStr">
        <is>
          <t>03</t>
        </is>
      </c>
      <c r="J175" s="27" t="n">
        <v>2024</v>
      </c>
    </row>
    <row r="176" ht="15" customHeight="1" s="24">
      <c r="A176" s="27" t="n">
        <v>1573055</v>
      </c>
      <c r="B176" s="27" t="n">
        <v>221332</v>
      </c>
      <c r="C176" s="27" t="inlineStr">
        <is>
          <t>ArrivedAtPickupPoint</t>
        </is>
      </c>
      <c r="D176" s="41" t="n">
        <v>45363.59886931713</v>
      </c>
      <c r="E176" s="27" t="n">
        <v>-25.54373</v>
      </c>
      <c r="F176" s="27" t="n">
        <v>24.423197</v>
      </c>
      <c r="G176" s="27" t="inlineStr">
        <is>
          <t>Open</t>
        </is>
      </c>
      <c r="H176" s="27" t="inlineStr">
        <is>
          <t>ScannerApp</t>
        </is>
      </c>
      <c r="I176" s="27" t="inlineStr">
        <is>
          <t>03</t>
        </is>
      </c>
      <c r="J176" s="27" t="n">
        <v>2024</v>
      </c>
    </row>
    <row r="177" ht="15" customHeight="1" s="24">
      <c r="A177" s="27" t="n">
        <v>1623267</v>
      </c>
      <c r="B177" s="27" t="n">
        <v>220410</v>
      </c>
      <c r="C177" s="27" t="inlineStr">
        <is>
          <t>CollectedByCustomer</t>
        </is>
      </c>
      <c r="D177" s="41" t="n">
        <v>45365.17282741898</v>
      </c>
      <c r="E177" s="27" t="n">
        <v>-25.518139</v>
      </c>
      <c r="F177" s="27" t="n">
        <v>28.848468</v>
      </c>
      <c r="G177" s="27" t="inlineStr">
        <is>
          <t>Closed</t>
        </is>
      </c>
      <c r="H177" s="27" t="inlineStr">
        <is>
          <t>ScannerApp</t>
        </is>
      </c>
      <c r="I177" s="27" t="inlineStr">
        <is>
          <t>03</t>
        </is>
      </c>
      <c r="J177" s="27" t="n">
        <v>2024</v>
      </c>
    </row>
    <row r="178" ht="15" customHeight="1" s="24">
      <c r="A178" s="27" t="n">
        <v>1513108</v>
      </c>
      <c r="B178" s="27" t="n">
        <v>213483</v>
      </c>
      <c r="C178" s="27" t="inlineStr">
        <is>
          <t>AtHub</t>
        </is>
      </c>
      <c r="D178" s="41" t="n">
        <v>45369.29113344907</v>
      </c>
      <c r="E178" s="27" t="n">
        <v>-25.590124</v>
      </c>
      <c r="F178" s="27" t="n">
        <v>28.517691</v>
      </c>
      <c r="G178" s="27" t="inlineStr">
        <is>
          <t>Open</t>
        </is>
      </c>
      <c r="H178" s="27" t="inlineStr">
        <is>
          <t>PartnerPOS</t>
        </is>
      </c>
      <c r="I178" s="27" t="inlineStr">
        <is>
          <t>03</t>
        </is>
      </c>
      <c r="J178" s="27" t="n">
        <v>2024</v>
      </c>
    </row>
    <row r="179" ht="15" customHeight="1" s="24">
      <c r="A179" s="27" t="n">
        <v>1572307</v>
      </c>
      <c r="B179" s="27" t="n">
        <v>220584</v>
      </c>
      <c r="C179" s="27" t="inlineStr">
        <is>
          <t>ArrivedAtPickupPoint</t>
        </is>
      </c>
      <c r="D179" s="41" t="n">
        <v>45370.38541133102</v>
      </c>
      <c r="E179" s="27" t="n">
        <v>-26.061905</v>
      </c>
      <c r="F179" s="27" t="n">
        <v>27.526889</v>
      </c>
      <c r="G179" s="27" t="inlineStr">
        <is>
          <t>Open</t>
        </is>
      </c>
      <c r="H179" s="27" t="inlineStr">
        <is>
          <t>PartnerPOS</t>
        </is>
      </c>
      <c r="I179" s="27" t="inlineStr">
        <is>
          <t>03</t>
        </is>
      </c>
      <c r="J179" s="27" t="n">
        <v>2024</v>
      </c>
    </row>
    <row r="180" ht="15" customHeight="1" s="24">
      <c r="A180" s="27" t="n">
        <v>1484801</v>
      </c>
      <c r="B180" s="27" t="n">
        <v>211239</v>
      </c>
      <c r="C180" s="27" t="inlineStr">
        <is>
          <t>CollectedFromRetailer</t>
        </is>
      </c>
      <c r="D180" s="41" t="n">
        <v>45372.47350475694</v>
      </c>
      <c r="E180" s="27" t="n">
        <v>-26.587075</v>
      </c>
      <c r="F180" s="27" t="n">
        <v>32.849149</v>
      </c>
      <c r="G180" s="27" t="inlineStr">
        <is>
          <t>Open</t>
        </is>
      </c>
      <c r="H180" s="27" t="inlineStr">
        <is>
          <t>CourierGPS</t>
        </is>
      </c>
      <c r="I180" s="27" t="inlineStr">
        <is>
          <t>03</t>
        </is>
      </c>
      <c r="J180" s="27" t="n">
        <v>2024</v>
      </c>
    </row>
    <row r="181" ht="15" customHeight="1" s="24">
      <c r="A181" s="27" t="n">
        <v>1561665</v>
      </c>
      <c r="B181" s="27" t="n">
        <v>209915</v>
      </c>
      <c r="C181" s="27" t="inlineStr">
        <is>
          <t>ArrivedAtPickupPoint</t>
        </is>
      </c>
      <c r="D181" s="41" t="n">
        <v>45373.70909958334</v>
      </c>
      <c r="E181" s="27" t="n">
        <v>-26.058082</v>
      </c>
      <c r="F181" s="27" t="n">
        <v>27.745022</v>
      </c>
      <c r="G181" s="27" t="inlineStr">
        <is>
          <t>Open</t>
        </is>
      </c>
      <c r="H181" s="27" t="inlineStr">
        <is>
          <t>API</t>
        </is>
      </c>
      <c r="I181" s="27" t="inlineStr">
        <is>
          <t>03</t>
        </is>
      </c>
      <c r="J181" s="27" t="n">
        <v>2024</v>
      </c>
    </row>
    <row r="182" ht="15" customHeight="1" s="24">
      <c r="A182" s="27" t="n">
        <v>1462037</v>
      </c>
      <c r="B182" s="27" t="n">
        <v>214538</v>
      </c>
      <c r="C182" s="27" t="inlineStr">
        <is>
          <t>Created</t>
        </is>
      </c>
      <c r="D182" s="41" t="n">
        <v>45377.66107643519</v>
      </c>
      <c r="E182" s="27" t="n">
        <v>-28.247427</v>
      </c>
      <c r="F182" s="27" t="n">
        <v>31.43589</v>
      </c>
      <c r="G182" s="27" t="inlineStr">
        <is>
          <t>Open</t>
        </is>
      </c>
      <c r="H182" s="27" t="inlineStr">
        <is>
          <t>API</t>
        </is>
      </c>
      <c r="I182" s="27" t="inlineStr">
        <is>
          <t>03</t>
        </is>
      </c>
      <c r="J182" s="27" t="n">
        <v>2024</v>
      </c>
    </row>
    <row r="183" ht="15" customHeight="1" s="24">
      <c r="A183" s="27" t="n">
        <v>1515121</v>
      </c>
      <c r="B183" s="27" t="n">
        <v>215496</v>
      </c>
      <c r="C183" s="27" t="inlineStr">
        <is>
          <t>AtHub</t>
        </is>
      </c>
      <c r="D183" s="41" t="n">
        <v>45377.88733719908</v>
      </c>
      <c r="E183" s="27" t="n">
        <v>-26.837015</v>
      </c>
      <c r="F183" s="27" t="n">
        <v>27.981245</v>
      </c>
      <c r="G183" s="27" t="inlineStr">
        <is>
          <t>Open</t>
        </is>
      </c>
      <c r="H183" s="27" t="inlineStr">
        <is>
          <t>ScannerApp</t>
        </is>
      </c>
      <c r="I183" s="27" t="inlineStr">
        <is>
          <t>03</t>
        </is>
      </c>
      <c r="J183" s="27" t="n">
        <v>2024</v>
      </c>
    </row>
    <row r="184" ht="15" customHeight="1" s="24">
      <c r="A184" s="27" t="n">
        <v>1491066</v>
      </c>
      <c r="B184" s="27" t="n">
        <v>217504</v>
      </c>
      <c r="C184" s="27" t="inlineStr">
        <is>
          <t>CollectedFromRetailer</t>
        </is>
      </c>
      <c r="D184" s="41" t="n">
        <v>45379.07749855324</v>
      </c>
      <c r="E184" s="27" t="n">
        <v>-25.30211</v>
      </c>
      <c r="F184" s="27" t="n">
        <v>28.369751</v>
      </c>
      <c r="G184" s="27" t="inlineStr">
        <is>
          <t>Open</t>
        </is>
      </c>
      <c r="H184" s="27" t="inlineStr">
        <is>
          <t>ScannerApp</t>
        </is>
      </c>
      <c r="I184" s="27" t="inlineStr">
        <is>
          <t>03</t>
        </is>
      </c>
      <c r="J184" s="27" t="n">
        <v>2024</v>
      </c>
    </row>
    <row r="185" ht="15" customHeight="1" s="24">
      <c r="A185" s="27" t="n">
        <v>1532037</v>
      </c>
      <c r="B185" s="27" t="n">
        <v>232412</v>
      </c>
      <c r="C185" s="27" t="inlineStr">
        <is>
          <t>AtHub</t>
        </is>
      </c>
      <c r="D185" s="41" t="n">
        <v>45380.85672136574</v>
      </c>
      <c r="E185" s="27" t="n">
        <v>-25.91421</v>
      </c>
      <c r="F185" s="27" t="n">
        <v>29.423793</v>
      </c>
      <c r="G185" s="27" t="inlineStr">
        <is>
          <t>Open</t>
        </is>
      </c>
      <c r="H185" s="27" t="inlineStr">
        <is>
          <t>CourierGPS</t>
        </is>
      </c>
      <c r="I185" s="27" t="inlineStr">
        <is>
          <t>03</t>
        </is>
      </c>
      <c r="J185" s="27" t="n">
        <v>2024</v>
      </c>
    </row>
    <row r="186" ht="15" customHeight="1" s="24">
      <c r="A186" s="27" t="n">
        <v>1480791</v>
      </c>
      <c r="B186" s="27" t="n">
        <v>233292</v>
      </c>
      <c r="C186" s="27" t="inlineStr">
        <is>
          <t>Created</t>
        </is>
      </c>
      <c r="D186" s="41" t="n">
        <v>45381.25547957176</v>
      </c>
      <c r="E186" s="27" t="n">
        <v>-27.640092</v>
      </c>
      <c r="F186" s="27" t="n">
        <v>30.45081</v>
      </c>
      <c r="G186" s="27" t="inlineStr">
        <is>
          <t>Open</t>
        </is>
      </c>
      <c r="H186" s="27" t="inlineStr">
        <is>
          <t>CourierGPS</t>
        </is>
      </c>
      <c r="I186" s="27" t="inlineStr">
        <is>
          <t>03</t>
        </is>
      </c>
      <c r="J186" s="27" t="n">
        <v>2024</v>
      </c>
    </row>
    <row r="187" ht="15" customHeight="1" s="24">
      <c r="A187" s="27" t="n">
        <v>1574752</v>
      </c>
      <c r="B187" s="27" t="n">
        <v>223029</v>
      </c>
      <c r="C187" s="27" t="inlineStr">
        <is>
          <t>ArrivedAtPickupPoint</t>
        </is>
      </c>
      <c r="D187" s="41" t="n">
        <v>45381.83490421296</v>
      </c>
      <c r="E187" s="27" t="n">
        <v>-30.793363</v>
      </c>
      <c r="F187" s="27" t="n">
        <v>31.050574</v>
      </c>
      <c r="G187" s="27" t="inlineStr">
        <is>
          <t>Open</t>
        </is>
      </c>
      <c r="H187" s="27" t="inlineStr">
        <is>
          <t>ScannerApp</t>
        </is>
      </c>
      <c r="I187" s="27" t="inlineStr">
        <is>
          <t>03</t>
        </is>
      </c>
      <c r="J187" s="27" t="n">
        <v>2024</v>
      </c>
    </row>
    <row r="188" ht="15" customHeight="1" s="24">
      <c r="A188" s="27" t="n">
        <v>1582545</v>
      </c>
      <c r="B188" s="27" t="n">
        <v>230841</v>
      </c>
      <c r="C188" s="27" t="inlineStr">
        <is>
          <t>ArrivedAtPickupPoint</t>
        </is>
      </c>
      <c r="D188" s="41" t="n">
        <v>45383.184013125</v>
      </c>
      <c r="E188" s="27" t="n">
        <v>-22.303176</v>
      </c>
      <c r="F188" s="27" t="n">
        <v>28.370124</v>
      </c>
      <c r="G188" s="27" t="inlineStr">
        <is>
          <t>Open</t>
        </is>
      </c>
      <c r="H188" s="27" t="inlineStr">
        <is>
          <t>ScannerApp</t>
        </is>
      </c>
      <c r="I188" s="27" t="inlineStr">
        <is>
          <t>03</t>
        </is>
      </c>
      <c r="J188" s="27" t="n">
        <v>2024</v>
      </c>
    </row>
    <row r="189" ht="15" customHeight="1" s="24">
      <c r="A189" s="27" t="n">
        <v>1755663</v>
      </c>
      <c r="B189" s="27" t="n">
        <v>246034</v>
      </c>
      <c r="C189" s="27" t="inlineStr">
        <is>
          <t>ArrivedAtPickupPoint</t>
        </is>
      </c>
      <c r="D189" s="41" t="n">
        <v>45384.91799819445</v>
      </c>
      <c r="E189" s="27" t="n">
        <v>-30.490657</v>
      </c>
      <c r="F189" s="27" t="n">
        <v>31.50724</v>
      </c>
      <c r="G189" s="27" t="inlineStr">
        <is>
          <t>Open</t>
        </is>
      </c>
      <c r="H189" s="27" t="inlineStr">
        <is>
          <t>ScannerApp</t>
        </is>
      </c>
      <c r="I189" s="27" t="inlineStr">
        <is>
          <t>04</t>
        </is>
      </c>
      <c r="J189" s="27" t="n">
        <v>2024</v>
      </c>
    </row>
    <row r="190" ht="15" customHeight="1" s="24">
      <c r="A190" s="27" t="n">
        <v>1614967</v>
      </c>
      <c r="B190" s="27" t="n">
        <v>211395</v>
      </c>
      <c r="C190" s="27" t="inlineStr">
        <is>
          <t>CollectedByCustomer</t>
        </is>
      </c>
      <c r="D190" s="41" t="n">
        <v>45385.45729987269</v>
      </c>
      <c r="E190" s="27" t="n">
        <v>-28.908743</v>
      </c>
      <c r="F190" s="27" t="n">
        <v>31.866004</v>
      </c>
      <c r="G190" s="27" t="inlineStr">
        <is>
          <t>Closed</t>
        </is>
      </c>
      <c r="H190" s="27" t="inlineStr">
        <is>
          <t>ScannerApp</t>
        </is>
      </c>
      <c r="I190" s="27" t="inlineStr">
        <is>
          <t>03</t>
        </is>
      </c>
      <c r="J190" s="27" t="n">
        <v>2024</v>
      </c>
    </row>
    <row r="191" ht="15" customHeight="1" s="24">
      <c r="A191" s="27" t="n">
        <v>1715315</v>
      </c>
      <c r="B191" s="27" t="n">
        <v>258871</v>
      </c>
      <c r="C191" s="27" t="inlineStr">
        <is>
          <t>AtHub</t>
        </is>
      </c>
      <c r="D191" s="41" t="n">
        <v>45385.49584236111</v>
      </c>
      <c r="E191" s="27" t="n">
        <v>-28.56925</v>
      </c>
      <c r="F191" s="27" t="n">
        <v>30.640716</v>
      </c>
      <c r="G191" s="27" t="inlineStr">
        <is>
          <t>Open</t>
        </is>
      </c>
      <c r="H191" s="27" t="inlineStr">
        <is>
          <t>CourierGPS</t>
        </is>
      </c>
      <c r="I191" s="27" t="inlineStr">
        <is>
          <t>04</t>
        </is>
      </c>
      <c r="J191" s="27" t="n">
        <v>2024</v>
      </c>
    </row>
    <row r="192" ht="15" customHeight="1" s="24">
      <c r="A192" s="27" t="n">
        <v>1717037</v>
      </c>
      <c r="B192" s="27" t="n">
        <v>260593</v>
      </c>
      <c r="C192" s="27" t="inlineStr">
        <is>
          <t>AtHub</t>
        </is>
      </c>
      <c r="D192" s="41" t="n">
        <v>45386.70106052083</v>
      </c>
      <c r="E192" s="27" t="n">
        <v>-29.054741</v>
      </c>
      <c r="F192" s="27" t="n">
        <v>31.48072</v>
      </c>
      <c r="G192" s="27" t="inlineStr">
        <is>
          <t>Open</t>
        </is>
      </c>
      <c r="H192" s="27" t="inlineStr">
        <is>
          <t>ScannerApp</t>
        </is>
      </c>
      <c r="I192" s="27" t="inlineStr">
        <is>
          <t>04</t>
        </is>
      </c>
      <c r="J192" s="27" t="n">
        <v>2024</v>
      </c>
    </row>
    <row r="193" ht="15" customHeight="1" s="24">
      <c r="A193" s="27" t="n">
        <v>1754546</v>
      </c>
      <c r="B193" s="27" t="n">
        <v>244913</v>
      </c>
      <c r="C193" s="27" t="inlineStr">
        <is>
          <t>ArrivedAtPickupPoint</t>
        </is>
      </c>
      <c r="D193" s="41" t="n">
        <v>45387.70620585648</v>
      </c>
      <c r="E193" s="27" t="n">
        <v>-26.519794</v>
      </c>
      <c r="F193" s="27" t="n">
        <v>28.998543</v>
      </c>
      <c r="G193" s="27" t="inlineStr">
        <is>
          <t>Open</t>
        </is>
      </c>
      <c r="H193" s="27" t="inlineStr">
        <is>
          <t>CourierGPS</t>
        </is>
      </c>
      <c r="I193" s="27" t="inlineStr">
        <is>
          <t>04</t>
        </is>
      </c>
      <c r="J193" s="27" t="n">
        <v>2024</v>
      </c>
    </row>
    <row r="194" ht="15" customHeight="1" s="24">
      <c r="A194" s="27" t="n">
        <v>1775882</v>
      </c>
      <c r="B194" s="27" t="n">
        <v>239700</v>
      </c>
      <c r="C194" s="27" t="inlineStr">
        <is>
          <t>CustomerNotified</t>
        </is>
      </c>
      <c r="D194" s="41" t="n">
        <v>45388.28288549768</v>
      </c>
      <c r="E194" s="27" t="n">
        <v>-32.213508</v>
      </c>
      <c r="F194" s="27" t="n">
        <v>28.570257</v>
      </c>
      <c r="G194" s="27" t="inlineStr">
        <is>
          <t>Open</t>
        </is>
      </c>
      <c r="H194" s="27" t="inlineStr">
        <is>
          <t>ScannerApp</t>
        </is>
      </c>
      <c r="I194" s="27" t="inlineStr">
        <is>
          <t>04</t>
        </is>
      </c>
      <c r="J194" s="27" t="n">
        <v>2024</v>
      </c>
    </row>
    <row r="195" ht="15" customHeight="1" s="24">
      <c r="A195" s="27" t="n">
        <v>1680760</v>
      </c>
      <c r="B195" s="27" t="n">
        <v>250922</v>
      </c>
      <c r="C195" s="27" t="inlineStr">
        <is>
          <t>CollectedFromRetailer</t>
        </is>
      </c>
      <c r="D195" s="41" t="n">
        <v>45388.69774585648</v>
      </c>
      <c r="E195" s="27" t="n">
        <v>-25.820825</v>
      </c>
      <c r="F195" s="27" t="n">
        <v>31.836089</v>
      </c>
      <c r="G195" s="27" t="inlineStr">
        <is>
          <t>Open</t>
        </is>
      </c>
      <c r="H195" s="27" t="inlineStr">
        <is>
          <t>PartnerPOS</t>
        </is>
      </c>
      <c r="I195" s="27" t="inlineStr">
        <is>
          <t>04</t>
        </is>
      </c>
      <c r="J195" s="27" t="n">
        <v>2024</v>
      </c>
    </row>
    <row r="196" ht="15" customHeight="1" s="24">
      <c r="A196" s="27" t="n">
        <v>1654576</v>
      </c>
      <c r="B196" s="27" t="n">
        <v>251344</v>
      </c>
      <c r="C196" s="27" t="inlineStr">
        <is>
          <t>Created</t>
        </is>
      </c>
      <c r="D196" s="41" t="n">
        <v>45389.08264556713</v>
      </c>
      <c r="E196" s="27" t="n">
        <v>-33.753445</v>
      </c>
      <c r="F196" s="27" t="n">
        <v>20.554287</v>
      </c>
      <c r="G196" s="27" t="inlineStr">
        <is>
          <t>Open</t>
        </is>
      </c>
      <c r="H196" s="27" t="inlineStr">
        <is>
          <t>ScannerApp</t>
        </is>
      </c>
      <c r="I196" s="27" t="inlineStr">
        <is>
          <t>04</t>
        </is>
      </c>
      <c r="J196" s="27" t="n">
        <v>2024</v>
      </c>
    </row>
    <row r="197" ht="15" customHeight="1" s="24">
      <c r="A197" s="27" t="n">
        <v>1707557</v>
      </c>
      <c r="B197" s="27" t="n">
        <v>251113</v>
      </c>
      <c r="C197" s="27" t="inlineStr">
        <is>
          <t>AtHub</t>
        </is>
      </c>
      <c r="D197" s="41" t="n">
        <v>45391.28647717593</v>
      </c>
      <c r="E197" s="27" t="n">
        <v>-26.040477</v>
      </c>
      <c r="F197" s="27" t="n">
        <v>29.525378</v>
      </c>
      <c r="G197" s="27" t="inlineStr">
        <is>
          <t>Open</t>
        </is>
      </c>
      <c r="H197" s="27" t="inlineStr">
        <is>
          <t>PartnerPOS</t>
        </is>
      </c>
      <c r="I197" s="27" t="inlineStr">
        <is>
          <t>04</t>
        </is>
      </c>
      <c r="J197" s="27" t="n">
        <v>2024</v>
      </c>
    </row>
    <row r="198" ht="15" customHeight="1" s="24">
      <c r="A198" s="27" t="n">
        <v>1686341</v>
      </c>
      <c r="B198" s="27" t="n">
        <v>256503</v>
      </c>
      <c r="C198" s="27" t="inlineStr">
        <is>
          <t>CollectedFromRetailer</t>
        </is>
      </c>
      <c r="D198" s="41" t="n">
        <v>45391.3729827662</v>
      </c>
      <c r="E198" s="27" t="n">
        <v>-25.375862</v>
      </c>
      <c r="F198" s="27" t="n">
        <v>26.499659</v>
      </c>
      <c r="G198" s="27" t="inlineStr">
        <is>
          <t>Open</t>
        </is>
      </c>
      <c r="H198" s="27" t="inlineStr">
        <is>
          <t>ScannerApp</t>
        </is>
      </c>
      <c r="I198" s="27" t="inlineStr">
        <is>
          <t>04</t>
        </is>
      </c>
      <c r="J198" s="27" t="n">
        <v>2024</v>
      </c>
    </row>
    <row r="199" ht="15" customHeight="1" s="24">
      <c r="A199" s="27" t="n">
        <v>1764669</v>
      </c>
      <c r="B199" s="27" t="n">
        <v>255063</v>
      </c>
      <c r="C199" s="27" t="inlineStr">
        <is>
          <t>ArrivedAtPickupPoint</t>
        </is>
      </c>
      <c r="D199" s="41" t="n">
        <v>45391.83253247685</v>
      </c>
      <c r="E199" s="27" t="n">
        <v>-25.537021</v>
      </c>
      <c r="F199" s="27" t="n">
        <v>27.758067</v>
      </c>
      <c r="G199" s="27" t="inlineStr">
        <is>
          <t>Open</t>
        </is>
      </c>
      <c r="H199" s="27" t="inlineStr">
        <is>
          <t>ScannerApp</t>
        </is>
      </c>
      <c r="I199" s="27" t="inlineStr">
        <is>
          <t>04</t>
        </is>
      </c>
      <c r="J199" s="27" t="n">
        <v>2024</v>
      </c>
    </row>
    <row r="200" ht="15" customHeight="1" s="24">
      <c r="A200" s="27" t="n">
        <v>1772025</v>
      </c>
      <c r="B200" s="27" t="n">
        <v>235832</v>
      </c>
      <c r="C200" s="27" t="inlineStr">
        <is>
          <t>CustomerNotified</t>
        </is>
      </c>
      <c r="D200" s="41" t="n">
        <v>45393.19838243056</v>
      </c>
      <c r="E200" s="27" t="n">
        <v>-30.402585</v>
      </c>
      <c r="F200" s="27" t="n">
        <v>30.917996</v>
      </c>
      <c r="G200" s="27" t="inlineStr">
        <is>
          <t>Open</t>
        </is>
      </c>
      <c r="H200" s="27" t="inlineStr">
        <is>
          <t>ScannerApp</t>
        </is>
      </c>
      <c r="I200" s="27" t="inlineStr">
        <is>
          <t>04</t>
        </is>
      </c>
      <c r="J200" s="27" t="n">
        <v>2024</v>
      </c>
    </row>
    <row r="201" ht="15" customHeight="1" s="24">
      <c r="A201" s="27" t="n">
        <v>1651308</v>
      </c>
      <c r="B201" s="27" t="n">
        <v>248076</v>
      </c>
      <c r="C201" s="27" t="inlineStr">
        <is>
          <t>Created</t>
        </is>
      </c>
      <c r="D201" s="41" t="n">
        <v>45394.72743164352</v>
      </c>
      <c r="E201" s="27" t="n">
        <v>-25.126807</v>
      </c>
      <c r="F201" s="27" t="n">
        <v>31.740957</v>
      </c>
      <c r="G201" s="27" t="inlineStr">
        <is>
          <t>Open</t>
        </is>
      </c>
      <c r="H201" s="27" t="inlineStr">
        <is>
          <t>CourierGPS</t>
        </is>
      </c>
      <c r="I201" s="27" t="inlineStr">
        <is>
          <t>04</t>
        </is>
      </c>
      <c r="J201" s="27" t="n">
        <v>2024</v>
      </c>
    </row>
    <row r="202" ht="15" customHeight="1" s="24">
      <c r="A202" s="27" t="n">
        <v>1768095</v>
      </c>
      <c r="B202" s="27" t="n">
        <v>258494</v>
      </c>
      <c r="C202" s="27" t="inlineStr">
        <is>
          <t>ArrivedAtPickupPoint</t>
        </is>
      </c>
      <c r="D202" s="41" t="n">
        <v>45395.38059577546</v>
      </c>
      <c r="E202" s="27" t="n">
        <v>-29.326547</v>
      </c>
      <c r="F202" s="27" t="n">
        <v>30.209668</v>
      </c>
      <c r="G202" s="27" t="inlineStr">
        <is>
          <t>Open</t>
        </is>
      </c>
      <c r="H202" s="27" t="inlineStr">
        <is>
          <t>ScannerApp</t>
        </is>
      </c>
      <c r="I202" s="27" t="inlineStr">
        <is>
          <t>04</t>
        </is>
      </c>
      <c r="J202" s="27" t="n">
        <v>2024</v>
      </c>
    </row>
    <row r="203" ht="15" customHeight="1" s="24">
      <c r="A203" s="27" t="n">
        <v>1702064</v>
      </c>
      <c r="B203" s="27" t="n">
        <v>245620</v>
      </c>
      <c r="C203" s="27" t="inlineStr">
        <is>
          <t>AtHub</t>
        </is>
      </c>
      <c r="D203" s="41" t="n">
        <v>45395.61163987269</v>
      </c>
      <c r="E203" s="27" t="n">
        <v>-34.010225</v>
      </c>
      <c r="F203" s="27" t="n">
        <v>19.499814</v>
      </c>
      <c r="G203" s="27" t="inlineStr">
        <is>
          <t>Open</t>
        </is>
      </c>
      <c r="H203" s="27" t="inlineStr">
        <is>
          <t>ScannerApp</t>
        </is>
      </c>
      <c r="I203" s="27" t="inlineStr">
        <is>
          <t>04</t>
        </is>
      </c>
      <c r="J203" s="27" t="n">
        <v>2024</v>
      </c>
    </row>
    <row r="204" ht="15" customHeight="1" s="24">
      <c r="A204" s="27" t="n">
        <v>1693557</v>
      </c>
      <c r="B204" s="27" t="n">
        <v>237113</v>
      </c>
      <c r="C204" s="27" t="inlineStr">
        <is>
          <t>AtHub</t>
        </is>
      </c>
      <c r="D204" s="41" t="n">
        <v>45395.68759583333</v>
      </c>
      <c r="E204" s="27" t="n">
        <v>-25.890322</v>
      </c>
      <c r="F204" s="27" t="n">
        <v>30.290521</v>
      </c>
      <c r="G204" s="27" t="inlineStr">
        <is>
          <t>Open</t>
        </is>
      </c>
      <c r="H204" s="27" t="inlineStr">
        <is>
          <t>PartnerPOS</t>
        </is>
      </c>
      <c r="I204" s="27" t="inlineStr">
        <is>
          <t>04</t>
        </is>
      </c>
      <c r="J204" s="27" t="n">
        <v>2024</v>
      </c>
    </row>
    <row r="205" ht="15" customHeight="1" s="24">
      <c r="A205" s="27" t="n">
        <v>1671469</v>
      </c>
      <c r="B205" s="27" t="n">
        <v>241631</v>
      </c>
      <c r="C205" s="27" t="inlineStr">
        <is>
          <t>CollectedFromRetailer</t>
        </is>
      </c>
      <c r="D205" s="41" t="n">
        <v>45396.80616607639</v>
      </c>
      <c r="E205" s="27" t="n">
        <v>-26.243301</v>
      </c>
      <c r="F205" s="27" t="n">
        <v>28.792454</v>
      </c>
      <c r="G205" s="27" t="inlineStr">
        <is>
          <t>Open</t>
        </is>
      </c>
      <c r="H205" s="27" t="inlineStr">
        <is>
          <t>ScannerApp</t>
        </is>
      </c>
      <c r="I205" s="27" t="inlineStr">
        <is>
          <t>04</t>
        </is>
      </c>
      <c r="J205" s="27" t="n">
        <v>2024</v>
      </c>
    </row>
    <row r="206" ht="15" customHeight="1" s="24">
      <c r="A206" s="27" t="n">
        <v>1702398</v>
      </c>
      <c r="B206" s="27" t="n">
        <v>245954</v>
      </c>
      <c r="C206" s="27" t="inlineStr">
        <is>
          <t>AtHub</t>
        </is>
      </c>
      <c r="D206" s="41" t="n">
        <v>45399.39376190972</v>
      </c>
      <c r="E206" s="27" t="n">
        <v>-30.16803</v>
      </c>
      <c r="F206" s="27" t="n">
        <v>30.110481</v>
      </c>
      <c r="G206" s="27" t="inlineStr">
        <is>
          <t>Open</t>
        </is>
      </c>
      <c r="H206" s="27" t="inlineStr">
        <is>
          <t>ScannerApp</t>
        </is>
      </c>
      <c r="I206" s="27" t="inlineStr">
        <is>
          <t>04</t>
        </is>
      </c>
      <c r="J206" s="27" t="n">
        <v>2024</v>
      </c>
    </row>
    <row r="207" ht="15" customHeight="1" s="24">
      <c r="A207" s="27" t="n">
        <v>1729759</v>
      </c>
      <c r="B207" s="27" t="n">
        <v>246709</v>
      </c>
      <c r="C207" s="27" t="inlineStr">
        <is>
          <t>InLinehaul</t>
        </is>
      </c>
      <c r="D207" s="41" t="n">
        <v>45402.53879901621</v>
      </c>
      <c r="E207" s="27" t="n">
        <v>-24.921226</v>
      </c>
      <c r="F207" s="27" t="n">
        <v>28.930134</v>
      </c>
      <c r="G207" s="27" t="inlineStr">
        <is>
          <t>Open</t>
        </is>
      </c>
      <c r="H207" s="27" t="inlineStr">
        <is>
          <t>PartnerPOS</t>
        </is>
      </c>
      <c r="I207" s="27" t="inlineStr">
        <is>
          <t>04</t>
        </is>
      </c>
      <c r="J207" s="27" t="n">
        <v>2024</v>
      </c>
    </row>
    <row r="208" ht="15" customHeight="1" s="24">
      <c r="A208" s="27" t="n">
        <v>1781679</v>
      </c>
      <c r="B208" s="27" t="n">
        <v>245509</v>
      </c>
      <c r="C208" s="27" t="inlineStr">
        <is>
          <t>CustomerNotified</t>
        </is>
      </c>
      <c r="D208" s="41" t="n">
        <v>45403.88333361111</v>
      </c>
      <c r="E208" s="27" t="n">
        <v>-24.505027</v>
      </c>
      <c r="F208" s="27" t="n">
        <v>29.501913</v>
      </c>
      <c r="G208" s="27" t="inlineStr">
        <is>
          <t>Open</t>
        </is>
      </c>
      <c r="H208" s="27" t="inlineStr">
        <is>
          <t>ScannerApp</t>
        </is>
      </c>
      <c r="I208" s="27" t="inlineStr">
        <is>
          <t>04</t>
        </is>
      </c>
      <c r="J208" s="27" t="n">
        <v>2024</v>
      </c>
    </row>
    <row r="209" ht="15" customHeight="1" s="24">
      <c r="A209" s="27" t="n">
        <v>1664538</v>
      </c>
      <c r="B209" s="27" t="n">
        <v>261306</v>
      </c>
      <c r="C209" s="27" t="inlineStr">
        <is>
          <t>Created</t>
        </is>
      </c>
      <c r="D209" s="41" t="n">
        <v>45407.58059660879</v>
      </c>
      <c r="E209" s="27" t="n">
        <v>-32.184511</v>
      </c>
      <c r="F209" s="27" t="n">
        <v>19.452764</v>
      </c>
      <c r="G209" s="27" t="inlineStr">
        <is>
          <t>Open</t>
        </is>
      </c>
      <c r="H209" s="27" t="inlineStr">
        <is>
          <t>ScannerApp</t>
        </is>
      </c>
      <c r="I209" s="27" t="inlineStr">
        <is>
          <t>04</t>
        </is>
      </c>
      <c r="J209" s="27" t="n">
        <v>2024</v>
      </c>
    </row>
    <row r="210" ht="15" customHeight="1" s="24">
      <c r="A210" s="27" t="n">
        <v>1695654</v>
      </c>
      <c r="B210" s="27" t="n">
        <v>239210</v>
      </c>
      <c r="C210" s="27" t="inlineStr">
        <is>
          <t>AtHub</t>
        </is>
      </c>
      <c r="D210" s="41" t="n">
        <v>45410.52249267361</v>
      </c>
      <c r="E210" s="27" t="n">
        <v>-26.526638</v>
      </c>
      <c r="F210" s="27" t="n">
        <v>27.423372</v>
      </c>
      <c r="G210" s="27" t="inlineStr">
        <is>
          <t>Open</t>
        </is>
      </c>
      <c r="H210" s="27" t="inlineStr">
        <is>
          <t>API</t>
        </is>
      </c>
      <c r="I210" s="27" t="inlineStr">
        <is>
          <t>04</t>
        </is>
      </c>
      <c r="J210" s="27" t="n">
        <v>2024</v>
      </c>
    </row>
    <row r="211" ht="15" customHeight="1" s="24">
      <c r="A211" s="27" t="n">
        <v>1764731</v>
      </c>
      <c r="B211" s="27" t="n">
        <v>255125</v>
      </c>
      <c r="C211" s="27" t="inlineStr">
        <is>
          <t>ArrivedAtPickupPoint</t>
        </is>
      </c>
      <c r="D211" s="41" t="n">
        <v>45411.05418292824</v>
      </c>
      <c r="E211" s="27" t="n">
        <v>-29.802153</v>
      </c>
      <c r="F211" s="27" t="n">
        <v>29.343783</v>
      </c>
      <c r="G211" s="27" t="inlineStr">
        <is>
          <t>Open</t>
        </is>
      </c>
      <c r="H211" s="27" t="inlineStr">
        <is>
          <t>PartnerPOS</t>
        </is>
      </c>
      <c r="I211" s="27" t="inlineStr">
        <is>
          <t>04</t>
        </is>
      </c>
      <c r="J211" s="27" t="n">
        <v>2024</v>
      </c>
    </row>
    <row r="212" ht="15" customHeight="1" s="24">
      <c r="A212" s="27" t="n">
        <v>1659482</v>
      </c>
      <c r="B212" s="27" t="n">
        <v>256250</v>
      </c>
      <c r="C212" s="27" t="inlineStr">
        <is>
          <t>Created</t>
        </is>
      </c>
      <c r="D212" s="41" t="n">
        <v>45412.99983946759</v>
      </c>
      <c r="E212" s="27" t="n">
        <v>-25.353306</v>
      </c>
      <c r="F212" s="27" t="n">
        <v>31.402006</v>
      </c>
      <c r="G212" s="27" t="inlineStr">
        <is>
          <t>Open</t>
        </is>
      </c>
      <c r="H212" s="27" t="inlineStr">
        <is>
          <t>PartnerPOS</t>
        </is>
      </c>
      <c r="I212" s="27" t="inlineStr">
        <is>
          <t>04</t>
        </is>
      </c>
      <c r="J212" s="27" t="n">
        <v>2024</v>
      </c>
    </row>
    <row r="213" ht="15" customHeight="1" s="24">
      <c r="A213" s="27" t="n">
        <v>1929290</v>
      </c>
      <c r="B213" s="27" t="n">
        <v>285633</v>
      </c>
      <c r="C213" s="27" t="inlineStr">
        <is>
          <t>InLinehaul</t>
        </is>
      </c>
      <c r="D213" s="41" t="n">
        <v>45414.31054196759</v>
      </c>
      <c r="E213" s="27" t="n">
        <v>-33.993745</v>
      </c>
      <c r="F213" s="27" t="n">
        <v>20.357826</v>
      </c>
      <c r="G213" s="27" t="inlineStr">
        <is>
          <t>Open</t>
        </is>
      </c>
      <c r="H213" s="27" t="inlineStr">
        <is>
          <t>ScannerApp</t>
        </is>
      </c>
      <c r="I213" s="27" t="inlineStr">
        <is>
          <t>05</t>
        </is>
      </c>
      <c r="J213" s="27" t="n">
        <v>2024</v>
      </c>
    </row>
    <row r="214" ht="15" customHeight="1" s="24">
      <c r="A214" s="27" t="n">
        <v>1829595</v>
      </c>
      <c r="B214" s="27" t="n">
        <v>267385</v>
      </c>
      <c r="C214" s="27" t="inlineStr">
        <is>
          <t>Created</t>
        </is>
      </c>
      <c r="D214" s="41" t="n">
        <v>45415.51048134259</v>
      </c>
      <c r="E214" s="27" t="n">
        <v>-25.635457</v>
      </c>
      <c r="F214" s="27" t="n">
        <v>28.897656</v>
      </c>
      <c r="G214" s="27" t="inlineStr">
        <is>
          <t>Open</t>
        </is>
      </c>
      <c r="H214" s="27" t="inlineStr">
        <is>
          <t>API</t>
        </is>
      </c>
      <c r="I214" s="27" t="inlineStr">
        <is>
          <t>05</t>
        </is>
      </c>
      <c r="J214" s="27" t="n">
        <v>2024</v>
      </c>
    </row>
    <row r="215" ht="15" customHeight="1" s="24">
      <c r="A215" s="27" t="n">
        <v>1799265</v>
      </c>
      <c r="B215" s="27" t="n">
        <v>236682</v>
      </c>
      <c r="C215" s="27" t="inlineStr">
        <is>
          <t>CollectedByCustomer</t>
        </is>
      </c>
      <c r="D215" s="41" t="n">
        <v>45415.88369347222</v>
      </c>
      <c r="E215" s="27" t="n">
        <v>-31.637361</v>
      </c>
      <c r="F215" s="27" t="n">
        <v>24.297552</v>
      </c>
      <c r="G215" s="27" t="inlineStr">
        <is>
          <t>Closed</t>
        </is>
      </c>
      <c r="H215" s="27" t="inlineStr">
        <is>
          <t>ScannerApp</t>
        </is>
      </c>
      <c r="I215" s="27" t="inlineStr">
        <is>
          <t>04</t>
        </is>
      </c>
      <c r="J215" s="27" t="n">
        <v>2024</v>
      </c>
    </row>
    <row r="216" ht="15" customHeight="1" s="24">
      <c r="A216" s="27" t="n">
        <v>1944778</v>
      </c>
      <c r="B216" s="27" t="n">
        <v>274001</v>
      </c>
      <c r="C216" s="27" t="inlineStr">
        <is>
          <t>ArrivedAtPickupPoint</t>
        </is>
      </c>
      <c r="D216" s="41" t="n">
        <v>45420.29179011574</v>
      </c>
      <c r="E216" s="27" t="n">
        <v>-26.289282</v>
      </c>
      <c r="F216" s="27" t="n">
        <v>27.793185</v>
      </c>
      <c r="G216" s="27" t="inlineStr">
        <is>
          <t>Open</t>
        </is>
      </c>
      <c r="H216" s="27" t="inlineStr">
        <is>
          <t>ScannerApp</t>
        </is>
      </c>
      <c r="I216" s="27" t="inlineStr">
        <is>
          <t>05</t>
        </is>
      </c>
      <c r="J216" s="27" t="n">
        <v>2024</v>
      </c>
    </row>
    <row r="217" ht="15" customHeight="1" s="24">
      <c r="A217" s="27" t="n">
        <v>2008034</v>
      </c>
      <c r="B217" s="27" t="n">
        <v>284848</v>
      </c>
      <c r="C217" s="27" t="inlineStr">
        <is>
          <t>CollectedByCustomer</t>
        </is>
      </c>
      <c r="D217" s="41" t="n">
        <v>45422.17523162037</v>
      </c>
      <c r="E217" s="27" t="n">
        <v>-29.516794</v>
      </c>
      <c r="F217" s="27" t="n">
        <v>31.626066</v>
      </c>
      <c r="G217" s="27" t="inlineStr">
        <is>
          <t>Closed</t>
        </is>
      </c>
      <c r="H217" s="27" t="inlineStr">
        <is>
          <t>CourierGPS</t>
        </is>
      </c>
      <c r="I217" s="27" t="inlineStr">
        <is>
          <t>05</t>
        </is>
      </c>
      <c r="J217" s="27" t="n">
        <v>2024</v>
      </c>
    </row>
    <row r="218" ht="15" customHeight="1" s="24">
      <c r="A218" s="27" t="n">
        <v>1959258</v>
      </c>
      <c r="B218" s="27" t="n">
        <v>288510</v>
      </c>
      <c r="C218" s="27" t="inlineStr">
        <is>
          <t>ArrivedAtPickupPoint</t>
        </is>
      </c>
      <c r="D218" s="41" t="n">
        <v>45424.60248797454</v>
      </c>
      <c r="E218" s="27" t="n">
        <v>-26.239321</v>
      </c>
      <c r="F218" s="27" t="n">
        <v>30.302629</v>
      </c>
      <c r="G218" s="27" t="inlineStr">
        <is>
          <t>Open</t>
        </is>
      </c>
      <c r="H218" s="27" t="inlineStr">
        <is>
          <t>CourierGPS</t>
        </is>
      </c>
      <c r="I218" s="27" t="inlineStr">
        <is>
          <t>05</t>
        </is>
      </c>
      <c r="J218" s="27" t="n">
        <v>2024</v>
      </c>
    </row>
    <row r="219" ht="15" customHeight="1" s="24">
      <c r="A219" s="27" t="n">
        <v>1969770</v>
      </c>
      <c r="B219" s="27" t="n">
        <v>271896</v>
      </c>
      <c r="C219" s="27" t="inlineStr">
        <is>
          <t>CustomerNotified</t>
        </is>
      </c>
      <c r="D219" s="41" t="n">
        <v>45427.10915381945</v>
      </c>
      <c r="E219" s="27" t="n">
        <v>-32.580075</v>
      </c>
      <c r="F219" s="27" t="n">
        <v>29.046999</v>
      </c>
      <c r="G219" s="27" t="inlineStr">
        <is>
          <t>Open</t>
        </is>
      </c>
      <c r="H219" s="27" t="inlineStr">
        <is>
          <t>ScannerApp</t>
        </is>
      </c>
      <c r="I219" s="27" t="inlineStr">
        <is>
          <t>05</t>
        </is>
      </c>
      <c r="J219" s="27" t="n">
        <v>2024</v>
      </c>
    </row>
    <row r="220" ht="15" customHeight="1" s="24">
      <c r="A220" s="27" t="n">
        <v>1948298</v>
      </c>
      <c r="B220" s="27" t="n">
        <v>277527</v>
      </c>
      <c r="C220" s="27" t="inlineStr">
        <is>
          <t>ArrivedAtPickupPoint</t>
        </is>
      </c>
      <c r="D220" s="41" t="n">
        <v>45432.23973859954</v>
      </c>
      <c r="E220" s="27" t="n">
        <v>-26.607442</v>
      </c>
      <c r="F220" s="27" t="n">
        <v>31.60123</v>
      </c>
      <c r="G220" s="27" t="inlineStr">
        <is>
          <t>Open</t>
        </is>
      </c>
      <c r="H220" s="27" t="inlineStr">
        <is>
          <t>PartnerPOS</t>
        </is>
      </c>
      <c r="I220" s="27" t="inlineStr">
        <is>
          <t>05</t>
        </is>
      </c>
      <c r="J220" s="27" t="n">
        <v>2024</v>
      </c>
    </row>
    <row r="221" ht="15" customHeight="1" s="24">
      <c r="A221" s="27" t="n">
        <v>1956347</v>
      </c>
      <c r="B221" s="27" t="n">
        <v>285597</v>
      </c>
      <c r="C221" s="27" t="inlineStr">
        <is>
          <t>ArrivedAtPickupPoint</t>
        </is>
      </c>
      <c r="D221" s="41" t="n">
        <v>45432.27404460648</v>
      </c>
      <c r="E221" s="27" t="n">
        <v>-25.971887</v>
      </c>
      <c r="F221" s="27" t="n">
        <v>27.506001</v>
      </c>
      <c r="G221" s="27" t="inlineStr">
        <is>
          <t>Open</t>
        </is>
      </c>
      <c r="H221" s="27" t="inlineStr">
        <is>
          <t>API</t>
        </is>
      </c>
      <c r="I221" s="27" t="inlineStr">
        <is>
          <t>05</t>
        </is>
      </c>
      <c r="J221" s="27" t="n">
        <v>2024</v>
      </c>
    </row>
    <row r="222" ht="15" customHeight="1" s="24">
      <c r="A222" s="27" t="n">
        <v>1965314</v>
      </c>
      <c r="B222" s="27" t="n">
        <v>267431</v>
      </c>
      <c r="C222" s="27" t="inlineStr">
        <is>
          <t>CustomerNotified</t>
        </is>
      </c>
      <c r="D222" s="41" t="n">
        <v>45436.094290625</v>
      </c>
      <c r="E222" s="27" t="n">
        <v>-33.634443</v>
      </c>
      <c r="F222" s="27" t="n">
        <v>21.349329</v>
      </c>
      <c r="G222" s="27" t="inlineStr">
        <is>
          <t>Open</t>
        </is>
      </c>
      <c r="H222" s="27" t="inlineStr">
        <is>
          <t>PartnerPOS</t>
        </is>
      </c>
      <c r="I222" s="27" t="inlineStr">
        <is>
          <t>05</t>
        </is>
      </c>
      <c r="J222" s="27" t="n">
        <v>2024</v>
      </c>
    </row>
    <row r="223" ht="15" customHeight="1" s="24">
      <c r="A223" s="27" t="n">
        <v>2006768</v>
      </c>
      <c r="B223" s="27" t="n">
        <v>283478</v>
      </c>
      <c r="C223" s="27" t="inlineStr">
        <is>
          <t>CollectedByCustomer</t>
        </is>
      </c>
      <c r="D223" s="41" t="n">
        <v>45441.48722861111</v>
      </c>
      <c r="E223" s="27" t="n">
        <v>-30.150162</v>
      </c>
      <c r="F223" s="27" t="n">
        <v>30.160084</v>
      </c>
      <c r="G223" s="27" t="inlineStr">
        <is>
          <t>Closed</t>
        </is>
      </c>
      <c r="H223" s="27" t="inlineStr">
        <is>
          <t>PartnerPOS</t>
        </is>
      </c>
      <c r="I223" s="27" t="inlineStr">
        <is>
          <t>05</t>
        </is>
      </c>
      <c r="J223" s="27" t="n">
        <v>2024</v>
      </c>
    </row>
    <row r="224" ht="15" customHeight="1" s="24">
      <c r="A224" s="27" t="n">
        <v>1989960</v>
      </c>
      <c r="B224" s="27" t="n">
        <v>265246</v>
      </c>
      <c r="C224" s="27" t="inlineStr">
        <is>
          <t>CollectedByCustomer</t>
        </is>
      </c>
      <c r="D224" s="41" t="n">
        <v>45442.20531935185</v>
      </c>
      <c r="E224" s="27" t="n">
        <v>-33.722387</v>
      </c>
      <c r="F224" s="27" t="n">
        <v>19.024572</v>
      </c>
      <c r="G224" s="27" t="inlineStr">
        <is>
          <t>Closed</t>
        </is>
      </c>
      <c r="H224" s="27" t="inlineStr">
        <is>
          <t>CourierGPS</t>
        </is>
      </c>
      <c r="I224" s="27" t="inlineStr">
        <is>
          <t>05</t>
        </is>
      </c>
      <c r="J224" s="27" t="n">
        <v>2024</v>
      </c>
    </row>
    <row r="225" ht="15" customHeight="1" s="24">
      <c r="A225" s="27" t="n">
        <v>1962137</v>
      </c>
      <c r="B225" s="27" t="n">
        <v>264246</v>
      </c>
      <c r="C225" s="27" t="inlineStr">
        <is>
          <t>CustomerNotified</t>
        </is>
      </c>
      <c r="D225" s="41" t="n">
        <v>45443.22831827546</v>
      </c>
      <c r="E225" s="27" t="n">
        <v>-25.822096</v>
      </c>
      <c r="F225" s="27" t="n">
        <v>29.059814</v>
      </c>
      <c r="G225" s="27" t="inlineStr">
        <is>
          <t>Open</t>
        </is>
      </c>
      <c r="H225" s="27" t="inlineStr">
        <is>
          <t>CourierGPS</t>
        </is>
      </c>
      <c r="I225" s="27" t="inlineStr">
        <is>
          <t>05</t>
        </is>
      </c>
      <c r="J225" s="27" t="n">
        <v>2024</v>
      </c>
    </row>
    <row r="226" ht="15" customHeight="1" s="24">
      <c r="A226" s="27" t="n">
        <v>1991918</v>
      </c>
      <c r="B226" s="27" t="n">
        <v>267372</v>
      </c>
      <c r="C226" s="27" t="inlineStr">
        <is>
          <t>CollectedByCustomer</t>
        </is>
      </c>
      <c r="D226" s="41" t="n">
        <v>45444.26084773148</v>
      </c>
      <c r="E226" s="27" t="n">
        <v>-26.33712</v>
      </c>
      <c r="F226" s="27" t="n">
        <v>28.597092</v>
      </c>
      <c r="G226" s="27" t="inlineStr">
        <is>
          <t>Closed</t>
        </is>
      </c>
      <c r="H226" s="27" t="inlineStr">
        <is>
          <t>ScannerApp</t>
        </is>
      </c>
      <c r="I226" s="27" t="inlineStr">
        <is>
          <t>05</t>
        </is>
      </c>
      <c r="J226" s="27" t="n">
        <v>2024</v>
      </c>
    </row>
    <row r="227" ht="15" customHeight="1" s="24">
      <c r="A227" s="27" t="n">
        <v>1956084</v>
      </c>
      <c r="B227" s="27" t="n">
        <v>285333</v>
      </c>
      <c r="C227" s="27" t="inlineStr">
        <is>
          <t>ArrivedAtPickupPoint</t>
        </is>
      </c>
      <c r="D227" s="41" t="n">
        <v>45444.91729800926</v>
      </c>
      <c r="E227" s="27" t="n">
        <v>-32.997939</v>
      </c>
      <c r="F227" s="27" t="n">
        <v>22.786366</v>
      </c>
      <c r="G227" s="27" t="inlineStr">
        <is>
          <t>Open</t>
        </is>
      </c>
      <c r="H227" s="27" t="inlineStr">
        <is>
          <t>ScannerApp</t>
        </is>
      </c>
      <c r="I227" s="27" t="inlineStr">
        <is>
          <t>05</t>
        </is>
      </c>
      <c r="J227" s="27" t="n">
        <v>2024</v>
      </c>
    </row>
    <row r="228" ht="15" customHeight="1" s="24">
      <c r="A228" s="27" t="n">
        <v>2041249</v>
      </c>
      <c r="B228" s="27" t="n">
        <v>289084</v>
      </c>
      <c r="C228" s="27" t="inlineStr">
        <is>
          <t>CollectedFromRetailer</t>
        </is>
      </c>
      <c r="D228" s="41" t="n">
        <v>45447.46757945602</v>
      </c>
      <c r="E228" s="27" t="n">
        <v>-28.967099</v>
      </c>
      <c r="F228" s="27" t="n">
        <v>28.244724</v>
      </c>
      <c r="G228" s="27" t="inlineStr">
        <is>
          <t>Open</t>
        </is>
      </c>
      <c r="H228" s="27" t="inlineStr">
        <is>
          <t>ScannerApp</t>
        </is>
      </c>
      <c r="I228" s="27" t="inlineStr">
        <is>
          <t>06</t>
        </is>
      </c>
      <c r="J228" s="27" t="n">
        <v>2024</v>
      </c>
    </row>
    <row r="229" ht="15" customHeight="1" s="24">
      <c r="A229" s="27" t="n">
        <v>2042188</v>
      </c>
      <c r="B229" s="27" t="n">
        <v>290023</v>
      </c>
      <c r="C229" s="27" t="inlineStr">
        <is>
          <t>CollectedFromRetailer</t>
        </is>
      </c>
      <c r="D229" s="41" t="n">
        <v>45451.97402744213</v>
      </c>
      <c r="E229" s="27" t="n">
        <v>-24.898862</v>
      </c>
      <c r="F229" s="27" t="n">
        <v>27.187186</v>
      </c>
      <c r="G229" s="27" t="inlineStr">
        <is>
          <t>Open</t>
        </is>
      </c>
      <c r="H229" s="27" t="inlineStr">
        <is>
          <t>CourierGPS</t>
        </is>
      </c>
      <c r="I229" s="27" t="inlineStr">
        <is>
          <t>06</t>
        </is>
      </c>
      <c r="J229" s="27" t="n">
        <v>2024</v>
      </c>
    </row>
    <row r="230" ht="15" customHeight="1" s="24">
      <c r="A230" s="27" t="n">
        <v>2085162</v>
      </c>
      <c r="B230" s="27" t="n">
        <v>305305</v>
      </c>
      <c r="C230" s="27" t="inlineStr">
        <is>
          <t>AtHub</t>
        </is>
      </c>
      <c r="D230" s="41" t="n">
        <v>45453.75261604167</v>
      </c>
      <c r="E230" s="27" t="n">
        <v>-30.263755</v>
      </c>
      <c r="F230" s="27" t="n">
        <v>26.578674</v>
      </c>
      <c r="G230" s="27" t="inlineStr">
        <is>
          <t>Open</t>
        </is>
      </c>
      <c r="H230" s="27" t="inlineStr">
        <is>
          <t>PartnerPOS</t>
        </is>
      </c>
      <c r="I230" s="27" t="inlineStr">
        <is>
          <t>06</t>
        </is>
      </c>
      <c r="J230" s="27" t="n">
        <v>2024</v>
      </c>
    </row>
    <row r="231" ht="15" customHeight="1" s="24">
      <c r="A231" s="27" t="n">
        <v>2027733</v>
      </c>
      <c r="B231" s="27" t="n">
        <v>303260</v>
      </c>
      <c r="C231" s="27" t="inlineStr">
        <is>
          <t>Created</t>
        </is>
      </c>
      <c r="D231" s="41" t="n">
        <v>45453.95225748842</v>
      </c>
      <c r="E231" s="27" t="n">
        <v>-28.670963</v>
      </c>
      <c r="F231" s="27" t="n">
        <v>30.036657</v>
      </c>
      <c r="G231" s="27" t="inlineStr">
        <is>
          <t>Open</t>
        </is>
      </c>
      <c r="H231" s="27" t="inlineStr">
        <is>
          <t>CourierGPS</t>
        </is>
      </c>
      <c r="I231" s="27" t="inlineStr">
        <is>
          <t>06</t>
        </is>
      </c>
      <c r="J231" s="27" t="n">
        <v>2024</v>
      </c>
    </row>
    <row r="232" ht="15" customHeight="1" s="24">
      <c r="A232" s="27" t="n">
        <v>2074470</v>
      </c>
      <c r="B232" s="27" t="n">
        <v>294613</v>
      </c>
      <c r="C232" s="27" t="inlineStr">
        <is>
          <t>AtHub</t>
        </is>
      </c>
      <c r="D232" s="41" t="n">
        <v>45454.14651362268</v>
      </c>
      <c r="E232" s="27" t="n">
        <v>-26.049604</v>
      </c>
      <c r="F232" s="27" t="n">
        <v>27.961378</v>
      </c>
      <c r="G232" s="27" t="inlineStr">
        <is>
          <t>Open</t>
        </is>
      </c>
      <c r="H232" s="27" t="inlineStr">
        <is>
          <t>CourierGPS</t>
        </is>
      </c>
      <c r="I232" s="27" t="inlineStr">
        <is>
          <t>06</t>
        </is>
      </c>
      <c r="J232" s="27" t="n">
        <v>2024</v>
      </c>
    </row>
    <row r="233" ht="15" customHeight="1" s="24">
      <c r="A233" s="27" t="n">
        <v>2028186</v>
      </c>
      <c r="B233" s="27" t="n">
        <v>303713</v>
      </c>
      <c r="C233" s="27" t="inlineStr">
        <is>
          <t>Created</t>
        </is>
      </c>
      <c r="D233" s="41" t="n">
        <v>45454.24648201389</v>
      </c>
      <c r="E233" s="27" t="n">
        <v>-27.101139</v>
      </c>
      <c r="F233" s="27" t="n">
        <v>29.547021</v>
      </c>
      <c r="G233" s="27" t="inlineStr">
        <is>
          <t>Open</t>
        </is>
      </c>
      <c r="H233" s="27" t="inlineStr">
        <is>
          <t>ScannerApp</t>
        </is>
      </c>
      <c r="I233" s="27" t="inlineStr">
        <is>
          <t>06</t>
        </is>
      </c>
      <c r="J233" s="27" t="n">
        <v>2024</v>
      </c>
    </row>
    <row r="234" ht="15" customHeight="1" s="24">
      <c r="A234" s="27" t="n">
        <v>2195199</v>
      </c>
      <c r="B234" s="27" t="n">
        <v>306067</v>
      </c>
      <c r="C234" s="27" t="inlineStr">
        <is>
          <t>CollectedByCustomer</t>
        </is>
      </c>
      <c r="D234" s="41" t="n">
        <v>45455.8998578125</v>
      </c>
      <c r="E234" s="27" t="n">
        <v>-25.205057</v>
      </c>
      <c r="F234" s="27" t="n">
        <v>31.888726</v>
      </c>
      <c r="G234" s="27" t="inlineStr">
        <is>
          <t>Closed</t>
        </is>
      </c>
      <c r="H234" s="27" t="inlineStr">
        <is>
          <t>ScannerApp</t>
        </is>
      </c>
      <c r="I234" s="27" t="inlineStr">
        <is>
          <t>06</t>
        </is>
      </c>
      <c r="J234" s="27" t="n">
        <v>2024</v>
      </c>
    </row>
    <row r="235" ht="15" customHeight="1" s="24">
      <c r="A235" s="27" t="n">
        <v>2204935</v>
      </c>
      <c r="B235" s="27" t="n">
        <v>294125</v>
      </c>
      <c r="C235" s="27" t="inlineStr">
        <is>
          <t>ExpiredReturnedToSender</t>
        </is>
      </c>
      <c r="D235" s="41" t="n">
        <v>45456.58175738426</v>
      </c>
      <c r="E235" s="27" t="n">
        <v>-25.711414</v>
      </c>
      <c r="F235" s="27" t="n">
        <v>29.141218</v>
      </c>
      <c r="G235" s="27" t="inlineStr">
        <is>
          <t>RTS</t>
        </is>
      </c>
      <c r="H235" s="27" t="inlineStr">
        <is>
          <t>ScannerApp</t>
        </is>
      </c>
      <c r="I235" s="27" t="inlineStr">
        <is>
          <t>06</t>
        </is>
      </c>
      <c r="J235" s="27" t="n">
        <v>2024</v>
      </c>
    </row>
    <row r="236" ht="15" customHeight="1" s="24">
      <c r="A236" s="27" t="n">
        <v>2064683</v>
      </c>
      <c r="B236" s="27" t="n">
        <v>312518</v>
      </c>
      <c r="C236" s="27" t="inlineStr">
        <is>
          <t>CollectedFromRetailer</t>
        </is>
      </c>
      <c r="D236" s="41" t="n">
        <v>45458.38790821759</v>
      </c>
      <c r="E236" s="27" t="n">
        <v>-25.28467</v>
      </c>
      <c r="F236" s="27" t="n">
        <v>26.712183</v>
      </c>
      <c r="G236" s="27" t="inlineStr">
        <is>
          <t>Open</t>
        </is>
      </c>
      <c r="H236" s="27" t="inlineStr">
        <is>
          <t>ScannerApp</t>
        </is>
      </c>
      <c r="I236" s="27" t="inlineStr">
        <is>
          <t>06</t>
        </is>
      </c>
      <c r="J236" s="27" t="n">
        <v>2024</v>
      </c>
    </row>
    <row r="237" ht="15" customHeight="1" s="24">
      <c r="A237" s="27" t="n">
        <v>2191475</v>
      </c>
      <c r="B237" s="27" t="n">
        <v>302011</v>
      </c>
      <c r="C237" s="27" t="inlineStr">
        <is>
          <t>CollectedByCustomer</t>
        </is>
      </c>
      <c r="D237" s="41" t="n">
        <v>45459.50696599537</v>
      </c>
      <c r="E237" s="27" t="n">
        <v>-27.588099</v>
      </c>
      <c r="F237" s="27" t="n">
        <v>24.765474</v>
      </c>
      <c r="G237" s="27" t="inlineStr">
        <is>
          <t>Closed</t>
        </is>
      </c>
      <c r="H237" s="27" t="inlineStr">
        <is>
          <t>CourierGPS</t>
        </is>
      </c>
      <c r="I237" s="27" t="inlineStr">
        <is>
          <t>06</t>
        </is>
      </c>
      <c r="J237" s="27" t="n">
        <v>2024</v>
      </c>
    </row>
    <row r="238" ht="15" customHeight="1" s="24">
      <c r="A238" s="27" t="n">
        <v>2084068</v>
      </c>
      <c r="B238" s="27" t="n">
        <v>304211</v>
      </c>
      <c r="C238" s="27" t="inlineStr">
        <is>
          <t>AtHub</t>
        </is>
      </c>
      <c r="D238" s="41" t="n">
        <v>45460.28604090278</v>
      </c>
      <c r="E238" s="27" t="n">
        <v>-32.500966</v>
      </c>
      <c r="F238" s="27" t="n">
        <v>19.096614</v>
      </c>
      <c r="G238" s="27" t="inlineStr">
        <is>
          <t>Open</t>
        </is>
      </c>
      <c r="H238" s="27" t="inlineStr">
        <is>
          <t>ScannerApp</t>
        </is>
      </c>
      <c r="I238" s="27" t="inlineStr">
        <is>
          <t>06</t>
        </is>
      </c>
      <c r="J238" s="27" t="n">
        <v>2024</v>
      </c>
    </row>
    <row r="239" ht="15" customHeight="1" s="24">
      <c r="A239" s="27" t="n">
        <v>2186940</v>
      </c>
      <c r="B239" s="27" t="n">
        <v>297111</v>
      </c>
      <c r="C239" s="27" t="inlineStr">
        <is>
          <t>CollectedByCustomer</t>
        </is>
      </c>
      <c r="D239" s="41" t="n">
        <v>45462.31599915509</v>
      </c>
      <c r="E239" s="27" t="n">
        <v>-25.906705</v>
      </c>
      <c r="F239" s="27" t="n">
        <v>29.532254</v>
      </c>
      <c r="G239" s="27" t="inlineStr">
        <is>
          <t>Closed</t>
        </is>
      </c>
      <c r="H239" s="27" t="inlineStr">
        <is>
          <t>ScannerApp</t>
        </is>
      </c>
      <c r="I239" s="27" t="inlineStr">
        <is>
          <t>06</t>
        </is>
      </c>
      <c r="J239" s="27" t="n">
        <v>2024</v>
      </c>
    </row>
    <row r="240" ht="15" customHeight="1" s="24">
      <c r="A240" s="27" t="n">
        <v>2114039</v>
      </c>
      <c r="B240" s="27" t="n">
        <v>306490</v>
      </c>
      <c r="C240" s="27" t="inlineStr">
        <is>
          <t>InLinehaul</t>
        </is>
      </c>
      <c r="D240" s="41" t="n">
        <v>45466.14748545139</v>
      </c>
      <c r="E240" s="27" t="n">
        <v>-31.859062</v>
      </c>
      <c r="F240" s="27" t="n">
        <v>19.157035</v>
      </c>
      <c r="G240" s="27" t="inlineStr">
        <is>
          <t>Open</t>
        </is>
      </c>
      <c r="H240" s="27" t="inlineStr">
        <is>
          <t>ScannerApp</t>
        </is>
      </c>
      <c r="I240" s="27" t="inlineStr">
        <is>
          <t>06</t>
        </is>
      </c>
      <c r="J240" s="27" t="n">
        <v>2024</v>
      </c>
    </row>
    <row r="241" ht="15" customHeight="1" s="24">
      <c r="A241" s="27" t="n">
        <v>2022446</v>
      </c>
      <c r="B241" s="27" t="n">
        <v>297973</v>
      </c>
      <c r="C241" s="27" t="inlineStr">
        <is>
          <t>Created</t>
        </is>
      </c>
      <c r="D241" s="41" t="n">
        <v>45466.45458428241</v>
      </c>
      <c r="E241" s="27" t="n">
        <v>-26.332457</v>
      </c>
      <c r="F241" s="27" t="n">
        <v>27.432219</v>
      </c>
      <c r="G241" s="27" t="inlineStr">
        <is>
          <t>Open</t>
        </is>
      </c>
      <c r="H241" s="27" t="inlineStr">
        <is>
          <t>API</t>
        </is>
      </c>
      <c r="I241" s="27" t="inlineStr">
        <is>
          <t>06</t>
        </is>
      </c>
      <c r="J241" s="27" t="n">
        <v>2024</v>
      </c>
    </row>
    <row r="242" ht="15" customHeight="1" s="24">
      <c r="A242" s="27" t="n">
        <v>2089583</v>
      </c>
      <c r="B242" s="27" t="n">
        <v>309726</v>
      </c>
      <c r="C242" s="27" t="inlineStr">
        <is>
          <t>AtHub</t>
        </is>
      </c>
      <c r="D242" s="41" t="n">
        <v>45466.86306357639</v>
      </c>
      <c r="E242" s="27" t="n">
        <v>-22.468043</v>
      </c>
      <c r="F242" s="27" t="n">
        <v>29.097522</v>
      </c>
      <c r="G242" s="27" t="inlineStr">
        <is>
          <t>Open</t>
        </is>
      </c>
      <c r="H242" s="27" t="inlineStr">
        <is>
          <t>PartnerPOS</t>
        </is>
      </c>
      <c r="I242" s="27" t="inlineStr">
        <is>
          <t>06</t>
        </is>
      </c>
      <c r="J242" s="27" t="n">
        <v>2024</v>
      </c>
    </row>
    <row r="243" ht="15" customHeight="1" s="24">
      <c r="A243" s="27" t="n">
        <v>2064971</v>
      </c>
      <c r="B243" s="27" t="n">
        <v>312806</v>
      </c>
      <c r="C243" s="27" t="inlineStr">
        <is>
          <t>CollectedFromRetailer</t>
        </is>
      </c>
      <c r="D243" s="41" t="n">
        <v>45467.05565181713</v>
      </c>
      <c r="E243" s="27" t="n">
        <v>-25.34501</v>
      </c>
      <c r="F243" s="27" t="n">
        <v>29.336418</v>
      </c>
      <c r="G243" s="27" t="inlineStr">
        <is>
          <t>Open</t>
        </is>
      </c>
      <c r="H243" s="27" t="inlineStr">
        <is>
          <t>ScannerApp</t>
        </is>
      </c>
      <c r="I243" s="27" t="inlineStr">
        <is>
          <t>06</t>
        </is>
      </c>
      <c r="J243" s="27" t="n">
        <v>2024</v>
      </c>
    </row>
    <row r="244" ht="15" customHeight="1" s="24">
      <c r="A244" s="27" t="n">
        <v>2159729</v>
      </c>
      <c r="B244" s="27" t="n">
        <v>296860</v>
      </c>
      <c r="C244" s="27" t="inlineStr">
        <is>
          <t>CustomerNotified</t>
        </is>
      </c>
      <c r="D244" s="41" t="n">
        <v>45467.15390519676</v>
      </c>
      <c r="E244" s="27" t="n">
        <v>-25.957723</v>
      </c>
      <c r="F244" s="27" t="n">
        <v>28.149942</v>
      </c>
      <c r="G244" s="27" t="inlineStr">
        <is>
          <t>Open</t>
        </is>
      </c>
      <c r="H244" s="27" t="inlineStr">
        <is>
          <t>PartnerPOS</t>
        </is>
      </c>
      <c r="I244" s="27" t="inlineStr">
        <is>
          <t>06</t>
        </is>
      </c>
      <c r="J244" s="27" t="n">
        <v>2024</v>
      </c>
    </row>
    <row r="245" ht="15" customHeight="1" s="24">
      <c r="A245" s="27" t="n">
        <v>2036972</v>
      </c>
      <c r="B245" s="27" t="n">
        <v>312499</v>
      </c>
      <c r="C245" s="27" t="inlineStr">
        <is>
          <t>Created</t>
        </is>
      </c>
      <c r="D245" s="41" t="n">
        <v>45468.21198850695</v>
      </c>
      <c r="E245" s="27" t="n">
        <v>-26.722576</v>
      </c>
      <c r="F245" s="27" t="n">
        <v>30.054108</v>
      </c>
      <c r="G245" s="27" t="inlineStr">
        <is>
          <t>Open</t>
        </is>
      </c>
      <c r="H245" s="27" t="inlineStr">
        <is>
          <t>PartnerPOS</t>
        </is>
      </c>
      <c r="I245" s="27" t="inlineStr">
        <is>
          <t>06</t>
        </is>
      </c>
      <c r="J245" s="27" t="n">
        <v>2024</v>
      </c>
    </row>
    <row r="246" ht="15" customHeight="1" s="24">
      <c r="A246" s="27" t="n">
        <v>2050300</v>
      </c>
      <c r="B246" s="27" t="n">
        <v>298135</v>
      </c>
      <c r="C246" s="27" t="inlineStr">
        <is>
          <t>CollectedFromRetailer</t>
        </is>
      </c>
      <c r="D246" s="41" t="n">
        <v>45468.81959528935</v>
      </c>
      <c r="E246" s="27" t="n">
        <v>-29.293444</v>
      </c>
      <c r="F246" s="27" t="n">
        <v>29.042271</v>
      </c>
      <c r="G246" s="27" t="inlineStr">
        <is>
          <t>Open</t>
        </is>
      </c>
      <c r="H246" s="27" t="inlineStr">
        <is>
          <t>API</t>
        </is>
      </c>
      <c r="I246" s="27" t="inlineStr">
        <is>
          <t>06</t>
        </is>
      </c>
      <c r="J246" s="27" t="n">
        <v>2024</v>
      </c>
    </row>
    <row r="247" ht="15" customHeight="1" s="24">
      <c r="A247" s="27" t="n">
        <v>2171030</v>
      </c>
      <c r="B247" s="27" t="n">
        <v>308180</v>
      </c>
      <c r="C247" s="27" t="inlineStr">
        <is>
          <t>CustomerNotified</t>
        </is>
      </c>
      <c r="D247" s="41" t="n">
        <v>45469.35365429398</v>
      </c>
      <c r="E247" s="27" t="n">
        <v>-25.253826</v>
      </c>
      <c r="F247" s="27" t="n">
        <v>27.401914</v>
      </c>
      <c r="G247" s="27" t="inlineStr">
        <is>
          <t>Open</t>
        </is>
      </c>
      <c r="H247" s="27" t="inlineStr">
        <is>
          <t>CourierGPS</t>
        </is>
      </c>
      <c r="I247" s="27" t="inlineStr">
        <is>
          <t>06</t>
        </is>
      </c>
      <c r="J247" s="27" t="n">
        <v>2024</v>
      </c>
    </row>
    <row r="248" ht="15" customHeight="1" s="24">
      <c r="A248" s="27" t="n">
        <v>2077651</v>
      </c>
      <c r="B248" s="27" t="n">
        <v>297794</v>
      </c>
      <c r="C248" s="27" t="inlineStr">
        <is>
          <t>AtHub</t>
        </is>
      </c>
      <c r="D248" s="41" t="n">
        <v>45469.71973512731</v>
      </c>
      <c r="E248" s="27" t="n">
        <v>-25.732892</v>
      </c>
      <c r="F248" s="27" t="n">
        <v>30.642095</v>
      </c>
      <c r="G248" s="27" t="inlineStr">
        <is>
          <t>Open</t>
        </is>
      </c>
      <c r="H248" s="27" t="inlineStr">
        <is>
          <t>ScannerApp</t>
        </is>
      </c>
      <c r="I248" s="27" t="inlineStr">
        <is>
          <t>06</t>
        </is>
      </c>
      <c r="J248" s="27" t="n">
        <v>2024</v>
      </c>
    </row>
    <row r="249" ht="15" customHeight="1" s="24">
      <c r="A249" s="27" t="n">
        <v>2018264</v>
      </c>
      <c r="B249" s="27" t="n">
        <v>293791</v>
      </c>
      <c r="C249" s="27" t="inlineStr">
        <is>
          <t>Created</t>
        </is>
      </c>
      <c r="D249" s="41" t="n">
        <v>45470.82502313657</v>
      </c>
      <c r="E249" s="27" t="n">
        <v>-32.327915</v>
      </c>
      <c r="F249" s="27" t="n">
        <v>19.814226</v>
      </c>
      <c r="G249" s="27" t="inlineStr">
        <is>
          <t>Open</t>
        </is>
      </c>
      <c r="H249" s="27" t="inlineStr">
        <is>
          <t>ScannerApp</t>
        </is>
      </c>
      <c r="I249" s="27" t="inlineStr">
        <is>
          <t>06</t>
        </is>
      </c>
      <c r="J249" s="27" t="n">
        <v>2024</v>
      </c>
    </row>
    <row r="250" ht="15" customHeight="1" s="24">
      <c r="A250" s="27" t="n">
        <v>2149993</v>
      </c>
      <c r="B250" s="27" t="n">
        <v>314797</v>
      </c>
      <c r="C250" s="27" t="inlineStr">
        <is>
          <t>ArrivedAtPickupPoint</t>
        </is>
      </c>
      <c r="D250" s="41" t="n">
        <v>45471.53864981481</v>
      </c>
      <c r="E250" s="27" t="n">
        <v>-31.644327</v>
      </c>
      <c r="F250" s="27" t="n">
        <v>25.284882</v>
      </c>
      <c r="G250" s="27" t="inlineStr">
        <is>
          <t>Open</t>
        </is>
      </c>
      <c r="H250" s="27" t="inlineStr">
        <is>
          <t>ScannerApp</t>
        </is>
      </c>
      <c r="I250" s="27" t="inlineStr">
        <is>
          <t>06</t>
        </is>
      </c>
      <c r="J250" s="27" t="n">
        <v>2024</v>
      </c>
    </row>
    <row r="251" ht="15" customHeight="1" s="24">
      <c r="A251" s="27" t="n">
        <v>2063645</v>
      </c>
      <c r="B251" s="27" t="n">
        <v>311480</v>
      </c>
      <c r="C251" s="27" t="inlineStr">
        <is>
          <t>CollectedFromRetailer</t>
        </is>
      </c>
      <c r="D251" s="41" t="n">
        <v>45472.77917138889</v>
      </c>
      <c r="E251" s="27" t="n">
        <v>-33.627838</v>
      </c>
      <c r="F251" s="27" t="n">
        <v>19.068218</v>
      </c>
      <c r="G251" s="27" t="inlineStr">
        <is>
          <t>Open</t>
        </is>
      </c>
      <c r="H251" s="27" t="inlineStr">
        <is>
          <t>ScannerApp</t>
        </is>
      </c>
      <c r="I251" s="27" t="inlineStr">
        <is>
          <t>06</t>
        </is>
      </c>
      <c r="J251" s="27" t="n">
        <v>2024</v>
      </c>
    </row>
    <row r="252" ht="15" customHeight="1" s="24">
      <c r="A252" s="27" t="n">
        <v>2098439</v>
      </c>
      <c r="B252" s="27" t="n">
        <v>290890</v>
      </c>
      <c r="C252" s="27" t="inlineStr">
        <is>
          <t>InLinehaul</t>
        </is>
      </c>
      <c r="D252" s="41" t="n">
        <v>45474.20341546297</v>
      </c>
      <c r="E252" s="27" t="n">
        <v>-25.985139</v>
      </c>
      <c r="F252" s="27" t="n">
        <v>29.671661</v>
      </c>
      <c r="G252" s="27" t="inlineStr">
        <is>
          <t>Open</t>
        </is>
      </c>
      <c r="H252" s="27" t="inlineStr">
        <is>
          <t>ScannerApp</t>
        </is>
      </c>
      <c r="I252" s="27" t="inlineStr">
        <is>
          <t>06</t>
        </is>
      </c>
      <c r="J252" s="27" t="n">
        <v>2024</v>
      </c>
    </row>
    <row r="253" ht="15" customHeight="1" s="24">
      <c r="A253" s="27" t="n">
        <v>2386422</v>
      </c>
      <c r="B253" s="27" t="n">
        <v>318919</v>
      </c>
      <c r="C253" s="27" t="inlineStr">
        <is>
          <t>CollectedByCustomer</t>
        </is>
      </c>
      <c r="D253" s="41" t="n">
        <v>45476.30545170139</v>
      </c>
      <c r="E253" s="27" t="n">
        <v>-34.401558</v>
      </c>
      <c r="F253" s="27" t="n">
        <v>19.491515</v>
      </c>
      <c r="G253" s="27" t="inlineStr">
        <is>
          <t>Closed</t>
        </is>
      </c>
      <c r="H253" s="27" t="inlineStr">
        <is>
          <t>ScannerApp</t>
        </is>
      </c>
      <c r="I253" s="27" t="inlineStr">
        <is>
          <t>07</t>
        </is>
      </c>
      <c r="J253" s="27" t="n">
        <v>2024</v>
      </c>
    </row>
    <row r="254" ht="15" customHeight="1" s="24">
      <c r="A254" s="27" t="n">
        <v>2311553</v>
      </c>
      <c r="B254" s="27" t="n">
        <v>332652</v>
      </c>
      <c r="C254" s="27" t="inlineStr">
        <is>
          <t>InLinehaul</t>
        </is>
      </c>
      <c r="D254" s="41" t="n">
        <v>45477.82467099537</v>
      </c>
      <c r="E254" s="27" t="n">
        <v>-27.192733</v>
      </c>
      <c r="F254" s="27" t="n">
        <v>32.680108</v>
      </c>
      <c r="G254" s="27" t="inlineStr">
        <is>
          <t>Open</t>
        </is>
      </c>
      <c r="H254" s="27" t="inlineStr">
        <is>
          <t>PartnerPOS</t>
        </is>
      </c>
      <c r="I254" s="27" t="inlineStr">
        <is>
          <t>07</t>
        </is>
      </c>
      <c r="J254" s="27" t="n">
        <v>2024</v>
      </c>
    </row>
    <row r="255" ht="15" customHeight="1" s="24">
      <c r="A255" s="27" t="n">
        <v>2281306</v>
      </c>
      <c r="B255" s="27" t="n">
        <v>332052</v>
      </c>
      <c r="C255" s="27" t="inlineStr">
        <is>
          <t>AtHub</t>
        </is>
      </c>
      <c r="D255" s="41" t="n">
        <v>45480.15227215278</v>
      </c>
      <c r="E255" s="27" t="n">
        <v>-26.727843</v>
      </c>
      <c r="F255" s="27" t="n">
        <v>28.125562</v>
      </c>
      <c r="G255" s="27" t="inlineStr">
        <is>
          <t>Open</t>
        </is>
      </c>
      <c r="H255" s="27" t="inlineStr">
        <is>
          <t>ScannerApp</t>
        </is>
      </c>
      <c r="I255" s="27" t="inlineStr">
        <is>
          <t>07</t>
        </is>
      </c>
      <c r="J255" s="27" t="n">
        <v>2024</v>
      </c>
    </row>
    <row r="256" ht="15" customHeight="1" s="24">
      <c r="A256" s="27" t="n">
        <v>2255028</v>
      </c>
      <c r="B256" s="27" t="n">
        <v>335421</v>
      </c>
      <c r="C256" s="27" t="inlineStr">
        <is>
          <t>CollectedFromRetailer</t>
        </is>
      </c>
      <c r="D256" s="41" t="n">
        <v>45480.16359751157</v>
      </c>
      <c r="E256" s="27" t="n">
        <v>-32.137612</v>
      </c>
      <c r="F256" s="27" t="n">
        <v>31.138292</v>
      </c>
      <c r="G256" s="27" t="inlineStr">
        <is>
          <t>Open</t>
        </is>
      </c>
      <c r="H256" s="27" t="inlineStr">
        <is>
          <t>CourierGPS</t>
        </is>
      </c>
      <c r="I256" s="27" t="inlineStr">
        <is>
          <t>07</t>
        </is>
      </c>
      <c r="J256" s="27" t="n">
        <v>2024</v>
      </c>
    </row>
    <row r="257" ht="15" customHeight="1" s="24">
      <c r="A257" s="27" t="n">
        <v>2218754</v>
      </c>
      <c r="B257" s="27" t="n">
        <v>328794</v>
      </c>
      <c r="C257" s="27" t="inlineStr">
        <is>
          <t>Created</t>
        </is>
      </c>
      <c r="D257" s="41" t="n">
        <v>45481.02255914352</v>
      </c>
      <c r="E257" s="27" t="n">
        <v>-26.743907</v>
      </c>
      <c r="F257" s="27" t="n">
        <v>31.142204</v>
      </c>
      <c r="G257" s="27" t="inlineStr">
        <is>
          <t>Open</t>
        </is>
      </c>
      <c r="H257" s="27" t="inlineStr">
        <is>
          <t>ScannerApp</t>
        </is>
      </c>
      <c r="I257" s="27" t="inlineStr">
        <is>
          <t>07</t>
        </is>
      </c>
      <c r="J257" s="27" t="n">
        <v>2024</v>
      </c>
    </row>
    <row r="258" ht="15" customHeight="1" s="24">
      <c r="A258" s="27" t="n">
        <v>2352753</v>
      </c>
      <c r="B258" s="27" t="n">
        <v>344259</v>
      </c>
      <c r="C258" s="27" t="inlineStr">
        <is>
          <t>ArrivedAtPickupPoint</t>
        </is>
      </c>
      <c r="D258" s="41" t="n">
        <v>45482.51789157408</v>
      </c>
      <c r="E258" s="27" t="n">
        <v>-26.354545</v>
      </c>
      <c r="F258" s="27" t="n">
        <v>30.703917</v>
      </c>
      <c r="G258" s="27" t="inlineStr">
        <is>
          <t>Open</t>
        </is>
      </c>
      <c r="H258" s="27" t="inlineStr">
        <is>
          <t>ScannerApp</t>
        </is>
      </c>
      <c r="I258" s="27" t="inlineStr">
        <is>
          <t>07</t>
        </is>
      </c>
      <c r="J258" s="27" t="n">
        <v>2024</v>
      </c>
    </row>
    <row r="259" ht="15" customHeight="1" s="24">
      <c r="A259" s="27" t="n">
        <v>2313668</v>
      </c>
      <c r="B259" s="27" t="n">
        <v>334767</v>
      </c>
      <c r="C259" s="27" t="inlineStr">
        <is>
          <t>InLinehaul</t>
        </is>
      </c>
      <c r="D259" s="41" t="n">
        <v>45484.86334755787</v>
      </c>
      <c r="E259" s="27" t="n">
        <v>-24.052406</v>
      </c>
      <c r="F259" s="27" t="n">
        <v>30.394891</v>
      </c>
      <c r="G259" s="27" t="inlineStr">
        <is>
          <t>Open</t>
        </is>
      </c>
      <c r="H259" s="27" t="inlineStr">
        <is>
          <t>ScannerApp</t>
        </is>
      </c>
      <c r="I259" s="27" t="inlineStr">
        <is>
          <t>07</t>
        </is>
      </c>
      <c r="J259" s="27" t="n">
        <v>2024</v>
      </c>
    </row>
    <row r="260" ht="15" customHeight="1" s="24">
      <c r="A260" s="27" t="n">
        <v>2283950</v>
      </c>
      <c r="B260" s="27" t="n">
        <v>334696</v>
      </c>
      <c r="C260" s="27" t="inlineStr">
        <is>
          <t>AtHub</t>
        </is>
      </c>
      <c r="D260" s="41" t="n">
        <v>45485.49261752314</v>
      </c>
      <c r="E260" s="27" t="n">
        <v>-24.024982</v>
      </c>
      <c r="F260" s="27" t="n">
        <v>27.789671</v>
      </c>
      <c r="G260" s="27" t="inlineStr">
        <is>
          <t>Open</t>
        </is>
      </c>
      <c r="H260" s="27" t="inlineStr">
        <is>
          <t>CourierGPS</t>
        </is>
      </c>
      <c r="I260" s="27" t="inlineStr">
        <is>
          <t>07</t>
        </is>
      </c>
      <c r="J260" s="27" t="n">
        <v>2024</v>
      </c>
    </row>
    <row r="261" ht="15" customHeight="1" s="24">
      <c r="A261" s="27" t="n">
        <v>2301532</v>
      </c>
      <c r="B261" s="27" t="n">
        <v>322631</v>
      </c>
      <c r="C261" s="27" t="inlineStr">
        <is>
          <t>InLinehaul</t>
        </is>
      </c>
      <c r="D261" s="41" t="n">
        <v>45489.20164381945</v>
      </c>
      <c r="E261" s="27" t="n">
        <v>-27.624892</v>
      </c>
      <c r="F261" s="27" t="n">
        <v>30.044138</v>
      </c>
      <c r="G261" s="27" t="inlineStr">
        <is>
          <t>Open</t>
        </is>
      </c>
      <c r="H261" s="27" t="inlineStr">
        <is>
          <t>ScannerApp</t>
        </is>
      </c>
      <c r="I261" s="27" t="inlineStr">
        <is>
          <t>07</t>
        </is>
      </c>
      <c r="J261" s="27" t="n">
        <v>2024</v>
      </c>
    </row>
    <row r="262" ht="15" customHeight="1" s="24">
      <c r="A262" s="27" t="n">
        <v>2219206</v>
      </c>
      <c r="B262" s="27" t="n">
        <v>329246</v>
      </c>
      <c r="C262" s="27" t="inlineStr">
        <is>
          <t>Created</t>
        </is>
      </c>
      <c r="D262" s="41" t="n">
        <v>45492.09905002315</v>
      </c>
      <c r="E262" s="27" t="n">
        <v>-33.798335</v>
      </c>
      <c r="F262" s="27" t="n">
        <v>18.852226</v>
      </c>
      <c r="G262" s="27" t="inlineStr">
        <is>
          <t>Open</t>
        </is>
      </c>
      <c r="H262" s="27" t="inlineStr">
        <is>
          <t>CourierGPS</t>
        </is>
      </c>
      <c r="I262" s="27" t="inlineStr">
        <is>
          <t>07</t>
        </is>
      </c>
      <c r="J262" s="27" t="n">
        <v>2024</v>
      </c>
    </row>
    <row r="263" ht="15" customHeight="1" s="24">
      <c r="A263" s="27" t="n">
        <v>2342474</v>
      </c>
      <c r="B263" s="27" t="n">
        <v>333958</v>
      </c>
      <c r="C263" s="27" t="inlineStr">
        <is>
          <t>ArrivedAtPickupPoint</t>
        </is>
      </c>
      <c r="D263" s="41" t="n">
        <v>45494.03242053241</v>
      </c>
      <c r="E263" s="27" t="n">
        <v>-25.492816</v>
      </c>
      <c r="F263" s="27" t="n">
        <v>28.004382</v>
      </c>
      <c r="G263" s="27" t="inlineStr">
        <is>
          <t>Open</t>
        </is>
      </c>
      <c r="H263" s="27" t="inlineStr">
        <is>
          <t>ScannerApp</t>
        </is>
      </c>
      <c r="I263" s="27" t="inlineStr">
        <is>
          <t>07</t>
        </is>
      </c>
      <c r="J263" s="27" t="n">
        <v>2024</v>
      </c>
    </row>
    <row r="264" ht="15" customHeight="1" s="24">
      <c r="A264" s="27" t="n">
        <v>2337278</v>
      </c>
      <c r="B264" s="27" t="n">
        <v>328754</v>
      </c>
      <c r="C264" s="27" t="inlineStr">
        <is>
          <t>ArrivedAtPickupPoint</t>
        </is>
      </c>
      <c r="D264" s="41" t="n">
        <v>45495.13291046296</v>
      </c>
      <c r="E264" s="27" t="n">
        <v>-31.547607</v>
      </c>
      <c r="F264" s="27" t="n">
        <v>20.13856</v>
      </c>
      <c r="G264" s="27" t="inlineStr">
        <is>
          <t>Open</t>
        </is>
      </c>
      <c r="H264" s="27" t="inlineStr">
        <is>
          <t>CourierGPS</t>
        </is>
      </c>
      <c r="I264" s="27" t="inlineStr">
        <is>
          <t>07</t>
        </is>
      </c>
      <c r="J264" s="27" t="n">
        <v>2024</v>
      </c>
    </row>
    <row r="265" ht="15" customHeight="1" s="24">
      <c r="A265" s="27" t="n">
        <v>2298049</v>
      </c>
      <c r="B265" s="27" t="n">
        <v>319148</v>
      </c>
      <c r="C265" s="27" t="inlineStr">
        <is>
          <t>InLinehaul</t>
        </is>
      </c>
      <c r="D265" s="41" t="n">
        <v>45495.82800230324</v>
      </c>
      <c r="E265" s="27" t="n">
        <v>-30.909865</v>
      </c>
      <c r="F265" s="27" t="n">
        <v>24.785327</v>
      </c>
      <c r="G265" s="27" t="inlineStr">
        <is>
          <t>Open</t>
        </is>
      </c>
      <c r="H265" s="27" t="inlineStr">
        <is>
          <t>CourierGPS</t>
        </is>
      </c>
      <c r="I265" s="27" t="inlineStr">
        <is>
          <t>07</t>
        </is>
      </c>
      <c r="J265" s="27" t="n">
        <v>2024</v>
      </c>
    </row>
    <row r="266" ht="15" customHeight="1" s="24">
      <c r="A266" s="27" t="n">
        <v>2316415</v>
      </c>
      <c r="B266" s="27" t="n">
        <v>337514</v>
      </c>
      <c r="C266" s="27" t="inlineStr">
        <is>
          <t>InLinehaul</t>
        </is>
      </c>
      <c r="D266" s="41" t="n">
        <v>45496.1563599537</v>
      </c>
      <c r="E266" s="27" t="n">
        <v>-24.447322</v>
      </c>
      <c r="F266" s="27" t="n">
        <v>28.874186</v>
      </c>
      <c r="G266" s="27" t="inlineStr">
        <is>
          <t>Open</t>
        </is>
      </c>
      <c r="H266" s="27" t="inlineStr">
        <is>
          <t>ScannerApp</t>
        </is>
      </c>
      <c r="I266" s="27" t="inlineStr">
        <is>
          <t>07</t>
        </is>
      </c>
      <c r="J266" s="27" t="n">
        <v>2024</v>
      </c>
    </row>
    <row r="267" ht="15" customHeight="1" s="24">
      <c r="A267" s="27" t="n">
        <v>2256635</v>
      </c>
      <c r="B267" s="27" t="n">
        <v>337028</v>
      </c>
      <c r="C267" s="27" t="inlineStr">
        <is>
          <t>CollectedFromRetailer</t>
        </is>
      </c>
      <c r="D267" s="41" t="n">
        <v>45496.42231109954</v>
      </c>
      <c r="E267" s="27" t="n">
        <v>-30.869135</v>
      </c>
      <c r="F267" s="27" t="n">
        <v>25.043533</v>
      </c>
      <c r="G267" s="27" t="inlineStr">
        <is>
          <t>Open</t>
        </is>
      </c>
      <c r="H267" s="27" t="inlineStr">
        <is>
          <t>API</t>
        </is>
      </c>
      <c r="I267" s="27" t="inlineStr">
        <is>
          <t>07</t>
        </is>
      </c>
      <c r="J267" s="27" t="n">
        <v>2024</v>
      </c>
    </row>
    <row r="268" ht="15" customHeight="1" s="24">
      <c r="A268" s="27" t="n">
        <v>2222527</v>
      </c>
      <c r="B268" s="27" t="n">
        <v>332567</v>
      </c>
      <c r="C268" s="27" t="inlineStr">
        <is>
          <t>Created</t>
        </is>
      </c>
      <c r="D268" s="41" t="n">
        <v>45498.38920913194</v>
      </c>
      <c r="E268" s="27" t="n">
        <v>-32.002089</v>
      </c>
      <c r="F268" s="27" t="n">
        <v>23.127881</v>
      </c>
      <c r="G268" s="27" t="inlineStr">
        <is>
          <t>Open</t>
        </is>
      </c>
      <c r="H268" s="27" t="inlineStr">
        <is>
          <t>ScannerApp</t>
        </is>
      </c>
      <c r="I268" s="27" t="inlineStr">
        <is>
          <t>07</t>
        </is>
      </c>
      <c r="J268" s="27" t="n">
        <v>2024</v>
      </c>
    </row>
    <row r="269" ht="15" customHeight="1" s="24">
      <c r="A269" s="27" t="n">
        <v>2301025</v>
      </c>
      <c r="B269" s="27" t="n">
        <v>322124</v>
      </c>
      <c r="C269" s="27" t="inlineStr">
        <is>
          <t>InLinehaul</t>
        </is>
      </c>
      <c r="D269" s="41" t="n">
        <v>45499.19019201389</v>
      </c>
      <c r="E269" s="27" t="n">
        <v>-25.825544</v>
      </c>
      <c r="F269" s="27" t="n">
        <v>26.875453</v>
      </c>
      <c r="G269" s="27" t="inlineStr">
        <is>
          <t>Open</t>
        </is>
      </c>
      <c r="H269" s="27" t="inlineStr">
        <is>
          <t>ScannerApp</t>
        </is>
      </c>
      <c r="I269" s="27" t="inlineStr">
        <is>
          <t>07</t>
        </is>
      </c>
      <c r="J269" s="27" t="n">
        <v>2024</v>
      </c>
    </row>
    <row r="270" ht="15" customHeight="1" s="24">
      <c r="A270" s="27" t="n">
        <v>2315353</v>
      </c>
      <c r="B270" s="27" t="n">
        <v>336452</v>
      </c>
      <c r="C270" s="27" t="inlineStr">
        <is>
          <t>InLinehaul</t>
        </is>
      </c>
      <c r="D270" s="41" t="n">
        <v>45499.71481490741</v>
      </c>
      <c r="E270" s="27" t="n">
        <v>-26.509847</v>
      </c>
      <c r="F270" s="27" t="n">
        <v>26.648703</v>
      </c>
      <c r="G270" s="27" t="inlineStr">
        <is>
          <t>Open</t>
        </is>
      </c>
      <c r="H270" s="27" t="inlineStr">
        <is>
          <t>ScannerApp</t>
        </is>
      </c>
      <c r="I270" s="27" t="inlineStr">
        <is>
          <t>07</t>
        </is>
      </c>
      <c r="J270" s="27" t="n">
        <v>2024</v>
      </c>
    </row>
    <row r="271" ht="15" customHeight="1" s="24">
      <c r="A271" s="27" t="n">
        <v>2402892</v>
      </c>
      <c r="B271" s="27" t="n">
        <v>336753</v>
      </c>
      <c r="C271" s="27" t="inlineStr">
        <is>
          <t>CollectedByCustomer</t>
        </is>
      </c>
      <c r="D271" s="41" t="n">
        <v>45501.43869148148</v>
      </c>
      <c r="E271" s="27" t="n">
        <v>-24.078744</v>
      </c>
      <c r="F271" s="27" t="n">
        <v>30.26364</v>
      </c>
      <c r="G271" s="27" t="inlineStr">
        <is>
          <t>Closed</t>
        </is>
      </c>
      <c r="H271" s="27" t="inlineStr">
        <is>
          <t>CourierGPS</t>
        </is>
      </c>
      <c r="I271" s="27" t="inlineStr">
        <is>
          <t>07</t>
        </is>
      </c>
      <c r="J271" s="27" t="n">
        <v>2024</v>
      </c>
    </row>
    <row r="272" ht="15" customHeight="1" s="24">
      <c r="A272" s="27" t="n">
        <v>2216881</v>
      </c>
      <c r="B272" s="27" t="n">
        <v>326921</v>
      </c>
      <c r="C272" s="27" t="inlineStr">
        <is>
          <t>Created</t>
        </is>
      </c>
      <c r="D272" s="41" t="n">
        <v>45502.58204476852</v>
      </c>
      <c r="E272" s="27" t="n">
        <v>-31.016437</v>
      </c>
      <c r="F272" s="27" t="n">
        <v>30.97194</v>
      </c>
      <c r="G272" s="27" t="inlineStr">
        <is>
          <t>Open</t>
        </is>
      </c>
      <c r="H272" s="27" t="inlineStr">
        <is>
          <t>ScannerApp</t>
        </is>
      </c>
      <c r="I272" s="27" t="inlineStr">
        <is>
          <t>07</t>
        </is>
      </c>
      <c r="J272" s="27" t="n">
        <v>2024</v>
      </c>
    </row>
    <row r="273" ht="15" customHeight="1" s="24">
      <c r="A273" s="27" t="n">
        <v>2510496</v>
      </c>
      <c r="B273" s="27" t="n">
        <v>357057</v>
      </c>
      <c r="C273" s="27" t="inlineStr">
        <is>
          <t>InLinehaul</t>
        </is>
      </c>
      <c r="D273" s="41" t="n">
        <v>45506.01083591435</v>
      </c>
      <c r="E273" s="27" t="n">
        <v>-28.089221</v>
      </c>
      <c r="F273" s="27" t="n">
        <v>29.531716</v>
      </c>
      <c r="G273" s="27" t="inlineStr">
        <is>
          <t>Open</t>
        </is>
      </c>
      <c r="H273" s="27" t="inlineStr">
        <is>
          <t>PartnerPOS</t>
        </is>
      </c>
      <c r="I273" s="27" t="inlineStr">
        <is>
          <t>08</t>
        </is>
      </c>
      <c r="J273" s="27" t="n">
        <v>2024</v>
      </c>
    </row>
    <row r="274" ht="15" customHeight="1" s="24">
      <c r="A274" s="27" t="n">
        <v>2452681</v>
      </c>
      <c r="B274" s="27" t="n">
        <v>356798</v>
      </c>
      <c r="C274" s="27" t="inlineStr">
        <is>
          <t>CollectedFromRetailer</t>
        </is>
      </c>
      <c r="D274" s="41" t="n">
        <v>45506.9017168287</v>
      </c>
      <c r="E274" s="27" t="n">
        <v>-35.227619</v>
      </c>
      <c r="F274" s="27" t="n">
        <v>28.41703</v>
      </c>
      <c r="G274" s="27" t="inlineStr">
        <is>
          <t>Open</t>
        </is>
      </c>
      <c r="H274" s="27" t="inlineStr">
        <is>
          <t>ScannerApp</t>
        </is>
      </c>
      <c r="I274" s="27" t="inlineStr">
        <is>
          <t>08</t>
        </is>
      </c>
      <c r="J274" s="27" t="n">
        <v>2024</v>
      </c>
    </row>
    <row r="275" ht="15" customHeight="1" s="24">
      <c r="A275" s="27" t="n">
        <v>2574476</v>
      </c>
      <c r="B275" s="27" t="n">
        <v>363581</v>
      </c>
      <c r="C275" s="27" t="inlineStr">
        <is>
          <t>CustomerNotified</t>
        </is>
      </c>
      <c r="D275" s="41" t="n">
        <v>45508.19982652778</v>
      </c>
      <c r="E275" s="27" t="n">
        <v>-25.683238</v>
      </c>
      <c r="F275" s="27" t="n">
        <v>28.791377</v>
      </c>
      <c r="G275" s="27" t="inlineStr">
        <is>
          <t>Open</t>
        </is>
      </c>
      <c r="H275" s="27" t="inlineStr">
        <is>
          <t>PartnerPOS</t>
        </is>
      </c>
      <c r="I275" s="27" t="inlineStr">
        <is>
          <t>08</t>
        </is>
      </c>
      <c r="J275" s="27" t="n">
        <v>2024</v>
      </c>
    </row>
    <row r="276" ht="15" customHeight="1" s="24">
      <c r="A276" s="27" t="n">
        <v>2499655</v>
      </c>
      <c r="B276" s="27" t="n">
        <v>346216</v>
      </c>
      <c r="C276" s="27" t="inlineStr">
        <is>
          <t>InLinehaul</t>
        </is>
      </c>
      <c r="D276" s="41" t="n">
        <v>45508.43696956019</v>
      </c>
      <c r="E276" s="27" t="n">
        <v>-24.815164</v>
      </c>
      <c r="F276" s="27" t="n">
        <v>28.711856</v>
      </c>
      <c r="G276" s="27" t="inlineStr">
        <is>
          <t>Open</t>
        </is>
      </c>
      <c r="H276" s="27" t="inlineStr">
        <is>
          <t>CourierGPS</t>
        </is>
      </c>
      <c r="I276" s="27" t="inlineStr">
        <is>
          <t>08</t>
        </is>
      </c>
      <c r="J276" s="27" t="n">
        <v>2024</v>
      </c>
    </row>
    <row r="277" ht="15" customHeight="1" s="24">
      <c r="A277" s="27" t="n">
        <v>2593896</v>
      </c>
      <c r="B277" s="27" t="n">
        <v>354901</v>
      </c>
      <c r="C277" s="27" t="inlineStr">
        <is>
          <t>CollectedByCustomer</t>
        </is>
      </c>
      <c r="D277" s="41" t="n">
        <v>45513.66211721065</v>
      </c>
      <c r="E277" s="27" t="n">
        <v>-34.153403</v>
      </c>
      <c r="F277" s="27" t="n">
        <v>20.997736</v>
      </c>
      <c r="G277" s="27" t="inlineStr">
        <is>
          <t>Closed</t>
        </is>
      </c>
      <c r="H277" s="27" t="inlineStr">
        <is>
          <t>ScannerApp</t>
        </is>
      </c>
      <c r="I277" s="27" t="inlineStr">
        <is>
          <t>08</t>
        </is>
      </c>
      <c r="J277" s="27" t="n">
        <v>2024</v>
      </c>
    </row>
    <row r="278" ht="15" customHeight="1" s="24">
      <c r="A278" s="27" t="n">
        <v>2434134</v>
      </c>
      <c r="B278" s="27" t="n">
        <v>367029</v>
      </c>
      <c r="C278" s="27" t="inlineStr">
        <is>
          <t>Created</t>
        </is>
      </c>
      <c r="D278" s="41" t="n">
        <v>45520.93612160879</v>
      </c>
      <c r="E278" s="27" t="n">
        <v>-28.426969</v>
      </c>
      <c r="F278" s="27" t="n">
        <v>28.103174</v>
      </c>
      <c r="G278" s="27" t="inlineStr">
        <is>
          <t>Open</t>
        </is>
      </c>
      <c r="H278" s="27" t="inlineStr">
        <is>
          <t>ScannerApp</t>
        </is>
      </c>
      <c r="I278" s="27" t="inlineStr">
        <is>
          <t>08</t>
        </is>
      </c>
      <c r="J278" s="27" t="n">
        <v>2024</v>
      </c>
    </row>
    <row r="279" ht="15" customHeight="1" s="24">
      <c r="A279" s="27" t="n">
        <v>2543935</v>
      </c>
      <c r="B279" s="27" t="n">
        <v>361757</v>
      </c>
      <c r="C279" s="27" t="inlineStr">
        <is>
          <t>ArrivedAtPickupPoint</t>
        </is>
      </c>
      <c r="D279" s="41" t="n">
        <v>45523.72279177084</v>
      </c>
      <c r="E279" s="27" t="n">
        <v>-26.194709</v>
      </c>
      <c r="F279" s="27" t="n">
        <v>27.67033</v>
      </c>
      <c r="G279" s="27" t="inlineStr">
        <is>
          <t>Open</t>
        </is>
      </c>
      <c r="H279" s="27" t="inlineStr">
        <is>
          <t>API</t>
        </is>
      </c>
      <c r="I279" s="27" t="inlineStr">
        <is>
          <t>08</t>
        </is>
      </c>
      <c r="J279" s="27" t="n">
        <v>2024</v>
      </c>
    </row>
    <row r="280" ht="15" customHeight="1" s="24">
      <c r="A280" s="27" t="n">
        <v>2592318</v>
      </c>
      <c r="B280" s="27" t="n">
        <v>353196</v>
      </c>
      <c r="C280" s="27" t="inlineStr">
        <is>
          <t>CollectedByCustomer</t>
        </is>
      </c>
      <c r="D280" s="41" t="n">
        <v>45524.39967069445</v>
      </c>
      <c r="E280" s="27" t="n">
        <v>-26.146816</v>
      </c>
      <c r="F280" s="27" t="n">
        <v>28.774766</v>
      </c>
      <c r="G280" s="27" t="inlineStr">
        <is>
          <t>Closed</t>
        </is>
      </c>
      <c r="H280" s="27" t="inlineStr">
        <is>
          <t>CourierGPS</t>
        </is>
      </c>
      <c r="I280" s="27" t="inlineStr">
        <is>
          <t>08</t>
        </is>
      </c>
      <c r="J280" s="27" t="n">
        <v>2024</v>
      </c>
    </row>
    <row r="281" ht="15" customHeight="1" s="24">
      <c r="A281" s="27" t="n">
        <v>2473886</v>
      </c>
      <c r="B281" s="27" t="n">
        <v>349225</v>
      </c>
      <c r="C281" s="27" t="inlineStr">
        <is>
          <t>AtHub</t>
        </is>
      </c>
      <c r="D281" s="41" t="n">
        <v>45526.2841978125</v>
      </c>
      <c r="E281" s="27" t="n">
        <v>-31.735179</v>
      </c>
      <c r="F281" s="27" t="n">
        <v>30.754839</v>
      </c>
      <c r="G281" s="27" t="inlineStr">
        <is>
          <t>Open</t>
        </is>
      </c>
      <c r="H281" s="27" t="inlineStr">
        <is>
          <t>CourierGPS</t>
        </is>
      </c>
      <c r="I281" s="27" t="inlineStr">
        <is>
          <t>08</t>
        </is>
      </c>
      <c r="J281" s="27" t="n">
        <v>2024</v>
      </c>
    </row>
    <row r="282" ht="15" customHeight="1" s="24">
      <c r="A282" s="27" t="n">
        <v>2417020</v>
      </c>
      <c r="B282" s="27" t="n">
        <v>349915</v>
      </c>
      <c r="C282" s="27" t="inlineStr">
        <is>
          <t>Created</t>
        </is>
      </c>
      <c r="D282" s="41" t="n">
        <v>45526.5409602662</v>
      </c>
      <c r="E282" s="27" t="n">
        <v>-24.054949</v>
      </c>
      <c r="F282" s="27" t="n">
        <v>30.439204</v>
      </c>
      <c r="G282" s="27" t="inlineStr">
        <is>
          <t>Open</t>
        </is>
      </c>
      <c r="H282" s="27" t="inlineStr">
        <is>
          <t>CourierGPS</t>
        </is>
      </c>
      <c r="I282" s="27" t="inlineStr">
        <is>
          <t>08</t>
        </is>
      </c>
      <c r="J282" s="27" t="n">
        <v>2024</v>
      </c>
    </row>
    <row r="283" ht="15" customHeight="1" s="24">
      <c r="A283" s="27" t="n">
        <v>2452481</v>
      </c>
      <c r="B283" s="27" t="n">
        <v>356598</v>
      </c>
      <c r="C283" s="27" t="inlineStr">
        <is>
          <t>CollectedFromRetailer</t>
        </is>
      </c>
      <c r="D283" s="41" t="n">
        <v>45528.12631695602</v>
      </c>
      <c r="E283" s="27" t="n">
        <v>-25.924093</v>
      </c>
      <c r="F283" s="27" t="n">
        <v>27.81302</v>
      </c>
      <c r="G283" s="27" t="inlineStr">
        <is>
          <t>Open</t>
        </is>
      </c>
      <c r="H283" s="27" t="inlineStr">
        <is>
          <t>API</t>
        </is>
      </c>
      <c r="I283" s="27" t="inlineStr">
        <is>
          <t>08</t>
        </is>
      </c>
      <c r="J283" s="27" t="n">
        <v>2024</v>
      </c>
    </row>
    <row r="284" ht="15" customHeight="1" s="24">
      <c r="A284" s="27" t="n">
        <v>2555067</v>
      </c>
      <c r="B284" s="27" t="n">
        <v>372907</v>
      </c>
      <c r="C284" s="27" t="inlineStr">
        <is>
          <t>ArrivedAtPickupPoint</t>
        </is>
      </c>
      <c r="D284" s="41" t="n">
        <v>45528.31760664352</v>
      </c>
      <c r="E284" s="27" t="n">
        <v>-32.911032</v>
      </c>
      <c r="F284" s="27" t="n">
        <v>22.324326</v>
      </c>
      <c r="G284" s="27" t="inlineStr">
        <is>
          <t>Open</t>
        </is>
      </c>
      <c r="H284" s="27" t="inlineStr">
        <is>
          <t>CourierGPS</t>
        </is>
      </c>
      <c r="I284" s="27" t="inlineStr">
        <is>
          <t>08</t>
        </is>
      </c>
      <c r="J284" s="27" t="n">
        <v>2024</v>
      </c>
    </row>
    <row r="285" ht="15" customHeight="1" s="24">
      <c r="A285" s="27" t="n">
        <v>2445940</v>
      </c>
      <c r="B285" s="27" t="n">
        <v>350057</v>
      </c>
      <c r="C285" s="27" t="inlineStr">
        <is>
          <t>CollectedFromRetailer</t>
        </is>
      </c>
      <c r="D285" s="41" t="n">
        <v>45532.44561856482</v>
      </c>
      <c r="E285" s="27" t="n">
        <v>-25.7478</v>
      </c>
      <c r="F285" s="27" t="n">
        <v>31.778548</v>
      </c>
      <c r="G285" s="27" t="inlineStr">
        <is>
          <t>Open</t>
        </is>
      </c>
      <c r="H285" s="27" t="inlineStr">
        <is>
          <t>ScannerApp</t>
        </is>
      </c>
      <c r="I285" s="27" t="inlineStr">
        <is>
          <t>08</t>
        </is>
      </c>
      <c r="J285" s="27" t="n">
        <v>2024</v>
      </c>
    </row>
    <row r="286" ht="15" customHeight="1" s="24">
      <c r="A286" s="27" t="n">
        <v>2530387</v>
      </c>
      <c r="B286" s="27" t="n">
        <v>348174</v>
      </c>
      <c r="C286" s="27" t="inlineStr">
        <is>
          <t>ArrivedAtPickupPoint</t>
        </is>
      </c>
      <c r="D286" s="41" t="n">
        <v>45534.71112658565</v>
      </c>
      <c r="E286" s="27" t="n">
        <v>-29.043259</v>
      </c>
      <c r="F286" s="27" t="n">
        <v>29.034175</v>
      </c>
      <c r="G286" s="27" t="inlineStr">
        <is>
          <t>Open</t>
        </is>
      </c>
      <c r="H286" s="27" t="inlineStr">
        <is>
          <t>API</t>
        </is>
      </c>
      <c r="I286" s="27" t="inlineStr">
        <is>
          <t>08</t>
        </is>
      </c>
      <c r="J286" s="27" t="n">
        <v>2024</v>
      </c>
    </row>
    <row r="287" ht="15" customHeight="1" s="24">
      <c r="A287" s="27" t="n">
        <v>2557166</v>
      </c>
      <c r="B287" s="27" t="n">
        <v>346229</v>
      </c>
      <c r="C287" s="27" t="inlineStr">
        <is>
          <t>CustomerNotified</t>
        </is>
      </c>
      <c r="D287" s="41" t="n">
        <v>45535.71739060185</v>
      </c>
      <c r="E287" s="27" t="n">
        <v>-23.097119</v>
      </c>
      <c r="F287" s="27" t="n">
        <v>28.423607</v>
      </c>
      <c r="G287" s="27" t="inlineStr">
        <is>
          <t>Open</t>
        </is>
      </c>
      <c r="H287" s="27" t="inlineStr">
        <is>
          <t>CourierGPS</t>
        </is>
      </c>
      <c r="I287" s="27" t="inlineStr">
        <is>
          <t>08</t>
        </is>
      </c>
      <c r="J287" s="27" t="n">
        <v>2024</v>
      </c>
    </row>
    <row r="288" ht="15" customHeight="1" s="24">
      <c r="A288" s="27" t="n">
        <v>2523118</v>
      </c>
      <c r="B288" s="27" t="n">
        <v>369679</v>
      </c>
      <c r="C288" s="27" t="inlineStr">
        <is>
          <t>InLinehaul</t>
        </is>
      </c>
      <c r="D288" s="41" t="n">
        <v>45536.22992548611</v>
      </c>
      <c r="E288" s="27" t="n">
        <v>-28.259061</v>
      </c>
      <c r="F288" s="27" t="n">
        <v>32.598605</v>
      </c>
      <c r="G288" s="27" t="inlineStr">
        <is>
          <t>Open</t>
        </is>
      </c>
      <c r="H288" s="27" t="inlineStr">
        <is>
          <t>CourierGPS</t>
        </is>
      </c>
      <c r="I288" s="27" t="inlineStr">
        <is>
          <t>08</t>
        </is>
      </c>
      <c r="J288" s="27" t="n">
        <v>2024</v>
      </c>
    </row>
    <row r="289" ht="15" customHeight="1" s="24">
      <c r="A289" s="27" t="n">
        <v>2698084</v>
      </c>
      <c r="B289" s="27" t="n">
        <v>400361</v>
      </c>
      <c r="C289" s="27" t="inlineStr">
        <is>
          <t>AtHub</t>
        </is>
      </c>
      <c r="D289" s="41" t="n">
        <v>45537.24710153935</v>
      </c>
      <c r="E289" s="27" t="n">
        <v>-26.242827</v>
      </c>
      <c r="F289" s="27" t="n">
        <v>26.406214</v>
      </c>
      <c r="G289" s="27" t="inlineStr">
        <is>
          <t>Open</t>
        </is>
      </c>
      <c r="H289" s="27" t="inlineStr">
        <is>
          <t>ScannerApp</t>
        </is>
      </c>
      <c r="I289" s="27" t="inlineStr">
        <is>
          <t>09</t>
        </is>
      </c>
      <c r="J289" s="27" t="n">
        <v>2024</v>
      </c>
    </row>
    <row r="290" ht="15" customHeight="1" s="24">
      <c r="A290" s="27" t="n">
        <v>2627476</v>
      </c>
      <c r="B290" s="27" t="n">
        <v>388395</v>
      </c>
      <c r="C290" s="27" t="inlineStr">
        <is>
          <t>Created</t>
        </is>
      </c>
      <c r="D290" s="41" t="n">
        <v>45537.55979820602</v>
      </c>
      <c r="E290" s="27" t="n">
        <v>-34.347028</v>
      </c>
      <c r="F290" s="27" t="n">
        <v>25.394063</v>
      </c>
      <c r="G290" s="27" t="inlineStr">
        <is>
          <t>Open</t>
        </is>
      </c>
      <c r="H290" s="27" t="inlineStr">
        <is>
          <t>ScannerApp</t>
        </is>
      </c>
      <c r="I290" s="27" t="inlineStr">
        <is>
          <t>09</t>
        </is>
      </c>
      <c r="J290" s="27" t="n">
        <v>2024</v>
      </c>
    </row>
    <row r="291" ht="15" customHeight="1" s="24">
      <c r="A291" s="27" t="n">
        <v>2750015</v>
      </c>
      <c r="B291" s="27" t="n">
        <v>393697</v>
      </c>
      <c r="C291" s="27" t="inlineStr">
        <is>
          <t>ArrivedAtPickupPoint</t>
        </is>
      </c>
      <c r="D291" s="41" t="n">
        <v>45539.19205278935</v>
      </c>
      <c r="E291" s="27" t="n">
        <v>-32.748278</v>
      </c>
      <c r="F291" s="27" t="n">
        <v>29.450668</v>
      </c>
      <c r="G291" s="27" t="inlineStr">
        <is>
          <t>Open</t>
        </is>
      </c>
      <c r="H291" s="27" t="inlineStr">
        <is>
          <t>CourierGPS</t>
        </is>
      </c>
      <c r="I291" s="27" t="inlineStr">
        <is>
          <t>09</t>
        </is>
      </c>
      <c r="J291" s="27" t="n">
        <v>2024</v>
      </c>
    </row>
    <row r="292" ht="15" customHeight="1" s="24">
      <c r="A292" s="27" t="n">
        <v>2665139</v>
      </c>
      <c r="B292" s="27" t="n">
        <v>396737</v>
      </c>
      <c r="C292" s="27" t="inlineStr">
        <is>
          <t>CollectedFromRetailer</t>
        </is>
      </c>
      <c r="D292" s="41" t="n">
        <v>45540.13280657407</v>
      </c>
      <c r="E292" s="27" t="n">
        <v>-28.47146</v>
      </c>
      <c r="F292" s="27" t="n">
        <v>30.322295</v>
      </c>
      <c r="G292" s="27" t="inlineStr">
        <is>
          <t>Open</t>
        </is>
      </c>
      <c r="H292" s="27" t="inlineStr">
        <is>
          <t>CourierGPS</t>
        </is>
      </c>
      <c r="I292" s="27" t="inlineStr">
        <is>
          <t>09</t>
        </is>
      </c>
      <c r="J292" s="27" t="n">
        <v>2024</v>
      </c>
    </row>
    <row r="293" ht="15" customHeight="1" s="24">
      <c r="A293" s="27" t="n">
        <v>2647161</v>
      </c>
      <c r="B293" s="27" t="n">
        <v>378759</v>
      </c>
      <c r="C293" s="27" t="inlineStr">
        <is>
          <t>CollectedFromRetailer</t>
        </is>
      </c>
      <c r="D293" s="41" t="n">
        <v>45540.47121480324</v>
      </c>
      <c r="E293" s="27" t="n">
        <v>-32.926423</v>
      </c>
      <c r="F293" s="27" t="n">
        <v>24.313642</v>
      </c>
      <c r="G293" s="27" t="inlineStr">
        <is>
          <t>Open</t>
        </is>
      </c>
      <c r="H293" s="27" t="inlineStr">
        <is>
          <t>ScannerApp</t>
        </is>
      </c>
      <c r="I293" s="27" t="inlineStr">
        <is>
          <t>09</t>
        </is>
      </c>
      <c r="J293" s="27" t="n">
        <v>2024</v>
      </c>
    </row>
    <row r="294" ht="15" customHeight="1" s="24">
      <c r="A294" s="27" t="n">
        <v>2663141</v>
      </c>
      <c r="B294" s="27" t="n">
        <v>394739</v>
      </c>
      <c r="C294" s="27" t="inlineStr">
        <is>
          <t>CollectedFromRetailer</t>
        </is>
      </c>
      <c r="D294" s="41" t="n">
        <v>45541.92745420139</v>
      </c>
      <c r="E294" s="27" t="n">
        <v>-34.31408</v>
      </c>
      <c r="F294" s="27" t="n">
        <v>21.335627</v>
      </c>
      <c r="G294" s="27" t="inlineStr">
        <is>
          <t>Open</t>
        </is>
      </c>
      <c r="H294" s="27" t="inlineStr">
        <is>
          <t>ScannerApp</t>
        </is>
      </c>
      <c r="I294" s="27" t="inlineStr">
        <is>
          <t>09</t>
        </is>
      </c>
      <c r="J294" s="27" t="n">
        <v>2024</v>
      </c>
    </row>
    <row r="295" ht="15" customHeight="1" s="24">
      <c r="A295" s="27" t="n">
        <v>2731410</v>
      </c>
      <c r="B295" s="27" t="n">
        <v>375047</v>
      </c>
      <c r="C295" s="27" t="inlineStr">
        <is>
          <t>ArrivedAtPickupPoint</t>
        </is>
      </c>
      <c r="D295" s="41" t="n">
        <v>45544.45128813657</v>
      </c>
      <c r="E295" s="27" t="n">
        <v>-30.904744</v>
      </c>
      <c r="F295" s="27" t="n">
        <v>29.094957</v>
      </c>
      <c r="G295" s="27" t="inlineStr">
        <is>
          <t>Open</t>
        </is>
      </c>
      <c r="H295" s="27" t="inlineStr">
        <is>
          <t>CourierGPS</t>
        </is>
      </c>
      <c r="I295" s="27" t="inlineStr">
        <is>
          <t>09</t>
        </is>
      </c>
      <c r="J295" s="27" t="n">
        <v>2024</v>
      </c>
    </row>
    <row r="296" ht="15" customHeight="1" s="24">
      <c r="A296" s="27" t="n">
        <v>2752183</v>
      </c>
      <c r="B296" s="27" t="n">
        <v>395867</v>
      </c>
      <c r="C296" s="27" t="inlineStr">
        <is>
          <t>ArrivedAtPickupPoint</t>
        </is>
      </c>
      <c r="D296" s="41" t="n">
        <v>45545.05731164352</v>
      </c>
      <c r="E296" s="27" t="n">
        <v>-33.585945</v>
      </c>
      <c r="F296" s="27" t="n">
        <v>22.753972</v>
      </c>
      <c r="G296" s="27" t="inlineStr">
        <is>
          <t>Open</t>
        </is>
      </c>
      <c r="H296" s="27" t="inlineStr">
        <is>
          <t>CourierGPS</t>
        </is>
      </c>
      <c r="I296" s="27" t="inlineStr">
        <is>
          <t>09</t>
        </is>
      </c>
      <c r="J296" s="27" t="n">
        <v>2024</v>
      </c>
    </row>
    <row r="297" ht="15" customHeight="1" s="24">
      <c r="A297" s="27" t="n">
        <v>2770096</v>
      </c>
      <c r="B297" s="27" t="n">
        <v>384502</v>
      </c>
      <c r="C297" s="27" t="inlineStr">
        <is>
          <t>CustomerNotified</t>
        </is>
      </c>
      <c r="D297" s="41" t="n">
        <v>45545.27077428241</v>
      </c>
      <c r="E297" s="27" t="n">
        <v>-30.441965</v>
      </c>
      <c r="F297" s="27" t="n">
        <v>25.702231</v>
      </c>
      <c r="G297" s="27" t="inlineStr">
        <is>
          <t>Open</t>
        </is>
      </c>
      <c r="H297" s="27" t="inlineStr">
        <is>
          <t>ScannerApp</t>
        </is>
      </c>
      <c r="I297" s="27" t="inlineStr">
        <is>
          <t>09</t>
        </is>
      </c>
      <c r="J297" s="27" t="n">
        <v>2024</v>
      </c>
    </row>
    <row r="298" ht="15" customHeight="1" s="24">
      <c r="A298" s="27" t="n">
        <v>2792370</v>
      </c>
      <c r="B298" s="27" t="n">
        <v>377741</v>
      </c>
      <c r="C298" s="27" t="inlineStr">
        <is>
          <t>CollectedByCustomer</t>
        </is>
      </c>
      <c r="D298" s="41" t="n">
        <v>45546.11169059027</v>
      </c>
      <c r="E298" s="27" t="n">
        <v>-28.440548</v>
      </c>
      <c r="F298" s="27" t="n">
        <v>29.668336</v>
      </c>
      <c r="G298" s="27" t="inlineStr">
        <is>
          <t>Closed</t>
        </is>
      </c>
      <c r="H298" s="27" t="inlineStr">
        <is>
          <t>PartnerPOS</t>
        </is>
      </c>
      <c r="I298" s="27" t="inlineStr">
        <is>
          <t>09</t>
        </is>
      </c>
      <c r="J298" s="27" t="n">
        <v>2024</v>
      </c>
    </row>
    <row r="299" ht="15" customHeight="1" s="24">
      <c r="A299" s="27" t="n">
        <v>2697930</v>
      </c>
      <c r="B299" s="27" t="n">
        <v>400207</v>
      </c>
      <c r="C299" s="27" t="inlineStr">
        <is>
          <t>AtHub</t>
        </is>
      </c>
      <c r="D299" s="41" t="n">
        <v>45547.06197613426</v>
      </c>
      <c r="E299" s="27" t="n">
        <v>-24.833897</v>
      </c>
      <c r="F299" s="27" t="n">
        <v>32.481625</v>
      </c>
      <c r="G299" s="27" t="inlineStr">
        <is>
          <t>Open</t>
        </is>
      </c>
      <c r="H299" s="27" t="inlineStr">
        <is>
          <t>PartnerPOS</t>
        </is>
      </c>
      <c r="I299" s="27" t="inlineStr">
        <is>
          <t>09</t>
        </is>
      </c>
      <c r="J299" s="27" t="n">
        <v>2024</v>
      </c>
    </row>
    <row r="300" ht="15" customHeight="1" s="24">
      <c r="A300" s="27" t="n">
        <v>2787851</v>
      </c>
      <c r="B300" s="27" t="n">
        <v>402297</v>
      </c>
      <c r="C300" s="27" t="inlineStr">
        <is>
          <t>CustomerNotified</t>
        </is>
      </c>
      <c r="D300" s="41" t="n">
        <v>45547.35382990741</v>
      </c>
      <c r="E300" s="27" t="n">
        <v>-26.125872</v>
      </c>
      <c r="F300" s="27" t="n">
        <v>29.006897</v>
      </c>
      <c r="G300" s="27" t="inlineStr">
        <is>
          <t>Open</t>
        </is>
      </c>
      <c r="H300" s="27" t="inlineStr">
        <is>
          <t>PartnerPOS</t>
        </is>
      </c>
      <c r="I300" s="27" t="inlineStr">
        <is>
          <t>09</t>
        </is>
      </c>
      <c r="J300" s="27" t="n">
        <v>2024</v>
      </c>
    </row>
    <row r="301" ht="15" customHeight="1" s="24">
      <c r="A301" s="27" t="n">
        <v>2736399</v>
      </c>
      <c r="B301" s="27" t="n">
        <v>380050</v>
      </c>
      <c r="C301" s="27" t="inlineStr">
        <is>
          <t>ArrivedAtPickupPoint</t>
        </is>
      </c>
      <c r="D301" s="41" t="n">
        <v>45547.45564361111</v>
      </c>
      <c r="E301" s="27" t="n">
        <v>-25.56441</v>
      </c>
      <c r="F301" s="27" t="n">
        <v>28.0765</v>
      </c>
      <c r="G301" s="27" t="inlineStr">
        <is>
          <t>Open</t>
        </is>
      </c>
      <c r="H301" s="27" t="inlineStr">
        <is>
          <t>CourierGPS</t>
        </is>
      </c>
      <c r="I301" s="27" t="inlineStr">
        <is>
          <t>09</t>
        </is>
      </c>
      <c r="J301" s="27" t="n">
        <v>2024</v>
      </c>
    </row>
    <row r="302" ht="15" customHeight="1" s="24">
      <c r="A302" s="27" t="n">
        <v>2734357</v>
      </c>
      <c r="B302" s="27" t="n">
        <v>378003</v>
      </c>
      <c r="C302" s="27" t="inlineStr">
        <is>
          <t>ArrivedAtPickupPoint</t>
        </is>
      </c>
      <c r="D302" s="41" t="n">
        <v>45547.88123157407</v>
      </c>
      <c r="E302" s="27" t="n">
        <v>-25.28993</v>
      </c>
      <c r="F302" s="27" t="n">
        <v>28.143836</v>
      </c>
      <c r="G302" s="27" t="inlineStr">
        <is>
          <t>Open</t>
        </is>
      </c>
      <c r="H302" s="27" t="inlineStr">
        <is>
          <t>ScannerApp</t>
        </is>
      </c>
      <c r="I302" s="27" t="inlineStr">
        <is>
          <t>09</t>
        </is>
      </c>
      <c r="J302" s="27" t="n">
        <v>2024</v>
      </c>
    </row>
    <row r="303" ht="15" customHeight="1" s="24">
      <c r="A303" s="27" t="n">
        <v>2711230</v>
      </c>
      <c r="B303" s="27" t="n">
        <v>384186</v>
      </c>
      <c r="C303" s="27" t="inlineStr">
        <is>
          <t>InLinehaul</t>
        </is>
      </c>
      <c r="D303" s="41" t="n">
        <v>45551.24013943287</v>
      </c>
      <c r="E303" s="27" t="n">
        <v>-26.822454</v>
      </c>
      <c r="F303" s="27" t="n">
        <v>30.511285</v>
      </c>
      <c r="G303" s="27" t="inlineStr">
        <is>
          <t>Open</t>
        </is>
      </c>
      <c r="H303" s="27" t="inlineStr">
        <is>
          <t>ScannerApp</t>
        </is>
      </c>
      <c r="I303" s="27" t="inlineStr">
        <is>
          <t>09</t>
        </is>
      </c>
      <c r="J303" s="27" t="n">
        <v>2024</v>
      </c>
    </row>
    <row r="304" ht="15" customHeight="1" s="24">
      <c r="A304" s="27" t="n">
        <v>2670832</v>
      </c>
      <c r="B304" s="27" t="n">
        <v>402430</v>
      </c>
      <c r="C304" s="27" t="inlineStr">
        <is>
          <t>CollectedFromRetailer</t>
        </is>
      </c>
      <c r="D304" s="41" t="n">
        <v>45551.89400987268</v>
      </c>
      <c r="E304" s="27" t="n">
        <v>-28.521713</v>
      </c>
      <c r="F304" s="27" t="n">
        <v>30.373667</v>
      </c>
      <c r="G304" s="27" t="inlineStr">
        <is>
          <t>Open</t>
        </is>
      </c>
      <c r="H304" s="27" t="inlineStr">
        <is>
          <t>ScannerApp</t>
        </is>
      </c>
      <c r="I304" s="27" t="inlineStr">
        <is>
          <t>09</t>
        </is>
      </c>
      <c r="J304" s="27" t="n">
        <v>2024</v>
      </c>
    </row>
    <row r="305" ht="15" customHeight="1" s="24">
      <c r="A305" s="27" t="n">
        <v>2660432</v>
      </c>
      <c r="B305" s="27" t="n">
        <v>392030</v>
      </c>
      <c r="C305" s="27" t="inlineStr">
        <is>
          <t>CollectedFromRetailer</t>
        </is>
      </c>
      <c r="D305" s="41" t="n">
        <v>45558.32072952546</v>
      </c>
      <c r="E305" s="27" t="n">
        <v>-31.447716</v>
      </c>
      <c r="F305" s="27" t="n">
        <v>22.297769</v>
      </c>
      <c r="G305" s="27" t="inlineStr">
        <is>
          <t>Open</t>
        </is>
      </c>
      <c r="H305" s="27" t="inlineStr">
        <is>
          <t>ScannerApp</t>
        </is>
      </c>
      <c r="I305" s="27" t="inlineStr">
        <is>
          <t>09</t>
        </is>
      </c>
      <c r="J305" s="27" t="n">
        <v>2024</v>
      </c>
    </row>
    <row r="306" ht="15" customHeight="1" s="24">
      <c r="A306" s="27" t="n">
        <v>2816515</v>
      </c>
      <c r="B306" s="27" t="n">
        <v>403910</v>
      </c>
      <c r="C306" s="27" t="inlineStr">
        <is>
          <t>CollectedByCustomer</t>
        </is>
      </c>
      <c r="D306" s="41" t="n">
        <v>45558.55825054398</v>
      </c>
      <c r="E306" s="27" t="n">
        <v>-31.523403</v>
      </c>
      <c r="F306" s="27" t="n">
        <v>27.75486</v>
      </c>
      <c r="G306" s="27" t="inlineStr">
        <is>
          <t>Closed</t>
        </is>
      </c>
      <c r="H306" s="27" t="inlineStr">
        <is>
          <t>CourierGPS</t>
        </is>
      </c>
      <c r="I306" s="27" t="inlineStr">
        <is>
          <t>09</t>
        </is>
      </c>
      <c r="J306" s="27" t="n">
        <v>2024</v>
      </c>
    </row>
    <row r="307" ht="15" customHeight="1" s="24">
      <c r="A307" s="27" t="n">
        <v>2809188</v>
      </c>
      <c r="B307" s="27" t="n">
        <v>395983</v>
      </c>
      <c r="C307" s="27" t="inlineStr">
        <is>
          <t>CollectedByCustomer</t>
        </is>
      </c>
      <c r="D307" s="41" t="n">
        <v>45559.61139287037</v>
      </c>
      <c r="E307" s="27" t="n">
        <v>-23.884449</v>
      </c>
      <c r="F307" s="27" t="n">
        <v>27.634076</v>
      </c>
      <c r="G307" s="27" t="inlineStr">
        <is>
          <t>Closed</t>
        </is>
      </c>
      <c r="H307" s="27" t="inlineStr">
        <is>
          <t>PartnerPOS</t>
        </is>
      </c>
      <c r="I307" s="27" t="inlineStr">
        <is>
          <t>09</t>
        </is>
      </c>
      <c r="J307" s="27" t="n">
        <v>2024</v>
      </c>
    </row>
    <row r="308" ht="15" customHeight="1" s="24">
      <c r="A308" s="27" t="n">
        <v>2658800</v>
      </c>
      <c r="B308" s="27" t="n">
        <v>390398</v>
      </c>
      <c r="C308" s="27" t="inlineStr">
        <is>
          <t>CollectedFromRetailer</t>
        </is>
      </c>
      <c r="D308" s="41" t="n">
        <v>45561.92450429398</v>
      </c>
      <c r="E308" s="27" t="n">
        <v>-25.898925</v>
      </c>
      <c r="F308" s="27" t="n">
        <v>28.033913</v>
      </c>
      <c r="G308" s="27" t="inlineStr">
        <is>
          <t>Open</t>
        </is>
      </c>
      <c r="H308" s="27" t="inlineStr">
        <is>
          <t>ScannerApp</t>
        </is>
      </c>
      <c r="I308" s="27" t="inlineStr">
        <is>
          <t>09</t>
        </is>
      </c>
      <c r="J308" s="27" t="n">
        <v>2024</v>
      </c>
    </row>
    <row r="309" ht="15" customHeight="1" s="24">
      <c r="A309" s="27" t="n">
        <v>2662529</v>
      </c>
      <c r="B309" s="27" t="n">
        <v>394127</v>
      </c>
      <c r="C309" s="27" t="inlineStr">
        <is>
          <t>CollectedFromRetailer</t>
        </is>
      </c>
      <c r="D309" s="41" t="n">
        <v>45562.41436170139</v>
      </c>
      <c r="E309" s="27" t="n">
        <v>-29.79696</v>
      </c>
      <c r="F309" s="27" t="n">
        <v>29.379579</v>
      </c>
      <c r="G309" s="27" t="inlineStr">
        <is>
          <t>Open</t>
        </is>
      </c>
      <c r="H309" s="27" t="inlineStr">
        <is>
          <t>PartnerPOS</t>
        </is>
      </c>
      <c r="I309" s="27" t="inlineStr">
        <is>
          <t>09</t>
        </is>
      </c>
      <c r="J309" s="27" t="n">
        <v>2024</v>
      </c>
    </row>
    <row r="310" ht="15" customHeight="1" s="24">
      <c r="A310" s="27" t="n">
        <v>2632144</v>
      </c>
      <c r="B310" s="27" t="n">
        <v>393063</v>
      </c>
      <c r="C310" s="27" t="inlineStr">
        <is>
          <t>Created</t>
        </is>
      </c>
      <c r="D310" s="41" t="n">
        <v>45565.37455106482</v>
      </c>
      <c r="E310" s="27" t="n">
        <v>-29.779609</v>
      </c>
      <c r="F310" s="27" t="n">
        <v>30.938674</v>
      </c>
      <c r="G310" s="27" t="inlineStr">
        <is>
          <t>Open</t>
        </is>
      </c>
      <c r="H310" s="27" t="inlineStr">
        <is>
          <t>PartnerPOS</t>
        </is>
      </c>
      <c r="I310" s="27" t="inlineStr">
        <is>
          <t>09</t>
        </is>
      </c>
      <c r="J310" s="27" t="n">
        <v>2024</v>
      </c>
    </row>
    <row r="311" ht="15" customHeight="1" s="24">
      <c r="A311" s="27" t="n">
        <v>2643635</v>
      </c>
      <c r="B311" s="27" t="n">
        <v>375233</v>
      </c>
      <c r="C311" s="27" t="inlineStr">
        <is>
          <t>CollectedFromRetailer</t>
        </is>
      </c>
      <c r="D311" s="41" t="n">
        <v>45565.54426046296</v>
      </c>
      <c r="E311" s="27" t="n">
        <v>-24.278241</v>
      </c>
      <c r="F311" s="27" t="n">
        <v>29.580083</v>
      </c>
      <c r="G311" s="27" t="inlineStr">
        <is>
          <t>Open</t>
        </is>
      </c>
      <c r="H311" s="27" t="inlineStr">
        <is>
          <t>ScannerApp</t>
        </is>
      </c>
      <c r="I311" s="27" t="inlineStr">
        <is>
          <t>09</t>
        </is>
      </c>
      <c r="J311" s="27" t="n">
        <v>2024</v>
      </c>
    </row>
    <row r="312" ht="15" customHeight="1" s="24">
      <c r="A312" s="27" t="n">
        <v>2676238</v>
      </c>
      <c r="B312" s="27" t="n">
        <v>378515</v>
      </c>
      <c r="C312" s="27" t="inlineStr">
        <is>
          <t>AtHub</t>
        </is>
      </c>
      <c r="D312" s="41" t="n">
        <v>45566.47632854167</v>
      </c>
      <c r="E312" s="27" t="n">
        <v>-27.039389</v>
      </c>
      <c r="F312" s="27" t="n">
        <v>30.184764</v>
      </c>
      <c r="G312" s="27" t="inlineStr">
        <is>
          <t>Open</t>
        </is>
      </c>
      <c r="H312" s="27" t="inlineStr">
        <is>
          <t>ScannerApp</t>
        </is>
      </c>
      <c r="I312" s="27" t="inlineStr">
        <is>
          <t>09</t>
        </is>
      </c>
      <c r="J312" s="27" t="n">
        <v>2024</v>
      </c>
    </row>
    <row r="313" ht="15" customHeight="1" s="24">
      <c r="A313" s="27" t="n">
        <v>2798961</v>
      </c>
      <c r="B313" s="27" t="n">
        <v>384882</v>
      </c>
      <c r="C313" s="27" t="inlineStr">
        <is>
          <t>CollectedByCustomer</t>
        </is>
      </c>
      <c r="D313" s="41" t="n">
        <v>45567.98183548611</v>
      </c>
      <c r="E313" s="27" t="n">
        <v>-24.805962</v>
      </c>
      <c r="F313" s="27" t="n">
        <v>30.117113</v>
      </c>
      <c r="G313" s="27" t="inlineStr">
        <is>
          <t>Closed</t>
        </is>
      </c>
      <c r="H313" s="27" t="inlineStr">
        <is>
          <t>ScannerApp</t>
        </is>
      </c>
      <c r="I313" s="27" t="inlineStr">
        <is>
          <t>09</t>
        </is>
      </c>
      <c r="J313" s="27" t="n">
        <v>2024</v>
      </c>
    </row>
    <row r="314" ht="15" customHeight="1" s="24">
      <c r="A314" s="27" t="n">
        <v>2965076</v>
      </c>
      <c r="B314" s="27" t="n">
        <v>431403</v>
      </c>
      <c r="C314" s="27" t="inlineStr">
        <is>
          <t>ArrivedAtPickupPoint</t>
        </is>
      </c>
      <c r="D314" s="41" t="n">
        <v>45568.44597730324</v>
      </c>
      <c r="E314" s="27" t="n">
        <v>-26.322449</v>
      </c>
      <c r="F314" s="27" t="n">
        <v>28.754597</v>
      </c>
      <c r="G314" s="27" t="inlineStr">
        <is>
          <t>Open</t>
        </is>
      </c>
      <c r="H314" s="27" t="inlineStr">
        <is>
          <t>API</t>
        </is>
      </c>
      <c r="I314" s="27" t="inlineStr">
        <is>
          <t>10</t>
        </is>
      </c>
      <c r="J314" s="27" t="n">
        <v>2024</v>
      </c>
    </row>
    <row r="315" ht="15" customHeight="1" s="24">
      <c r="A315" s="27" t="n">
        <v>2790951</v>
      </c>
      <c r="B315" s="27" t="n">
        <v>376203</v>
      </c>
      <c r="C315" s="27" t="inlineStr">
        <is>
          <t>CollectedByCustomer</t>
        </is>
      </c>
      <c r="D315" s="41" t="n">
        <v>45568.7016203125</v>
      </c>
      <c r="E315" s="27" t="n">
        <v>-29.655251</v>
      </c>
      <c r="F315" s="27" t="n">
        <v>21.599819</v>
      </c>
      <c r="G315" s="27" t="inlineStr">
        <is>
          <t>Closed</t>
        </is>
      </c>
      <c r="H315" s="27" t="inlineStr">
        <is>
          <t>PartnerPOS</t>
        </is>
      </c>
      <c r="I315" s="27" t="inlineStr">
        <is>
          <t>09</t>
        </is>
      </c>
      <c r="J315" s="27" t="n">
        <v>2024</v>
      </c>
    </row>
    <row r="316" ht="15" customHeight="1" s="24">
      <c r="A316" s="27" t="n">
        <v>2950324</v>
      </c>
      <c r="B316" s="27" t="n">
        <v>416621</v>
      </c>
      <c r="C316" s="27" t="inlineStr">
        <is>
          <t>ArrivedAtPickupPoint</t>
        </is>
      </c>
      <c r="D316" s="41" t="n">
        <v>45569.7997759375</v>
      </c>
      <c r="E316" s="27" t="n">
        <v>-26.663377</v>
      </c>
      <c r="F316" s="27" t="n">
        <v>28.261471</v>
      </c>
      <c r="G316" s="27" t="inlineStr">
        <is>
          <t>Open</t>
        </is>
      </c>
      <c r="H316" s="27" t="inlineStr">
        <is>
          <t>ScannerApp</t>
        </is>
      </c>
      <c r="I316" s="27" t="inlineStr">
        <is>
          <t>10</t>
        </is>
      </c>
      <c r="J316" s="27" t="n">
        <v>2024</v>
      </c>
    </row>
    <row r="317" ht="15" customHeight="1" s="24">
      <c r="A317" s="27" t="n">
        <v>2946938</v>
      </c>
      <c r="B317" s="27" t="n">
        <v>413230</v>
      </c>
      <c r="C317" s="27" t="inlineStr">
        <is>
          <t>ArrivedAtPickupPoint</t>
        </is>
      </c>
      <c r="D317" s="41" t="n">
        <v>45570.38345443287</v>
      </c>
      <c r="E317" s="27" t="n">
        <v>-25.446462</v>
      </c>
      <c r="F317" s="27" t="n">
        <v>30.52438</v>
      </c>
      <c r="G317" s="27" t="inlineStr">
        <is>
          <t>Open</t>
        </is>
      </c>
      <c r="H317" s="27" t="inlineStr">
        <is>
          <t>ScannerApp</t>
        </is>
      </c>
      <c r="I317" s="27" t="inlineStr">
        <is>
          <t>10</t>
        </is>
      </c>
      <c r="J317" s="27" t="n">
        <v>2024</v>
      </c>
    </row>
    <row r="318" ht="15" customHeight="1" s="24">
      <c r="A318" s="27" t="n">
        <v>2929231</v>
      </c>
      <c r="B318" s="27" t="n">
        <v>425371</v>
      </c>
      <c r="C318" s="27" t="inlineStr">
        <is>
          <t>InLinehaul</t>
        </is>
      </c>
      <c r="D318" s="41" t="n">
        <v>45572.05419125</v>
      </c>
      <c r="E318" s="27" t="n">
        <v>-25.488431</v>
      </c>
      <c r="F318" s="27" t="n">
        <v>25.386409</v>
      </c>
      <c r="G318" s="27" t="inlineStr">
        <is>
          <t>Open</t>
        </is>
      </c>
      <c r="H318" s="27" t="inlineStr">
        <is>
          <t>ScannerApp</t>
        </is>
      </c>
      <c r="I318" s="27" t="inlineStr">
        <is>
          <t>10</t>
        </is>
      </c>
      <c r="J318" s="27" t="n">
        <v>2024</v>
      </c>
    </row>
    <row r="319" ht="15" customHeight="1" s="24">
      <c r="A319" s="27" t="n">
        <v>2859834</v>
      </c>
      <c r="B319" s="27" t="n">
        <v>415702</v>
      </c>
      <c r="C319" s="27" t="inlineStr">
        <is>
          <t>CollectedFromRetailer</t>
        </is>
      </c>
      <c r="D319" s="41" t="n">
        <v>45574.39149799768</v>
      </c>
      <c r="E319" s="27" t="n">
        <v>-22.099473</v>
      </c>
      <c r="F319" s="27" t="n">
        <v>31.007519</v>
      </c>
      <c r="G319" s="27" t="inlineStr">
        <is>
          <t>Open</t>
        </is>
      </c>
      <c r="H319" s="27" t="inlineStr">
        <is>
          <t>PartnerPOS</t>
        </is>
      </c>
      <c r="I319" s="27" t="inlineStr">
        <is>
          <t>10</t>
        </is>
      </c>
      <c r="J319" s="27" t="n">
        <v>2024</v>
      </c>
    </row>
    <row r="320" ht="15" customHeight="1" s="24">
      <c r="A320" s="27" t="n">
        <v>2826222</v>
      </c>
      <c r="B320" s="27" t="n">
        <v>411954</v>
      </c>
      <c r="C320" s="27" t="inlineStr">
        <is>
          <t>Created</t>
        </is>
      </c>
      <c r="D320" s="41" t="n">
        <v>45574.39666792824</v>
      </c>
      <c r="E320" s="27" t="n">
        <v>-31.544402</v>
      </c>
      <c r="F320" s="27" t="n">
        <v>26.775036</v>
      </c>
      <c r="G320" s="27" t="inlineStr">
        <is>
          <t>Open</t>
        </is>
      </c>
      <c r="H320" s="27" t="inlineStr">
        <is>
          <t>ScannerApp</t>
        </is>
      </c>
      <c r="I320" s="27" t="inlineStr">
        <is>
          <t>10</t>
        </is>
      </c>
      <c r="J320" s="27" t="n">
        <v>2024</v>
      </c>
    </row>
    <row r="321" ht="15" customHeight="1" s="24">
      <c r="A321" s="27" t="n">
        <v>2896743</v>
      </c>
      <c r="B321" s="27" t="n">
        <v>422747</v>
      </c>
      <c r="C321" s="27" t="inlineStr">
        <is>
          <t>AtHub</t>
        </is>
      </c>
      <c r="D321" s="41" t="n">
        <v>45575.0202221412</v>
      </c>
      <c r="E321" s="27" t="n">
        <v>-30.720611</v>
      </c>
      <c r="F321" s="27" t="n">
        <v>28.297736</v>
      </c>
      <c r="G321" s="27" t="inlineStr">
        <is>
          <t>Open</t>
        </is>
      </c>
      <c r="H321" s="27" t="inlineStr">
        <is>
          <t>CourierGPS</t>
        </is>
      </c>
      <c r="I321" s="27" t="inlineStr">
        <is>
          <t>10</t>
        </is>
      </c>
      <c r="J321" s="27" t="n">
        <v>2024</v>
      </c>
    </row>
    <row r="322" ht="15" customHeight="1" s="24">
      <c r="A322" s="27" t="n">
        <v>2838093</v>
      </c>
      <c r="B322" s="27" t="n">
        <v>423825</v>
      </c>
      <c r="C322" s="27" t="inlineStr">
        <is>
          <t>Created</t>
        </is>
      </c>
      <c r="D322" s="41" t="n">
        <v>45575.24799592593</v>
      </c>
      <c r="E322" s="27" t="n">
        <v>-35.535269</v>
      </c>
      <c r="F322" s="27" t="n">
        <v>25.590926</v>
      </c>
      <c r="G322" s="27" t="inlineStr">
        <is>
          <t>Open</t>
        </is>
      </c>
      <c r="H322" s="27" t="inlineStr">
        <is>
          <t>ScannerApp</t>
        </is>
      </c>
      <c r="I322" s="27" t="inlineStr">
        <is>
          <t>10</t>
        </is>
      </c>
      <c r="J322" s="27" t="n">
        <v>2024</v>
      </c>
    </row>
    <row r="323" ht="15" customHeight="1" s="24">
      <c r="A323" s="27" t="n">
        <v>2960452</v>
      </c>
      <c r="B323" s="27" t="n">
        <v>426771</v>
      </c>
      <c r="C323" s="27" t="inlineStr">
        <is>
          <t>ArrivedAtPickupPoint</t>
        </is>
      </c>
      <c r="D323" s="41" t="n">
        <v>45577.02604777778</v>
      </c>
      <c r="E323" s="27" t="n">
        <v>-29.362442</v>
      </c>
      <c r="F323" s="27" t="n">
        <v>31.387</v>
      </c>
      <c r="G323" s="27" t="inlineStr">
        <is>
          <t>Open</t>
        </is>
      </c>
      <c r="H323" s="27" t="inlineStr">
        <is>
          <t>API</t>
        </is>
      </c>
      <c r="I323" s="27" t="inlineStr">
        <is>
          <t>10</t>
        </is>
      </c>
      <c r="J323" s="27" t="n">
        <v>2024</v>
      </c>
    </row>
    <row r="324" ht="15" customHeight="1" s="24">
      <c r="A324" s="27" t="n">
        <v>2895164</v>
      </c>
      <c r="B324" s="27" t="n">
        <v>421168</v>
      </c>
      <c r="C324" s="27" t="inlineStr">
        <is>
          <t>AtHub</t>
        </is>
      </c>
      <c r="D324" s="41" t="n">
        <v>45577.17548377315</v>
      </c>
      <c r="E324" s="27" t="n">
        <v>-28.182798</v>
      </c>
      <c r="F324" s="27" t="n">
        <v>27.923695</v>
      </c>
      <c r="G324" s="27" t="inlineStr">
        <is>
          <t>Open</t>
        </is>
      </c>
      <c r="H324" s="27" t="inlineStr">
        <is>
          <t>ScannerApp</t>
        </is>
      </c>
      <c r="I324" s="27" t="inlineStr">
        <is>
          <t>10</t>
        </is>
      </c>
      <c r="J324" s="27" t="n">
        <v>2024</v>
      </c>
    </row>
    <row r="325" ht="15" customHeight="1" s="24">
      <c r="A325" s="27" t="n">
        <v>2988332</v>
      </c>
      <c r="B325" s="27" t="n">
        <v>424838</v>
      </c>
      <c r="C325" s="27" t="inlineStr">
        <is>
          <t>CustomerNotified</t>
        </is>
      </c>
      <c r="D325" s="41" t="n">
        <v>45577.99872028935</v>
      </c>
      <c r="E325" s="27" t="n">
        <v>-25.296485</v>
      </c>
      <c r="F325" s="27" t="n">
        <v>27.865892</v>
      </c>
      <c r="G325" s="27" t="inlineStr">
        <is>
          <t>Open</t>
        </is>
      </c>
      <c r="H325" s="27" t="inlineStr">
        <is>
          <t>ScannerApp</t>
        </is>
      </c>
      <c r="I325" s="27" t="inlineStr">
        <is>
          <t>10</t>
        </is>
      </c>
      <c r="J325" s="27" t="n">
        <v>2024</v>
      </c>
    </row>
    <row r="326" ht="15" customHeight="1" s="24">
      <c r="A326" s="27" t="n">
        <v>2852197</v>
      </c>
      <c r="B326" s="27" t="n">
        <v>408065</v>
      </c>
      <c r="C326" s="27" t="inlineStr">
        <is>
          <t>CollectedFromRetailer</t>
        </is>
      </c>
      <c r="D326" s="41" t="n">
        <v>45580.91251298611</v>
      </c>
      <c r="E326" s="27" t="n">
        <v>-33.623109</v>
      </c>
      <c r="F326" s="27" t="n">
        <v>21.647181</v>
      </c>
      <c r="G326" s="27" t="inlineStr">
        <is>
          <t>Open</t>
        </is>
      </c>
      <c r="H326" s="27" t="inlineStr">
        <is>
          <t>PartnerPOS</t>
        </is>
      </c>
      <c r="I326" s="27" t="inlineStr">
        <is>
          <t>10</t>
        </is>
      </c>
      <c r="J326" s="27" t="n">
        <v>2024</v>
      </c>
    </row>
    <row r="327" ht="15" customHeight="1" s="24">
      <c r="A327" s="27" t="n">
        <v>2963294</v>
      </c>
      <c r="B327" s="27" t="n">
        <v>429619</v>
      </c>
      <c r="C327" s="27" t="inlineStr">
        <is>
          <t>ArrivedAtPickupPoint</t>
        </is>
      </c>
      <c r="D327" s="41" t="n">
        <v>45582.69858092593</v>
      </c>
      <c r="E327" s="27" t="n">
        <v>-26.325297</v>
      </c>
      <c r="F327" s="27" t="n">
        <v>28.410756</v>
      </c>
      <c r="G327" s="27" t="inlineStr">
        <is>
          <t>Open</t>
        </is>
      </c>
      <c r="H327" s="27" t="inlineStr">
        <is>
          <t>ScannerApp</t>
        </is>
      </c>
      <c r="I327" s="27" t="inlineStr">
        <is>
          <t>10</t>
        </is>
      </c>
      <c r="J327" s="27" t="n">
        <v>2024</v>
      </c>
    </row>
    <row r="328" ht="15" customHeight="1" s="24">
      <c r="A328" s="27" t="n">
        <v>2987914</v>
      </c>
      <c r="B328" s="27" t="n">
        <v>424419</v>
      </c>
      <c r="C328" s="27" t="inlineStr">
        <is>
          <t>CustomerNotified</t>
        </is>
      </c>
      <c r="D328" s="41" t="n">
        <v>45583.352769375</v>
      </c>
      <c r="E328" s="27" t="n">
        <v>-29.811978</v>
      </c>
      <c r="F328" s="27" t="n">
        <v>30.094529</v>
      </c>
      <c r="G328" s="27" t="inlineStr">
        <is>
          <t>Open</t>
        </is>
      </c>
      <c r="H328" s="27" t="inlineStr">
        <is>
          <t>ScannerApp</t>
        </is>
      </c>
      <c r="I328" s="27" t="inlineStr">
        <is>
          <t>10</t>
        </is>
      </c>
      <c r="J328" s="27" t="n">
        <v>2024</v>
      </c>
    </row>
    <row r="329" ht="15" customHeight="1" s="24">
      <c r="A329" s="27" t="n">
        <v>3014432</v>
      </c>
      <c r="B329" s="27" t="n">
        <v>422543</v>
      </c>
      <c r="C329" s="27" t="inlineStr">
        <is>
          <t>CollectedByCustomer</t>
        </is>
      </c>
      <c r="D329" s="41" t="n">
        <v>45583.58487202547</v>
      </c>
      <c r="E329" s="27" t="n">
        <v>-24.707492</v>
      </c>
      <c r="F329" s="27" t="n">
        <v>28.491836</v>
      </c>
      <c r="G329" s="27" t="inlineStr">
        <is>
          <t>Closed</t>
        </is>
      </c>
      <c r="H329" s="27" t="inlineStr">
        <is>
          <t>PartnerPOS</t>
        </is>
      </c>
      <c r="I329" s="27" t="inlineStr">
        <is>
          <t>10</t>
        </is>
      </c>
      <c r="J329" s="27" t="n">
        <v>2024</v>
      </c>
    </row>
    <row r="330" ht="15" customHeight="1" s="24">
      <c r="A330" s="27" t="n">
        <v>2885757</v>
      </c>
      <c r="B330" s="27" t="n">
        <v>411761</v>
      </c>
      <c r="C330" s="27" t="inlineStr">
        <is>
          <t>AtHub</t>
        </is>
      </c>
      <c r="D330" s="41" t="n">
        <v>45583.91683504629</v>
      </c>
      <c r="E330" s="27" t="n">
        <v>-25.047188</v>
      </c>
      <c r="F330" s="27" t="n">
        <v>26.346309</v>
      </c>
      <c r="G330" s="27" t="inlineStr">
        <is>
          <t>Open</t>
        </is>
      </c>
      <c r="H330" s="27" t="inlineStr">
        <is>
          <t>CourierGPS</t>
        </is>
      </c>
      <c r="I330" s="27" t="inlineStr">
        <is>
          <t>10</t>
        </is>
      </c>
      <c r="J330" s="27" t="n">
        <v>2024</v>
      </c>
    </row>
    <row r="331" ht="15" customHeight="1" s="24">
      <c r="A331" s="27" t="n">
        <v>2911146</v>
      </c>
      <c r="B331" s="27" t="n">
        <v>407286</v>
      </c>
      <c r="C331" s="27" t="inlineStr">
        <is>
          <t>InLinehaul</t>
        </is>
      </c>
      <c r="D331" s="41" t="n">
        <v>45584.27469945602</v>
      </c>
      <c r="E331" s="27" t="n">
        <v>-28.949464</v>
      </c>
      <c r="F331" s="27" t="n">
        <v>28.614026</v>
      </c>
      <c r="G331" s="27" t="inlineStr">
        <is>
          <t>Open</t>
        </is>
      </c>
      <c r="H331" s="27" t="inlineStr">
        <is>
          <t>API</t>
        </is>
      </c>
      <c r="I331" s="27" t="inlineStr">
        <is>
          <t>10</t>
        </is>
      </c>
      <c r="J331" s="27" t="n">
        <v>2024</v>
      </c>
    </row>
    <row r="332" ht="15" customHeight="1" s="24">
      <c r="A332" s="27" t="n">
        <v>2837481</v>
      </c>
      <c r="B332" s="27" t="n">
        <v>423213</v>
      </c>
      <c r="C332" s="27" t="inlineStr">
        <is>
          <t>Created</t>
        </is>
      </c>
      <c r="D332" s="41" t="n">
        <v>45584.38846981482</v>
      </c>
      <c r="E332" s="27" t="n">
        <v>-32.81636</v>
      </c>
      <c r="F332" s="27" t="n">
        <v>20.420111</v>
      </c>
      <c r="G332" s="27" t="inlineStr">
        <is>
          <t>Open</t>
        </is>
      </c>
      <c r="H332" s="27" t="inlineStr">
        <is>
          <t>CourierGPS</t>
        </is>
      </c>
      <c r="I332" s="27" t="inlineStr">
        <is>
          <t>10</t>
        </is>
      </c>
      <c r="J332" s="27" t="n">
        <v>2024</v>
      </c>
    </row>
    <row r="333" ht="15" customHeight="1" s="24">
      <c r="A333" s="27" t="n">
        <v>2895246</v>
      </c>
      <c r="B333" s="27" t="n">
        <v>421250</v>
      </c>
      <c r="C333" s="27" t="inlineStr">
        <is>
          <t>AtHub</t>
        </is>
      </c>
      <c r="D333" s="41" t="n">
        <v>45586.37302239583</v>
      </c>
      <c r="E333" s="27" t="n">
        <v>-25.029695</v>
      </c>
      <c r="F333" s="27" t="n">
        <v>28.768083</v>
      </c>
      <c r="G333" s="27" t="inlineStr">
        <is>
          <t>Open</t>
        </is>
      </c>
      <c r="H333" s="27" t="inlineStr">
        <is>
          <t>PartnerPOS</t>
        </is>
      </c>
      <c r="I333" s="27" t="inlineStr">
        <is>
          <t>10</t>
        </is>
      </c>
      <c r="J333" s="27" t="n">
        <v>2024</v>
      </c>
    </row>
    <row r="334" ht="15" customHeight="1" s="24">
      <c r="A334" s="27" t="n">
        <v>2997231</v>
      </c>
      <c r="B334" s="27" t="n">
        <v>433751</v>
      </c>
      <c r="C334" s="27" t="inlineStr">
        <is>
          <t>CustomerNotified</t>
        </is>
      </c>
      <c r="D334" s="41" t="n">
        <v>45589.56458943287</v>
      </c>
      <c r="E334" s="27" t="n">
        <v>-29.858799</v>
      </c>
      <c r="F334" s="27" t="n">
        <v>29.570951</v>
      </c>
      <c r="G334" s="27" t="inlineStr">
        <is>
          <t>Open</t>
        </is>
      </c>
      <c r="H334" s="27" t="inlineStr">
        <is>
          <t>PartnerPOS</t>
        </is>
      </c>
      <c r="I334" s="27" t="inlineStr">
        <is>
          <t>10</t>
        </is>
      </c>
      <c r="J334" s="27" t="n">
        <v>2024</v>
      </c>
    </row>
    <row r="335" ht="15" customHeight="1" s="24">
      <c r="A335" s="27" t="n">
        <v>2877646</v>
      </c>
      <c r="B335" s="27" t="n">
        <v>433514</v>
      </c>
      <c r="C335" s="27" t="inlineStr">
        <is>
          <t>CollectedFromRetailer</t>
        </is>
      </c>
      <c r="D335" s="41" t="n">
        <v>45590.12880953704</v>
      </c>
      <c r="E335" s="27" t="n">
        <v>-24.959327</v>
      </c>
      <c r="F335" s="27" t="n">
        <v>29.319686</v>
      </c>
      <c r="G335" s="27" t="inlineStr">
        <is>
          <t>Open</t>
        </is>
      </c>
      <c r="H335" s="27" t="inlineStr">
        <is>
          <t>PartnerPOS</t>
        </is>
      </c>
      <c r="I335" s="27" t="inlineStr">
        <is>
          <t>10</t>
        </is>
      </c>
      <c r="J335" s="27" t="n">
        <v>2024</v>
      </c>
    </row>
    <row r="336" ht="15" customHeight="1" s="24">
      <c r="A336" s="27" t="n">
        <v>3006512</v>
      </c>
      <c r="B336" s="27" t="n">
        <v>413947</v>
      </c>
      <c r="C336" s="27" t="inlineStr">
        <is>
          <t>CollectedByCustomer</t>
        </is>
      </c>
      <c r="D336" s="41" t="n">
        <v>45590.34177503472</v>
      </c>
      <c r="E336" s="27" t="n">
        <v>-25.407954</v>
      </c>
      <c r="F336" s="27" t="n">
        <v>28.678647</v>
      </c>
      <c r="G336" s="27" t="inlineStr">
        <is>
          <t>Closed</t>
        </is>
      </c>
      <c r="H336" s="27" t="inlineStr">
        <is>
          <t>ScannerApp</t>
        </is>
      </c>
      <c r="I336" s="27" t="inlineStr">
        <is>
          <t>10</t>
        </is>
      </c>
      <c r="J336" s="27" t="n">
        <v>2024</v>
      </c>
    </row>
    <row r="337" ht="15" customHeight="1" s="24">
      <c r="A337" s="27" t="n">
        <v>2856439</v>
      </c>
      <c r="B337" s="27" t="n">
        <v>412307</v>
      </c>
      <c r="C337" s="27" t="inlineStr">
        <is>
          <t>CollectedFromRetailer</t>
        </is>
      </c>
      <c r="D337" s="41" t="n">
        <v>45591.83842960648</v>
      </c>
      <c r="E337" s="27" t="n">
        <v>-25.991991</v>
      </c>
      <c r="F337" s="27" t="n">
        <v>30.028597</v>
      </c>
      <c r="G337" s="27" t="inlineStr">
        <is>
          <t>Open</t>
        </is>
      </c>
      <c r="H337" s="27" t="inlineStr">
        <is>
          <t>ScannerApp</t>
        </is>
      </c>
      <c r="I337" s="27" t="inlineStr">
        <is>
          <t>10</t>
        </is>
      </c>
      <c r="J337" s="27" t="n">
        <v>2024</v>
      </c>
    </row>
    <row r="338" ht="15" customHeight="1" s="24">
      <c r="A338" s="27" t="n">
        <v>2950776</v>
      </c>
      <c r="B338" s="27" t="n">
        <v>417074</v>
      </c>
      <c r="C338" s="27" t="inlineStr">
        <is>
          <t>ArrivedAtPickupPoint</t>
        </is>
      </c>
      <c r="D338" s="41" t="n">
        <v>45595.01154763889</v>
      </c>
      <c r="E338" s="27" t="n">
        <v>-25.453423</v>
      </c>
      <c r="F338" s="27" t="n">
        <v>29.027041</v>
      </c>
      <c r="G338" s="27" t="inlineStr">
        <is>
          <t>Open</t>
        </is>
      </c>
      <c r="H338" s="27" t="inlineStr">
        <is>
          <t>ScannerApp</t>
        </is>
      </c>
      <c r="I338" s="27" t="inlineStr">
        <is>
          <t>10</t>
        </is>
      </c>
      <c r="J338" s="27" t="n">
        <v>2024</v>
      </c>
    </row>
    <row r="339" ht="15" customHeight="1" s="24">
      <c r="A339" s="27" t="n">
        <v>2899599</v>
      </c>
      <c r="B339" s="27" t="n">
        <v>425603</v>
      </c>
      <c r="C339" s="27" t="inlineStr">
        <is>
          <t>AtHub</t>
        </is>
      </c>
      <c r="D339" s="41" t="n">
        <v>45595.94741488426</v>
      </c>
      <c r="E339" s="27" t="n">
        <v>-27.168467</v>
      </c>
      <c r="F339" s="27" t="n">
        <v>29.501682</v>
      </c>
      <c r="G339" s="27" t="inlineStr">
        <is>
          <t>Open</t>
        </is>
      </c>
      <c r="H339" s="27" t="inlineStr">
        <is>
          <t>CourierGPS</t>
        </is>
      </c>
      <c r="I339" s="27" t="inlineStr">
        <is>
          <t>10</t>
        </is>
      </c>
      <c r="J339" s="27" t="n">
        <v>2024</v>
      </c>
    </row>
    <row r="340" ht="15" customHeight="1" s="24">
      <c r="A340" s="27" t="n">
        <v>2888746</v>
      </c>
      <c r="B340" s="27" t="n">
        <v>414750</v>
      </c>
      <c r="C340" s="27" t="inlineStr">
        <is>
          <t>AtHub</t>
        </is>
      </c>
      <c r="D340" s="41" t="n">
        <v>45596.13154085648</v>
      </c>
      <c r="E340" s="27" t="n">
        <v>-25.801177</v>
      </c>
      <c r="F340" s="27" t="n">
        <v>29.552385</v>
      </c>
      <c r="G340" s="27" t="inlineStr">
        <is>
          <t>Open</t>
        </is>
      </c>
      <c r="H340" s="27" t="inlineStr">
        <is>
          <t>CourierGPS</t>
        </is>
      </c>
      <c r="I340" s="27" t="inlineStr">
        <is>
          <t>10</t>
        </is>
      </c>
      <c r="J340" s="27" t="n">
        <v>2024</v>
      </c>
    </row>
    <row r="341" ht="15" customHeight="1" s="24">
      <c r="A341" s="27" t="n">
        <v>3043353</v>
      </c>
      <c r="B341" s="27" t="n">
        <v>450587</v>
      </c>
      <c r="C341" s="27" t="inlineStr">
        <is>
          <t>Created</t>
        </is>
      </c>
      <c r="D341" s="41" t="n">
        <v>45599.18867052083</v>
      </c>
      <c r="E341" s="27" t="n">
        <v>-26.633479</v>
      </c>
      <c r="F341" s="27" t="n">
        <v>24.94269</v>
      </c>
      <c r="G341" s="27" t="inlineStr">
        <is>
          <t>Open</t>
        </is>
      </c>
      <c r="H341" s="27" t="inlineStr">
        <is>
          <t>ScannerApp</t>
        </is>
      </c>
      <c r="I341" s="27" t="inlineStr">
        <is>
          <t>11</t>
        </is>
      </c>
      <c r="J341" s="27" t="n">
        <v>2024</v>
      </c>
    </row>
    <row r="342" ht="15" customHeight="1" s="24">
      <c r="A342" s="27" t="n">
        <v>3027412</v>
      </c>
      <c r="B342" s="27" t="n">
        <v>434646</v>
      </c>
      <c r="C342" s="27" t="inlineStr">
        <is>
          <t>Created</t>
        </is>
      </c>
      <c r="D342" s="41" t="n">
        <v>45599.20500068287</v>
      </c>
      <c r="E342" s="27" t="n">
        <v>-29.348766</v>
      </c>
      <c r="F342" s="27" t="n">
        <v>26.4461</v>
      </c>
      <c r="G342" s="27" t="inlineStr">
        <is>
          <t>Open</t>
        </is>
      </c>
      <c r="H342" s="27" t="inlineStr">
        <is>
          <t>PartnerPOS</t>
        </is>
      </c>
      <c r="I342" s="27" t="inlineStr">
        <is>
          <t>11</t>
        </is>
      </c>
      <c r="J342" s="27" t="n">
        <v>2024</v>
      </c>
    </row>
    <row r="343" ht="15" customHeight="1" s="24">
      <c r="A343" s="27" t="n">
        <v>3048102</v>
      </c>
      <c r="B343" s="27" t="n">
        <v>455336</v>
      </c>
      <c r="C343" s="27" t="inlineStr">
        <is>
          <t>Created</t>
        </is>
      </c>
      <c r="D343" s="41" t="n">
        <v>45601.80351638889</v>
      </c>
      <c r="E343" s="27" t="n">
        <v>-32.655082</v>
      </c>
      <c r="F343" s="27" t="n">
        <v>28.525934</v>
      </c>
      <c r="G343" s="27" t="inlineStr">
        <is>
          <t>Open</t>
        </is>
      </c>
      <c r="H343" s="27" t="inlineStr">
        <is>
          <t>API</t>
        </is>
      </c>
      <c r="I343" s="27" t="inlineStr">
        <is>
          <t>11</t>
        </is>
      </c>
      <c r="J343" s="27" t="n">
        <v>2024</v>
      </c>
    </row>
    <row r="344" ht="15" customHeight="1" s="24">
      <c r="A344" s="27" t="n">
        <v>3131600</v>
      </c>
      <c r="B344" s="27" t="n">
        <v>482580</v>
      </c>
      <c r="C344" s="27" t="inlineStr">
        <is>
          <t>CollectedFromRetailer</t>
        </is>
      </c>
      <c r="D344" s="41" t="n">
        <v>45601.95561806713</v>
      </c>
      <c r="E344" s="27" t="n">
        <v>-35.17645</v>
      </c>
      <c r="F344" s="27" t="n">
        <v>26.942534</v>
      </c>
      <c r="G344" s="27" t="inlineStr">
        <is>
          <t>Open</t>
        </is>
      </c>
      <c r="H344" s="27" t="inlineStr">
        <is>
          <t>CourierGPS</t>
        </is>
      </c>
      <c r="I344" s="27" t="inlineStr">
        <is>
          <t>11</t>
        </is>
      </c>
      <c r="J344" s="27" t="n">
        <v>2024</v>
      </c>
    </row>
    <row r="345" ht="15" customHeight="1" s="24">
      <c r="A345" s="27" t="n">
        <v>3160312</v>
      </c>
      <c r="B345" s="27" t="n">
        <v>455038</v>
      </c>
      <c r="C345" s="27" t="inlineStr">
        <is>
          <t>AtHub</t>
        </is>
      </c>
      <c r="D345" s="41" t="n">
        <v>45602.01109672453</v>
      </c>
      <c r="E345" s="27" t="n">
        <v>-27.836025</v>
      </c>
      <c r="F345" s="27" t="n">
        <v>25.255649</v>
      </c>
      <c r="G345" s="27" t="inlineStr">
        <is>
          <t>Open</t>
        </is>
      </c>
      <c r="H345" s="27" t="inlineStr">
        <is>
          <t>ScannerApp</t>
        </is>
      </c>
      <c r="I345" s="27" t="inlineStr">
        <is>
          <t>11</t>
        </is>
      </c>
      <c r="J345" s="27" t="n">
        <v>2024</v>
      </c>
    </row>
    <row r="346" ht="15" customHeight="1" s="24">
      <c r="A346" s="27" t="n">
        <v>3235582</v>
      </c>
      <c r="B346" s="27" t="n">
        <v>474054</v>
      </c>
      <c r="C346" s="27" t="inlineStr">
        <is>
          <t>InLinehaul</t>
        </is>
      </c>
      <c r="D346" s="41" t="n">
        <v>45602.30613858796</v>
      </c>
      <c r="E346" s="27" t="n">
        <v>-33.730471</v>
      </c>
      <c r="F346" s="27" t="n">
        <v>17.954721</v>
      </c>
      <c r="G346" s="27" t="inlineStr">
        <is>
          <t>Open</t>
        </is>
      </c>
      <c r="H346" s="27" t="inlineStr">
        <is>
          <t>PartnerPOS</t>
        </is>
      </c>
      <c r="I346" s="27" t="inlineStr">
        <is>
          <t>11</t>
        </is>
      </c>
      <c r="J346" s="27" t="n">
        <v>2024</v>
      </c>
    </row>
    <row r="347" ht="15" customHeight="1" s="24">
      <c r="A347" s="27" t="n">
        <v>3398329</v>
      </c>
      <c r="B347" s="27" t="n">
        <v>471143</v>
      </c>
      <c r="C347" s="27" t="inlineStr">
        <is>
          <t>CollectedByCustomer</t>
        </is>
      </c>
      <c r="D347" s="41" t="n">
        <v>45602.95800554398</v>
      </c>
      <c r="E347" s="27" t="n">
        <v>-34.582767</v>
      </c>
      <c r="F347" s="27" t="n">
        <v>20.079165</v>
      </c>
      <c r="G347" s="27" t="inlineStr">
        <is>
          <t>Closed</t>
        </is>
      </c>
      <c r="H347" s="27" t="inlineStr">
        <is>
          <t>API</t>
        </is>
      </c>
      <c r="I347" s="27" t="inlineStr">
        <is>
          <t>11</t>
        </is>
      </c>
      <c r="J347" s="27" t="n">
        <v>2024</v>
      </c>
    </row>
    <row r="348" ht="15" customHeight="1" s="24">
      <c r="A348" s="27" t="n">
        <v>3303124</v>
      </c>
      <c r="B348" s="27" t="n">
        <v>485439</v>
      </c>
      <c r="C348" s="27" t="inlineStr">
        <is>
          <t>ArrivedAtPickupPoint</t>
        </is>
      </c>
      <c r="D348" s="41" t="n">
        <v>45602.9654905787</v>
      </c>
      <c r="E348" s="27" t="n">
        <v>-32.695168</v>
      </c>
      <c r="F348" s="27" t="n">
        <v>21.025098</v>
      </c>
      <c r="G348" s="27" t="inlineStr">
        <is>
          <t>Open</t>
        </is>
      </c>
      <c r="H348" s="27" t="inlineStr">
        <is>
          <t>ScannerApp</t>
        </is>
      </c>
      <c r="I348" s="27" t="inlineStr">
        <is>
          <t>11</t>
        </is>
      </c>
      <c r="J348" s="27" t="n">
        <v>2024</v>
      </c>
    </row>
    <row r="349" ht="15" customHeight="1" s="24">
      <c r="A349" s="27" t="n">
        <v>3242418</v>
      </c>
      <c r="B349" s="27" t="n">
        <v>480890</v>
      </c>
      <c r="C349" s="27" t="inlineStr">
        <is>
          <t>InLinehaul</t>
        </is>
      </c>
      <c r="D349" s="41" t="n">
        <v>45603.17158454861</v>
      </c>
      <c r="E349" s="27" t="n">
        <v>-26.017576</v>
      </c>
      <c r="F349" s="27" t="n">
        <v>31.896354</v>
      </c>
      <c r="G349" s="27" t="inlineStr">
        <is>
          <t>Open</t>
        </is>
      </c>
      <c r="H349" s="27" t="inlineStr">
        <is>
          <t>ScannerApp</t>
        </is>
      </c>
      <c r="I349" s="27" t="inlineStr">
        <is>
          <t>11</t>
        </is>
      </c>
      <c r="J349" s="27" t="n">
        <v>2024</v>
      </c>
    </row>
    <row r="350" ht="15" customHeight="1" s="24">
      <c r="A350" s="27" t="n">
        <v>3074910</v>
      </c>
      <c r="B350" s="27" t="n">
        <v>482144</v>
      </c>
      <c r="C350" s="27" t="inlineStr">
        <is>
          <t>Created</t>
        </is>
      </c>
      <c r="D350" s="41" t="n">
        <v>45603.79355184028</v>
      </c>
      <c r="E350" s="27" t="n">
        <v>-24.149639</v>
      </c>
      <c r="F350" s="27" t="n">
        <v>27.260792</v>
      </c>
      <c r="G350" s="27" t="inlineStr">
        <is>
          <t>Open</t>
        </is>
      </c>
      <c r="H350" s="27" t="inlineStr">
        <is>
          <t>ScannerApp</t>
        </is>
      </c>
      <c r="I350" s="27" t="inlineStr">
        <is>
          <t>11</t>
        </is>
      </c>
      <c r="J350" s="27" t="n">
        <v>2024</v>
      </c>
    </row>
    <row r="351" ht="15" customHeight="1" s="24">
      <c r="A351" s="27" t="n">
        <v>3085557</v>
      </c>
      <c r="B351" s="27" t="n">
        <v>436537</v>
      </c>
      <c r="C351" s="27" t="inlineStr">
        <is>
          <t>CollectedFromRetailer</t>
        </is>
      </c>
      <c r="D351" s="41" t="n">
        <v>45603.87009909722</v>
      </c>
      <c r="E351" s="27" t="n">
        <v>-32.033182</v>
      </c>
      <c r="F351" s="27" t="n">
        <v>20.983782</v>
      </c>
      <c r="G351" s="27" t="inlineStr">
        <is>
          <t>Open</t>
        </is>
      </c>
      <c r="H351" s="27" t="inlineStr">
        <is>
          <t>ScannerApp</t>
        </is>
      </c>
      <c r="I351" s="27" t="inlineStr">
        <is>
          <t>11</t>
        </is>
      </c>
      <c r="J351" s="27" t="n">
        <v>2024</v>
      </c>
    </row>
    <row r="352" ht="15" customHeight="1" s="24">
      <c r="A352" s="27" t="n">
        <v>3238920</v>
      </c>
      <c r="B352" s="27" t="n">
        <v>477392</v>
      </c>
      <c r="C352" s="27" t="inlineStr">
        <is>
          <t>InLinehaul</t>
        </is>
      </c>
      <c r="D352" s="41" t="n">
        <v>45605.31021760416</v>
      </c>
      <c r="E352" s="27" t="n">
        <v>-31.765241</v>
      </c>
      <c r="F352" s="27" t="n">
        <v>26.094545</v>
      </c>
      <c r="G352" s="27" t="inlineStr">
        <is>
          <t>Open</t>
        </is>
      </c>
      <c r="H352" s="27" t="inlineStr">
        <is>
          <t>PartnerPOS</t>
        </is>
      </c>
      <c r="I352" s="27" t="inlineStr">
        <is>
          <t>11</t>
        </is>
      </c>
      <c r="J352" s="27" t="n">
        <v>2024</v>
      </c>
    </row>
    <row r="353" ht="15" customHeight="1" s="24">
      <c r="A353" s="27" t="n">
        <v>3365518</v>
      </c>
      <c r="B353" s="27" t="n">
        <v>435548</v>
      </c>
      <c r="C353" s="27" t="inlineStr">
        <is>
          <t>CollectedByCustomer</t>
        </is>
      </c>
      <c r="D353" s="41" t="n">
        <v>45605.32519006944</v>
      </c>
      <c r="E353" s="27" t="n">
        <v>-25.072915</v>
      </c>
      <c r="F353" s="27" t="n">
        <v>27.078304</v>
      </c>
      <c r="G353" s="27" t="inlineStr">
        <is>
          <t>Closed</t>
        </is>
      </c>
      <c r="H353" s="27" t="inlineStr">
        <is>
          <t>PartnerPOS</t>
        </is>
      </c>
      <c r="I353" s="27" t="inlineStr">
        <is>
          <t>11</t>
        </is>
      </c>
      <c r="J353" s="27" t="n">
        <v>2024</v>
      </c>
    </row>
    <row r="354" ht="15" customHeight="1" s="24">
      <c r="A354" s="27" t="n">
        <v>3189520</v>
      </c>
      <c r="B354" s="27" t="n">
        <v>484246</v>
      </c>
      <c r="C354" s="27" t="inlineStr">
        <is>
          <t>AtHub</t>
        </is>
      </c>
      <c r="D354" s="41" t="n">
        <v>45605.68387307871</v>
      </c>
      <c r="E354" s="27" t="n">
        <v>-25.936494</v>
      </c>
      <c r="F354" s="27" t="n">
        <v>30.919</v>
      </c>
      <c r="G354" s="27" t="inlineStr">
        <is>
          <t>Open</t>
        </is>
      </c>
      <c r="H354" s="27" t="inlineStr">
        <is>
          <t>PartnerPOS</t>
        </is>
      </c>
      <c r="I354" s="27" t="inlineStr">
        <is>
          <t>11</t>
        </is>
      </c>
      <c r="J354" s="27" t="n">
        <v>2024</v>
      </c>
    </row>
    <row r="355" ht="15" customHeight="1" s="24">
      <c r="A355" s="27" t="n">
        <v>3251931</v>
      </c>
      <c r="B355" s="27" t="n">
        <v>434150</v>
      </c>
      <c r="C355" s="27" t="inlineStr">
        <is>
          <t>ArrivedAtPickupPoint</t>
        </is>
      </c>
      <c r="D355" s="41" t="n">
        <v>45607.08915655092</v>
      </c>
      <c r="E355" s="27" t="n">
        <v>-25.335802</v>
      </c>
      <c r="F355" s="27" t="n">
        <v>31.936339</v>
      </c>
      <c r="G355" s="27" t="inlineStr">
        <is>
          <t>Open</t>
        </is>
      </c>
      <c r="H355" s="27" t="inlineStr">
        <is>
          <t>ScannerApp</t>
        </is>
      </c>
      <c r="I355" s="27" t="inlineStr">
        <is>
          <t>11</t>
        </is>
      </c>
      <c r="J355" s="27" t="n">
        <v>2024</v>
      </c>
    </row>
    <row r="356" ht="15" customHeight="1" s="24">
      <c r="A356" s="27" t="n">
        <v>3282267</v>
      </c>
      <c r="B356" s="27" t="n">
        <v>464536</v>
      </c>
      <c r="C356" s="27" t="inlineStr">
        <is>
          <t>ArrivedAtPickupPoint</t>
        </is>
      </c>
      <c r="D356" s="41" t="n">
        <v>45607.63299346065</v>
      </c>
      <c r="E356" s="27" t="n">
        <v>-26.22406</v>
      </c>
      <c r="F356" s="27" t="n">
        <v>28.868303</v>
      </c>
      <c r="G356" s="27" t="inlineStr">
        <is>
          <t>Open</t>
        </is>
      </c>
      <c r="H356" s="27" t="inlineStr">
        <is>
          <t>CourierGPS</t>
        </is>
      </c>
      <c r="I356" s="27" t="inlineStr">
        <is>
          <t>11</t>
        </is>
      </c>
      <c r="J356" s="27" t="n">
        <v>2024</v>
      </c>
    </row>
    <row r="357" ht="15" customHeight="1" s="24">
      <c r="A357" s="27" t="n">
        <v>3233276</v>
      </c>
      <c r="B357" s="27" t="n">
        <v>471748</v>
      </c>
      <c r="C357" s="27" t="inlineStr">
        <is>
          <t>InLinehaul</t>
        </is>
      </c>
      <c r="D357" s="41" t="n">
        <v>45608.06986311343</v>
      </c>
      <c r="E357" s="27" t="n">
        <v>-33.126738</v>
      </c>
      <c r="F357" s="27" t="n">
        <v>21.261323</v>
      </c>
      <c r="G357" s="27" t="inlineStr">
        <is>
          <t>Open</t>
        </is>
      </c>
      <c r="H357" s="27" t="inlineStr">
        <is>
          <t>ScannerApp</t>
        </is>
      </c>
      <c r="I357" s="27" t="inlineStr">
        <is>
          <t>11</t>
        </is>
      </c>
      <c r="J357" s="27" t="n">
        <v>2024</v>
      </c>
    </row>
    <row r="358" ht="15" customHeight="1" s="24">
      <c r="A358" s="27" t="n">
        <v>3271733</v>
      </c>
      <c r="B358" s="27" t="n">
        <v>453985</v>
      </c>
      <c r="C358" s="27" t="inlineStr">
        <is>
          <t>ArrivedAtPickupPoint</t>
        </is>
      </c>
      <c r="D358" s="41" t="n">
        <v>45608.30323113426</v>
      </c>
      <c r="E358" s="27" t="n">
        <v>-34.385278</v>
      </c>
      <c r="F358" s="27" t="n">
        <v>22.498179</v>
      </c>
      <c r="G358" s="27" t="inlineStr">
        <is>
          <t>Open</t>
        </is>
      </c>
      <c r="H358" s="27" t="inlineStr">
        <is>
          <t>ScannerApp</t>
        </is>
      </c>
      <c r="I358" s="27" t="inlineStr">
        <is>
          <t>11</t>
        </is>
      </c>
      <c r="J358" s="27" t="n">
        <v>2024</v>
      </c>
    </row>
    <row r="359" ht="15" customHeight="1" s="24">
      <c r="A359" s="27" t="n">
        <v>3095416</v>
      </c>
      <c r="B359" s="27" t="n">
        <v>446396</v>
      </c>
      <c r="C359" s="27" t="inlineStr">
        <is>
          <t>CollectedFromRetailer</t>
        </is>
      </c>
      <c r="D359" s="41" t="n">
        <v>45609.31265597222</v>
      </c>
      <c r="E359" s="27" t="n">
        <v>-28.518984</v>
      </c>
      <c r="F359" s="27" t="n">
        <v>31.520299</v>
      </c>
      <c r="G359" s="27" t="inlineStr">
        <is>
          <t>Open</t>
        </is>
      </c>
      <c r="H359" s="27" t="inlineStr">
        <is>
          <t>ScannerApp</t>
        </is>
      </c>
      <c r="I359" s="27" t="inlineStr">
        <is>
          <t>11</t>
        </is>
      </c>
      <c r="J359" s="27" t="n">
        <v>2024</v>
      </c>
    </row>
    <row r="360" ht="15" customHeight="1" s="24">
      <c r="A360" s="27" t="n">
        <v>3043403</v>
      </c>
      <c r="B360" s="27" t="n">
        <v>450637</v>
      </c>
      <c r="C360" s="27" t="inlineStr">
        <is>
          <t>Created</t>
        </is>
      </c>
      <c r="D360" s="41" t="n">
        <v>45610.31087776621</v>
      </c>
      <c r="E360" s="27" t="n">
        <v>-23.291434</v>
      </c>
      <c r="F360" s="27" t="n">
        <v>31.871243</v>
      </c>
      <c r="G360" s="27" t="inlineStr">
        <is>
          <t>Open</t>
        </is>
      </c>
      <c r="H360" s="27" t="inlineStr">
        <is>
          <t>ScannerApp</t>
        </is>
      </c>
      <c r="I360" s="27" t="inlineStr">
        <is>
          <t>11</t>
        </is>
      </c>
      <c r="J360" s="27" t="n">
        <v>2024</v>
      </c>
    </row>
    <row r="361" ht="15" customHeight="1" s="24">
      <c r="A361" s="27" t="n">
        <v>3104945</v>
      </c>
      <c r="B361" s="27" t="n">
        <v>455925</v>
      </c>
      <c r="C361" s="27" t="inlineStr">
        <is>
          <t>CollectedFromRetailer</t>
        </is>
      </c>
      <c r="D361" s="41" t="n">
        <v>45610.92543148148</v>
      </c>
      <c r="E361" s="27" t="n">
        <v>-28.533725</v>
      </c>
      <c r="F361" s="27" t="n">
        <v>30.731698</v>
      </c>
      <c r="G361" s="27" t="inlineStr">
        <is>
          <t>Open</t>
        </is>
      </c>
      <c r="H361" s="27" t="inlineStr">
        <is>
          <t>ScannerApp</t>
        </is>
      </c>
      <c r="I361" s="27" t="inlineStr">
        <is>
          <t>11</t>
        </is>
      </c>
      <c r="J361" s="27" t="n">
        <v>2024</v>
      </c>
    </row>
    <row r="362" ht="15" customHeight="1" s="24">
      <c r="A362" s="27" t="n">
        <v>3104574</v>
      </c>
      <c r="B362" s="27" t="n">
        <v>455554</v>
      </c>
      <c r="C362" s="27" t="inlineStr">
        <is>
          <t>CollectedFromRetailer</t>
        </is>
      </c>
      <c r="D362" s="41" t="n">
        <v>45611.35540488426</v>
      </c>
      <c r="E362" s="27" t="n">
        <v>-26.871352</v>
      </c>
      <c r="F362" s="27" t="n">
        <v>28.507903</v>
      </c>
      <c r="G362" s="27" t="inlineStr">
        <is>
          <t>Open</t>
        </is>
      </c>
      <c r="H362" s="27" t="inlineStr">
        <is>
          <t>ScannerApp</t>
        </is>
      </c>
      <c r="I362" s="27" t="inlineStr">
        <is>
          <t>11</t>
        </is>
      </c>
      <c r="J362" s="27" t="n">
        <v>2024</v>
      </c>
    </row>
    <row r="363" ht="15" customHeight="1" s="24">
      <c r="A363" s="27" t="n">
        <v>3226452</v>
      </c>
      <c r="B363" s="27" t="n">
        <v>464924</v>
      </c>
      <c r="C363" s="27" t="inlineStr">
        <is>
          <t>InLinehaul</t>
        </is>
      </c>
      <c r="D363" s="41" t="n">
        <v>45611.74161440972</v>
      </c>
      <c r="E363" s="27" t="n">
        <v>-27.709854</v>
      </c>
      <c r="F363" s="27" t="n">
        <v>31.673701</v>
      </c>
      <c r="G363" s="27" t="inlineStr">
        <is>
          <t>Open</t>
        </is>
      </c>
      <c r="H363" s="27" t="inlineStr">
        <is>
          <t>CourierGPS</t>
        </is>
      </c>
      <c r="I363" s="27" t="inlineStr">
        <is>
          <t>11</t>
        </is>
      </c>
      <c r="J363" s="27" t="n">
        <v>2024</v>
      </c>
    </row>
    <row r="364" ht="15" customHeight="1" s="24">
      <c r="A364" s="27" t="n">
        <v>3301442</v>
      </c>
      <c r="B364" s="27" t="n">
        <v>483756</v>
      </c>
      <c r="C364" s="27" t="inlineStr">
        <is>
          <t>ArrivedAtPickupPoint</t>
        </is>
      </c>
      <c r="D364" s="41" t="n">
        <v>45612.6535653125</v>
      </c>
      <c r="E364" s="27" t="n">
        <v>-33.150133</v>
      </c>
      <c r="F364" s="27" t="n">
        <v>27.318542</v>
      </c>
      <c r="G364" s="27" t="inlineStr">
        <is>
          <t>Open</t>
        </is>
      </c>
      <c r="H364" s="27" t="inlineStr">
        <is>
          <t>PartnerPOS</t>
        </is>
      </c>
      <c r="I364" s="27" t="inlineStr">
        <is>
          <t>11</t>
        </is>
      </c>
      <c r="J364" s="27" t="n">
        <v>2024</v>
      </c>
    </row>
    <row r="365" ht="15" customHeight="1" s="24">
      <c r="A365" s="27" t="n">
        <v>3177825</v>
      </c>
      <c r="B365" s="27" t="n">
        <v>472551</v>
      </c>
      <c r="C365" s="27" t="inlineStr">
        <is>
          <t>AtHub</t>
        </is>
      </c>
      <c r="D365" s="41" t="n">
        <v>45613.27505364583</v>
      </c>
      <c r="E365" s="27" t="n">
        <v>-27.169801</v>
      </c>
      <c r="F365" s="27" t="n">
        <v>26.261597</v>
      </c>
      <c r="G365" s="27" t="inlineStr">
        <is>
          <t>Open</t>
        </is>
      </c>
      <c r="H365" s="27" t="inlineStr">
        <is>
          <t>API</t>
        </is>
      </c>
      <c r="I365" s="27" t="inlineStr">
        <is>
          <t>11</t>
        </is>
      </c>
      <c r="J365" s="27" t="n">
        <v>2024</v>
      </c>
    </row>
    <row r="366" ht="15" customHeight="1" s="24">
      <c r="A366" s="27" t="n">
        <v>3267483</v>
      </c>
      <c r="B366" s="27" t="n">
        <v>449728</v>
      </c>
      <c r="C366" s="27" t="inlineStr">
        <is>
          <t>ArrivedAtPickupPoint</t>
        </is>
      </c>
      <c r="D366" s="41" t="n">
        <v>45614.8338809838</v>
      </c>
      <c r="E366" s="27" t="n">
        <v>-25.932255</v>
      </c>
      <c r="F366" s="27" t="n">
        <v>27.974363</v>
      </c>
      <c r="G366" s="27" t="inlineStr">
        <is>
          <t>Open</t>
        </is>
      </c>
      <c r="H366" s="27" t="inlineStr">
        <is>
          <t>ScannerApp</t>
        </is>
      </c>
      <c r="I366" s="27" t="inlineStr">
        <is>
          <t>11</t>
        </is>
      </c>
      <c r="J366" s="27" t="n">
        <v>2024</v>
      </c>
    </row>
    <row r="367" ht="15" customHeight="1" s="24">
      <c r="A367" s="27" t="n">
        <v>3372499</v>
      </c>
      <c r="B367" s="27" t="n">
        <v>443141</v>
      </c>
      <c r="C367" s="27" t="inlineStr">
        <is>
          <t>CollectedByCustomer</t>
        </is>
      </c>
      <c r="D367" s="41" t="n">
        <v>45615.19738016204</v>
      </c>
      <c r="E367" s="27" t="n">
        <v>-33.035332</v>
      </c>
      <c r="F367" s="27" t="n">
        <v>27.949932</v>
      </c>
      <c r="G367" s="27" t="inlineStr">
        <is>
          <t>Closed</t>
        </is>
      </c>
      <c r="H367" s="27" t="inlineStr">
        <is>
          <t>PartnerPOS</t>
        </is>
      </c>
      <c r="I367" s="27" t="inlineStr">
        <is>
          <t>11</t>
        </is>
      </c>
      <c r="J367" s="27" t="n">
        <v>2024</v>
      </c>
    </row>
    <row r="368" ht="15" customHeight="1" s="24">
      <c r="A368" s="27" t="n">
        <v>3380127</v>
      </c>
      <c r="B368" s="27" t="n">
        <v>451387</v>
      </c>
      <c r="C368" s="27" t="inlineStr">
        <is>
          <t>CollectedByCustomer</t>
        </is>
      </c>
      <c r="D368" s="41" t="n">
        <v>45615.36242568287</v>
      </c>
      <c r="E368" s="27" t="n">
        <v>-26.074123</v>
      </c>
      <c r="F368" s="27" t="n">
        <v>27.865036</v>
      </c>
      <c r="G368" s="27" t="inlineStr">
        <is>
          <t>Closed</t>
        </is>
      </c>
      <c r="H368" s="27" t="inlineStr">
        <is>
          <t>CourierGPS</t>
        </is>
      </c>
      <c r="I368" s="27" t="inlineStr">
        <is>
          <t>11</t>
        </is>
      </c>
      <c r="J368" s="27" t="n">
        <v>2024</v>
      </c>
    </row>
    <row r="369" ht="15" customHeight="1" s="24">
      <c r="A369" s="27" t="n">
        <v>3341880</v>
      </c>
      <c r="B369" s="27" t="n">
        <v>468007</v>
      </c>
      <c r="C369" s="27" t="inlineStr">
        <is>
          <t>CustomerNotified</t>
        </is>
      </c>
      <c r="D369" s="41" t="n">
        <v>45616.43147546296</v>
      </c>
      <c r="E369" s="27" t="n">
        <v>-30.793363</v>
      </c>
      <c r="F369" s="27" t="n">
        <v>31.050574</v>
      </c>
      <c r="G369" s="27" t="inlineStr">
        <is>
          <t>Open</t>
        </is>
      </c>
      <c r="H369" s="27" t="inlineStr">
        <is>
          <t>CourierGPS</t>
        </is>
      </c>
      <c r="I369" s="27" t="inlineStr">
        <is>
          <t>11</t>
        </is>
      </c>
      <c r="J369" s="27" t="n">
        <v>2024</v>
      </c>
    </row>
    <row r="370" ht="15" customHeight="1" s="24">
      <c r="A370" s="27" t="n">
        <v>3113026</v>
      </c>
      <c r="B370" s="27" t="n">
        <v>464006</v>
      </c>
      <c r="C370" s="27" t="inlineStr">
        <is>
          <t>CollectedFromRetailer</t>
        </is>
      </c>
      <c r="D370" s="41" t="n">
        <v>45617.40771657407</v>
      </c>
      <c r="E370" s="27" t="n">
        <v>-26.015674</v>
      </c>
      <c r="F370" s="27" t="n">
        <v>29.094791</v>
      </c>
      <c r="G370" s="27" t="inlineStr">
        <is>
          <t>Open</t>
        </is>
      </c>
      <c r="H370" s="27" t="inlineStr">
        <is>
          <t>ScannerApp</t>
        </is>
      </c>
      <c r="I370" s="27" t="inlineStr">
        <is>
          <t>11</t>
        </is>
      </c>
      <c r="J370" s="27" t="n">
        <v>2024</v>
      </c>
    </row>
    <row r="371" ht="15" customHeight="1" s="24">
      <c r="A371" s="27" t="n">
        <v>3162147</v>
      </c>
      <c r="B371" s="27" t="n">
        <v>456873</v>
      </c>
      <c r="C371" s="27" t="inlineStr">
        <is>
          <t>AtHub</t>
        </is>
      </c>
      <c r="D371" s="41" t="n">
        <v>45617.79395043982</v>
      </c>
      <c r="E371" s="27" t="n">
        <v>-24.69221</v>
      </c>
      <c r="F371" s="27" t="n">
        <v>30.579601</v>
      </c>
      <c r="G371" s="27" t="inlineStr">
        <is>
          <t>Open</t>
        </is>
      </c>
      <c r="H371" s="27" t="inlineStr">
        <is>
          <t>ScannerApp</t>
        </is>
      </c>
      <c r="I371" s="27" t="inlineStr">
        <is>
          <t>11</t>
        </is>
      </c>
      <c r="J371" s="27" t="n">
        <v>2024</v>
      </c>
    </row>
    <row r="372" ht="15" customHeight="1" s="24">
      <c r="A372" s="27" t="n">
        <v>3416178</v>
      </c>
      <c r="B372" s="27" t="n">
        <v>439399</v>
      </c>
      <c r="C372" s="27" t="inlineStr">
        <is>
          <t>ExpiredReturnedToSender</t>
        </is>
      </c>
      <c r="D372" s="41" t="n">
        <v>45619.56550483796</v>
      </c>
      <c r="E372" s="27" t="n">
        <v>-25.428391</v>
      </c>
      <c r="F372" s="27" t="n">
        <v>28.43669</v>
      </c>
      <c r="G372" s="27" t="inlineStr">
        <is>
          <t>RTS</t>
        </is>
      </c>
      <c r="H372" s="27" t="inlineStr">
        <is>
          <t>ScannerApp</t>
        </is>
      </c>
      <c r="I372" s="27" t="inlineStr">
        <is>
          <t>11</t>
        </is>
      </c>
      <c r="J372" s="27" t="n">
        <v>2024</v>
      </c>
    </row>
    <row r="373" ht="15" customHeight="1" s="24">
      <c r="A373" s="27" t="n">
        <v>3290493</v>
      </c>
      <c r="B373" s="27" t="n">
        <v>472779</v>
      </c>
      <c r="C373" s="27" t="inlineStr">
        <is>
          <t>ArrivedAtPickupPoint</t>
        </is>
      </c>
      <c r="D373" s="41" t="n">
        <v>45621.66392832176</v>
      </c>
      <c r="E373" s="27" t="n">
        <v>-28.332155</v>
      </c>
      <c r="F373" s="27" t="n">
        <v>23.52321</v>
      </c>
      <c r="G373" s="27" t="inlineStr">
        <is>
          <t>Open</t>
        </is>
      </c>
      <c r="H373" s="27" t="inlineStr">
        <is>
          <t>CourierGPS</t>
        </is>
      </c>
      <c r="I373" s="27" t="inlineStr">
        <is>
          <t>11</t>
        </is>
      </c>
      <c r="J373" s="27" t="n">
        <v>2024</v>
      </c>
    </row>
    <row r="374" ht="15" customHeight="1" s="24">
      <c r="A374" s="27" t="n">
        <v>3224504</v>
      </c>
      <c r="B374" s="27" t="n">
        <v>462976</v>
      </c>
      <c r="C374" s="27" t="inlineStr">
        <is>
          <t>InLinehaul</t>
        </is>
      </c>
      <c r="D374" s="41" t="n">
        <v>45621.70334430556</v>
      </c>
      <c r="E374" s="27" t="n">
        <v>-26.858719</v>
      </c>
      <c r="F374" s="27" t="n">
        <v>27.395879</v>
      </c>
      <c r="G374" s="27" t="inlineStr">
        <is>
          <t>Open</t>
        </is>
      </c>
      <c r="H374" s="27" t="inlineStr">
        <is>
          <t>API</t>
        </is>
      </c>
      <c r="I374" s="27" t="inlineStr">
        <is>
          <t>11</t>
        </is>
      </c>
      <c r="J374" s="27" t="n">
        <v>2024</v>
      </c>
    </row>
    <row r="375" ht="15" customHeight="1" s="24">
      <c r="A375" s="27" t="n">
        <v>3245989</v>
      </c>
      <c r="B375" s="27" t="n">
        <v>484461</v>
      </c>
      <c r="C375" s="27" t="inlineStr">
        <is>
          <t>InLinehaul</t>
        </is>
      </c>
      <c r="D375" s="41" t="n">
        <v>45622.95967079861</v>
      </c>
      <c r="E375" s="27" t="n">
        <v>-33.923566</v>
      </c>
      <c r="F375" s="27" t="n">
        <v>18.566636</v>
      </c>
      <c r="G375" s="27" t="inlineStr">
        <is>
          <t>Open</t>
        </is>
      </c>
      <c r="H375" s="27" t="inlineStr">
        <is>
          <t>ScannerApp</t>
        </is>
      </c>
      <c r="I375" s="27" t="inlineStr">
        <is>
          <t>11</t>
        </is>
      </c>
      <c r="J375" s="27" t="n">
        <v>2024</v>
      </c>
    </row>
    <row r="376" ht="15" customHeight="1" s="24">
      <c r="A376" s="27" t="n">
        <v>3183505</v>
      </c>
      <c r="B376" s="27" t="n">
        <v>478231</v>
      </c>
      <c r="C376" s="27" t="inlineStr">
        <is>
          <t>AtHub</t>
        </is>
      </c>
      <c r="D376" s="41" t="n">
        <v>45623.37108831019</v>
      </c>
      <c r="E376" s="27" t="n">
        <v>-28.154751</v>
      </c>
      <c r="F376" s="27" t="n">
        <v>30.131524</v>
      </c>
      <c r="G376" s="27" t="inlineStr">
        <is>
          <t>Open</t>
        </is>
      </c>
      <c r="H376" s="27" t="inlineStr">
        <is>
          <t>ScannerApp</t>
        </is>
      </c>
      <c r="I376" s="27" t="inlineStr">
        <is>
          <t>11</t>
        </is>
      </c>
      <c r="J376" s="27" t="n">
        <v>2024</v>
      </c>
    </row>
    <row r="377" ht="15" customHeight="1" s="24">
      <c r="A377" s="27" t="n">
        <v>3307592</v>
      </c>
      <c r="B377" s="27" t="n">
        <v>489914</v>
      </c>
      <c r="C377" s="27" t="inlineStr">
        <is>
          <t>ArrivedAtPickupPoint</t>
        </is>
      </c>
      <c r="D377" s="41" t="n">
        <v>45624.44680607639</v>
      </c>
      <c r="E377" s="27" t="n">
        <v>-30.865862</v>
      </c>
      <c r="F377" s="27" t="n">
        <v>27.485563</v>
      </c>
      <c r="G377" s="27" t="inlineStr">
        <is>
          <t>Open</t>
        </is>
      </c>
      <c r="H377" s="27" t="inlineStr">
        <is>
          <t>ScannerApp</t>
        </is>
      </c>
      <c r="I377" s="27" t="inlineStr">
        <is>
          <t>11</t>
        </is>
      </c>
      <c r="J377" s="27" t="n">
        <v>2024</v>
      </c>
    </row>
    <row r="378" ht="15" customHeight="1" s="24">
      <c r="A378" s="27" t="n">
        <v>3081250</v>
      </c>
      <c r="B378" s="27" t="n">
        <v>488484</v>
      </c>
      <c r="C378" s="27" t="inlineStr">
        <is>
          <t>Created</t>
        </is>
      </c>
      <c r="D378" s="41" t="n">
        <v>45624.44798004629</v>
      </c>
      <c r="E378" s="27" t="n">
        <v>-28.051367</v>
      </c>
      <c r="F378" s="27" t="n">
        <v>25.795684</v>
      </c>
      <c r="G378" s="27" t="inlineStr">
        <is>
          <t>Open</t>
        </is>
      </c>
      <c r="H378" s="27" t="inlineStr">
        <is>
          <t>ScannerApp</t>
        </is>
      </c>
      <c r="I378" s="27" t="inlineStr">
        <is>
          <t>11</t>
        </is>
      </c>
      <c r="J378" s="27" t="n">
        <v>2024</v>
      </c>
    </row>
    <row r="379" ht="15" customHeight="1" s="24">
      <c r="A379" s="27" t="n">
        <v>3068959</v>
      </c>
      <c r="B379" s="27" t="n">
        <v>476193</v>
      </c>
      <c r="C379" s="27" t="inlineStr">
        <is>
          <t>Created</t>
        </is>
      </c>
      <c r="D379" s="41" t="n">
        <v>45624.62124479167</v>
      </c>
      <c r="E379" s="27" t="n">
        <v>-28.085406</v>
      </c>
      <c r="F379" s="27" t="n">
        <v>29.876373</v>
      </c>
      <c r="G379" s="27" t="inlineStr">
        <is>
          <t>Open</t>
        </is>
      </c>
      <c r="H379" s="27" t="inlineStr">
        <is>
          <t>API</t>
        </is>
      </c>
      <c r="I379" s="27" t="inlineStr">
        <is>
          <t>11</t>
        </is>
      </c>
      <c r="J379" s="27" t="n">
        <v>2024</v>
      </c>
    </row>
    <row r="380" ht="15" customHeight="1" s="24">
      <c r="A380" s="27" t="n">
        <v>3276211</v>
      </c>
      <c r="B380" s="27" t="n">
        <v>458468</v>
      </c>
      <c r="C380" s="27" t="inlineStr">
        <is>
          <t>ArrivedAtPickupPoint</t>
        </is>
      </c>
      <c r="D380" s="41" t="n">
        <v>45626.22698960648</v>
      </c>
      <c r="E380" s="27" t="n">
        <v>-30.307202</v>
      </c>
      <c r="F380" s="27" t="n">
        <v>22.690884</v>
      </c>
      <c r="G380" s="27" t="inlineStr">
        <is>
          <t>Open</t>
        </is>
      </c>
      <c r="H380" s="27" t="inlineStr">
        <is>
          <t>PartnerPOS</t>
        </is>
      </c>
      <c r="I380" s="27" t="inlineStr">
        <is>
          <t>11</t>
        </is>
      </c>
      <c r="J380" s="27" t="n">
        <v>2024</v>
      </c>
    </row>
    <row r="381" ht="15" customHeight="1" s="24">
      <c r="A381" s="27" t="n">
        <v>3090260</v>
      </c>
      <c r="B381" s="27" t="n">
        <v>441240</v>
      </c>
      <c r="C381" s="27" t="inlineStr">
        <is>
          <t>CollectedFromRetailer</t>
        </is>
      </c>
      <c r="D381" s="41" t="n">
        <v>45627.41732993055</v>
      </c>
      <c r="E381" s="27" t="n">
        <v>-29.316115</v>
      </c>
      <c r="F381" s="27" t="n">
        <v>30.880995</v>
      </c>
      <c r="G381" s="27" t="inlineStr">
        <is>
          <t>Open</t>
        </is>
      </c>
      <c r="H381" s="27" t="inlineStr">
        <is>
          <t>ScannerApp</t>
        </is>
      </c>
      <c r="I381" s="27" t="inlineStr">
        <is>
          <t>11</t>
        </is>
      </c>
      <c r="J381" s="27" t="n">
        <v>2024</v>
      </c>
    </row>
    <row r="382" ht="15" customHeight="1" s="24">
      <c r="A382" s="27" t="n">
        <v>3542816</v>
      </c>
      <c r="B382" s="27" t="n">
        <v>524085</v>
      </c>
      <c r="C382" s="27" t="inlineStr">
        <is>
          <t>AtHub</t>
        </is>
      </c>
      <c r="D382" s="41" t="n">
        <v>45628.84385640046</v>
      </c>
      <c r="E382" s="27" t="n">
        <v>-33.122733</v>
      </c>
      <c r="F382" s="27" t="n">
        <v>29.964222</v>
      </c>
      <c r="G382" s="27" t="inlineStr">
        <is>
          <t>Open</t>
        </is>
      </c>
      <c r="H382" s="27" t="inlineStr">
        <is>
          <t>API</t>
        </is>
      </c>
      <c r="I382" s="27" t="inlineStr">
        <is>
          <t>12</t>
        </is>
      </c>
      <c r="J382" s="27" t="n">
        <v>2024</v>
      </c>
    </row>
    <row r="383" ht="15" customHeight="1" s="24">
      <c r="A383" s="27" t="n">
        <v>3264966</v>
      </c>
      <c r="B383" s="27" t="n">
        <v>447207</v>
      </c>
      <c r="C383" s="27" t="inlineStr">
        <is>
          <t>ArrivedAtPickupPoint</t>
        </is>
      </c>
      <c r="D383" s="41" t="n">
        <v>45628.87461887731</v>
      </c>
      <c r="E383" s="27" t="n">
        <v>-25.687804</v>
      </c>
      <c r="F383" s="27" t="n">
        <v>28.443819</v>
      </c>
      <c r="G383" s="27" t="inlineStr">
        <is>
          <t>Open</t>
        </is>
      </c>
      <c r="H383" s="27" t="inlineStr">
        <is>
          <t>ScannerApp</t>
        </is>
      </c>
      <c r="I383" s="27" t="inlineStr">
        <is>
          <t>11</t>
        </is>
      </c>
      <c r="J383" s="27" t="n">
        <v>2024</v>
      </c>
    </row>
    <row r="384" ht="15" customHeight="1" s="24">
      <c r="A384" s="27" t="n">
        <v>3425876</v>
      </c>
      <c r="B384" s="27" t="n">
        <v>496901</v>
      </c>
      <c r="C384" s="27" t="inlineStr">
        <is>
          <t>Created</t>
        </is>
      </c>
      <c r="D384" s="41" t="n">
        <v>45628.98595674769</v>
      </c>
      <c r="E384" s="27" t="n">
        <v>-25.217788</v>
      </c>
      <c r="F384" s="27" t="n">
        <v>31.056114</v>
      </c>
      <c r="G384" s="27" t="inlineStr">
        <is>
          <t>Open</t>
        </is>
      </c>
      <c r="H384" s="27" t="inlineStr">
        <is>
          <t>ScannerApp</t>
        </is>
      </c>
      <c r="I384" s="27" t="inlineStr">
        <is>
          <t>12</t>
        </is>
      </c>
      <c r="J384" s="27" t="n">
        <v>2024</v>
      </c>
    </row>
    <row r="385" ht="15" customHeight="1" s="24">
      <c r="A385" s="27" t="n">
        <v>3475053</v>
      </c>
      <c r="B385" s="27" t="n">
        <v>501200</v>
      </c>
      <c r="C385" s="27" t="inlineStr">
        <is>
          <t>CollectedFromRetailer</t>
        </is>
      </c>
      <c r="D385" s="41" t="n">
        <v>45631.14774143518</v>
      </c>
      <c r="E385" s="27" t="n">
        <v>-34.126324</v>
      </c>
      <c r="F385" s="27" t="n">
        <v>20.229498</v>
      </c>
      <c r="G385" s="27" t="inlineStr">
        <is>
          <t>Open</t>
        </is>
      </c>
      <c r="H385" s="27" t="inlineStr">
        <is>
          <t>ScannerApp</t>
        </is>
      </c>
      <c r="I385" s="27" t="inlineStr">
        <is>
          <t>12</t>
        </is>
      </c>
      <c r="J385" s="27" t="n">
        <v>2024</v>
      </c>
    </row>
    <row r="386" ht="15" customHeight="1" s="24">
      <c r="A386" s="27" t="n">
        <v>3676919</v>
      </c>
      <c r="B386" s="27" t="n">
        <v>523715</v>
      </c>
      <c r="C386" s="27" t="inlineStr">
        <is>
          <t>CustomerNotified</t>
        </is>
      </c>
      <c r="D386" s="41" t="n">
        <v>45632.63174582176</v>
      </c>
      <c r="E386" s="27" t="n">
        <v>-33.722387</v>
      </c>
      <c r="F386" s="27" t="n">
        <v>19.024572</v>
      </c>
      <c r="G386" s="27" t="inlineStr">
        <is>
          <t>Open</t>
        </is>
      </c>
      <c r="H386" s="27" t="inlineStr">
        <is>
          <t>PartnerPOS</t>
        </is>
      </c>
      <c r="I386" s="27" t="inlineStr">
        <is>
          <t>12</t>
        </is>
      </c>
      <c r="J386" s="27" t="n">
        <v>2024</v>
      </c>
    </row>
    <row r="387" ht="15" customHeight="1" s="24">
      <c r="A387" s="27" t="n">
        <v>3440350</v>
      </c>
      <c r="B387" s="27" t="n">
        <v>511375</v>
      </c>
      <c r="C387" s="27" t="inlineStr">
        <is>
          <t>Created</t>
        </is>
      </c>
      <c r="D387" s="41" t="n">
        <v>45632.91961032408</v>
      </c>
      <c r="E387" s="27" t="n">
        <v>-24.519428</v>
      </c>
      <c r="F387" s="27" t="n">
        <v>30.893508</v>
      </c>
      <c r="G387" s="27" t="inlineStr">
        <is>
          <t>Open</t>
        </is>
      </c>
      <c r="H387" s="27" t="inlineStr">
        <is>
          <t>ScannerApp</t>
        </is>
      </c>
      <c r="I387" s="27" t="inlineStr">
        <is>
          <t>12</t>
        </is>
      </c>
      <c r="J387" s="27" t="n">
        <v>2024</v>
      </c>
    </row>
    <row r="388" ht="15" customHeight="1" s="24">
      <c r="A388" s="27" t="n">
        <v>3681808</v>
      </c>
      <c r="B388" s="27" t="n">
        <v>528615</v>
      </c>
      <c r="C388" s="27" t="inlineStr">
        <is>
          <t>CustomerNotified</t>
        </is>
      </c>
      <c r="D388" s="41" t="n">
        <v>45633.84393511574</v>
      </c>
      <c r="E388" s="27" t="n">
        <v>-26.607442</v>
      </c>
      <c r="F388" s="27" t="n">
        <v>31.60123</v>
      </c>
      <c r="G388" s="27" t="inlineStr">
        <is>
          <t>Open</t>
        </is>
      </c>
      <c r="H388" s="27" t="inlineStr">
        <is>
          <t>PartnerPOS</t>
        </is>
      </c>
      <c r="I388" s="27" t="inlineStr">
        <is>
          <t>12</t>
        </is>
      </c>
      <c r="J388" s="27" t="n">
        <v>2024</v>
      </c>
    </row>
    <row r="389" ht="15" customHeight="1" s="24">
      <c r="A389" s="27" t="n">
        <v>3484723</v>
      </c>
      <c r="B389" s="27" t="n">
        <v>510870</v>
      </c>
      <c r="C389" s="27" t="inlineStr">
        <is>
          <t>CollectedFromRetailer</t>
        </is>
      </c>
      <c r="D389" s="41" t="n">
        <v>45636.81385966435</v>
      </c>
      <c r="E389" s="27" t="n">
        <v>-27.57319</v>
      </c>
      <c r="F389" s="27" t="n">
        <v>28.500561</v>
      </c>
      <c r="G389" s="27" t="inlineStr">
        <is>
          <t>Open</t>
        </is>
      </c>
      <c r="H389" s="27" t="inlineStr">
        <is>
          <t>CourierGPS</t>
        </is>
      </c>
      <c r="I389" s="27" t="inlineStr">
        <is>
          <t>12</t>
        </is>
      </c>
      <c r="J389" s="27" t="n">
        <v>2024</v>
      </c>
    </row>
    <row r="390" ht="15" customHeight="1" s="24">
      <c r="A390" s="27" t="n">
        <v>3669209</v>
      </c>
      <c r="B390" s="27" t="n">
        <v>515994</v>
      </c>
      <c r="C390" s="27" t="inlineStr">
        <is>
          <t>CustomerNotified</t>
        </is>
      </c>
      <c r="D390" s="41" t="n">
        <v>45637.43200872685</v>
      </c>
      <c r="E390" s="27" t="n">
        <v>-25.683238</v>
      </c>
      <c r="F390" s="27" t="n">
        <v>28.791377</v>
      </c>
      <c r="G390" s="27" t="inlineStr">
        <is>
          <t>Open</t>
        </is>
      </c>
      <c r="H390" s="27" t="inlineStr">
        <is>
          <t>ScannerApp</t>
        </is>
      </c>
      <c r="I390" s="27" t="inlineStr">
        <is>
          <t>12</t>
        </is>
      </c>
      <c r="J390" s="27" t="n">
        <v>2024</v>
      </c>
    </row>
    <row r="391" ht="15" customHeight="1" s="24">
      <c r="A391" s="27" t="n">
        <v>3591521</v>
      </c>
      <c r="B391" s="27" t="n">
        <v>527912</v>
      </c>
      <c r="C391" s="27" t="inlineStr">
        <is>
          <t>InLinehaul</t>
        </is>
      </c>
      <c r="D391" s="41" t="n">
        <v>45638.08509267361</v>
      </c>
      <c r="E391" s="27" t="n">
        <v>-27.39969</v>
      </c>
      <c r="F391" s="27" t="n">
        <v>29.726123</v>
      </c>
      <c r="G391" s="27" t="inlineStr">
        <is>
          <t>Open</t>
        </is>
      </c>
      <c r="H391" s="27" t="inlineStr">
        <is>
          <t>PartnerPOS</t>
        </is>
      </c>
      <c r="I391" s="27" t="inlineStr">
        <is>
          <t>12</t>
        </is>
      </c>
      <c r="J391" s="27" t="n">
        <v>2024</v>
      </c>
    </row>
    <row r="392" ht="15" customHeight="1" s="24">
      <c r="A392" s="27" t="n">
        <v>3731113</v>
      </c>
      <c r="B392" s="27" t="n">
        <v>516037</v>
      </c>
      <c r="C392" s="27" t="inlineStr">
        <is>
          <t>ExpiredReturnedToSender</t>
        </is>
      </c>
      <c r="D392" s="41" t="n">
        <v>45638.82391574074</v>
      </c>
      <c r="E392" s="27" t="n">
        <v>-25.495789</v>
      </c>
      <c r="F392" s="27" t="n">
        <v>27.952091</v>
      </c>
      <c r="G392" s="27" t="inlineStr">
        <is>
          <t>RTS</t>
        </is>
      </c>
      <c r="H392" s="27" t="inlineStr">
        <is>
          <t>PartnerPOS</t>
        </is>
      </c>
      <c r="I392" s="27" t="inlineStr">
        <is>
          <t>12</t>
        </is>
      </c>
      <c r="J392" s="27" t="n">
        <v>2024</v>
      </c>
    </row>
    <row r="393" ht="15" customHeight="1" s="24">
      <c r="A393" s="27" t="n">
        <v>3603232</v>
      </c>
      <c r="B393" s="27" t="n">
        <v>494753</v>
      </c>
      <c r="C393" s="27" t="inlineStr">
        <is>
          <t>ArrivedAtPickupPoint</t>
        </is>
      </c>
      <c r="D393" s="41" t="n">
        <v>45639.36024148148</v>
      </c>
      <c r="E393" s="27" t="n">
        <v>-29.750429</v>
      </c>
      <c r="F393" s="27" t="n">
        <v>31.683957</v>
      </c>
      <c r="G393" s="27" t="inlineStr">
        <is>
          <t>Open</t>
        </is>
      </c>
      <c r="H393" s="27" t="inlineStr">
        <is>
          <t>API</t>
        </is>
      </c>
      <c r="I393" s="27" t="inlineStr">
        <is>
          <t>12</t>
        </is>
      </c>
      <c r="J393" s="27" t="n">
        <v>2024</v>
      </c>
    </row>
    <row r="394" ht="15" customHeight="1" s="24">
      <c r="A394" s="27" t="n">
        <v>3599196</v>
      </c>
      <c r="B394" s="27" t="n">
        <v>490710</v>
      </c>
      <c r="C394" s="27" t="inlineStr">
        <is>
          <t>ArrivedAtPickupPoint</t>
        </is>
      </c>
      <c r="D394" s="41" t="n">
        <v>45639.9464149537</v>
      </c>
      <c r="E394" s="27" t="n">
        <v>-30.6579</v>
      </c>
      <c r="F394" s="27" t="n">
        <v>29.941615</v>
      </c>
      <c r="G394" s="27" t="inlineStr">
        <is>
          <t>Open</t>
        </is>
      </c>
      <c r="H394" s="27" t="inlineStr">
        <is>
          <t>CourierGPS</t>
        </is>
      </c>
      <c r="I394" s="27" t="inlineStr">
        <is>
          <t>12</t>
        </is>
      </c>
      <c r="J394" s="27" t="n">
        <v>2024</v>
      </c>
    </row>
    <row r="395" ht="15" customHeight="1" s="24">
      <c r="A395" s="27" t="n">
        <v>3460086</v>
      </c>
      <c r="B395" s="27" t="n">
        <v>531111</v>
      </c>
      <c r="C395" s="27" t="inlineStr">
        <is>
          <t>Created</t>
        </is>
      </c>
      <c r="D395" s="41" t="n">
        <v>45641.54693902778</v>
      </c>
      <c r="E395" s="27" t="n">
        <v>-26.620425</v>
      </c>
      <c r="F395" s="27" t="n">
        <v>28.542661</v>
      </c>
      <c r="G395" s="27" t="inlineStr">
        <is>
          <t>Open</t>
        </is>
      </c>
      <c r="H395" s="27" t="inlineStr">
        <is>
          <t>ScannerApp</t>
        </is>
      </c>
      <c r="I395" s="27" t="inlineStr">
        <is>
          <t>12</t>
        </is>
      </c>
      <c r="J395" s="27" t="n">
        <v>2024</v>
      </c>
    </row>
    <row r="396" ht="15" customHeight="1" s="24">
      <c r="A396" s="27" t="n">
        <v>3440794</v>
      </c>
      <c r="B396" s="27" t="n">
        <v>511819</v>
      </c>
      <c r="C396" s="27" t="inlineStr">
        <is>
          <t>Created</t>
        </is>
      </c>
      <c r="D396" s="41" t="n">
        <v>45642.60194571759</v>
      </c>
      <c r="E396" s="27" t="n">
        <v>-24.643065</v>
      </c>
      <c r="F396" s="27" t="n">
        <v>30.726907</v>
      </c>
      <c r="G396" s="27" t="inlineStr">
        <is>
          <t>Open</t>
        </is>
      </c>
      <c r="H396" s="27" t="inlineStr">
        <is>
          <t>ScannerApp</t>
        </is>
      </c>
      <c r="I396" s="27" t="inlineStr">
        <is>
          <t>12</t>
        </is>
      </c>
      <c r="J396" s="27" t="n">
        <v>2024</v>
      </c>
    </row>
    <row r="397" ht="15" customHeight="1" s="24">
      <c r="A397" s="27" t="n">
        <v>3634769</v>
      </c>
      <c r="B397" s="27" t="n">
        <v>526356</v>
      </c>
      <c r="C397" s="27" t="inlineStr">
        <is>
          <t>ArrivedAtPickupPoint</t>
        </is>
      </c>
      <c r="D397" s="41" t="n">
        <v>45642.88547961805</v>
      </c>
      <c r="E397" s="27" t="n">
        <v>-28.648066</v>
      </c>
      <c r="F397" s="27" t="n">
        <v>29.279061</v>
      </c>
      <c r="G397" s="27" t="inlineStr">
        <is>
          <t>Open</t>
        </is>
      </c>
      <c r="H397" s="27" t="inlineStr">
        <is>
          <t>ScannerApp</t>
        </is>
      </c>
      <c r="I397" s="27" t="inlineStr">
        <is>
          <t>12</t>
        </is>
      </c>
      <c r="J397" s="27" t="n">
        <v>2024</v>
      </c>
    </row>
    <row r="398" ht="15" customHeight="1" s="24">
      <c r="A398" s="27" t="n">
        <v>3653429</v>
      </c>
      <c r="B398" s="27" t="n">
        <v>500175</v>
      </c>
      <c r="C398" s="27" t="inlineStr">
        <is>
          <t>CustomerNotified</t>
        </is>
      </c>
      <c r="D398" s="41" t="n">
        <v>45643.82501446759</v>
      </c>
      <c r="E398" s="27" t="n">
        <v>-26.280925</v>
      </c>
      <c r="F398" s="27" t="n">
        <v>28.180938</v>
      </c>
      <c r="G398" s="27" t="inlineStr">
        <is>
          <t>Open</t>
        </is>
      </c>
      <c r="H398" s="27" t="inlineStr">
        <is>
          <t>PartnerPOS</t>
        </is>
      </c>
      <c r="I398" s="27" t="inlineStr">
        <is>
          <t>12</t>
        </is>
      </c>
      <c r="J398" s="27" t="n">
        <v>2024</v>
      </c>
    </row>
    <row r="399" ht="15" customHeight="1" s="24">
      <c r="A399" s="27" t="n">
        <v>3576809</v>
      </c>
      <c r="B399" s="27" t="n">
        <v>513200</v>
      </c>
      <c r="C399" s="27" t="inlineStr">
        <is>
          <t>InLinehaul</t>
        </is>
      </c>
      <c r="D399" s="41" t="n">
        <v>45644.51459532407</v>
      </c>
      <c r="E399" s="27" t="n">
        <v>-27.600344</v>
      </c>
      <c r="F399" s="27" t="n">
        <v>31.175503</v>
      </c>
      <c r="G399" s="27" t="inlineStr">
        <is>
          <t>Open</t>
        </is>
      </c>
      <c r="H399" s="27" t="inlineStr">
        <is>
          <t>ScannerApp</t>
        </is>
      </c>
      <c r="I399" s="27" t="inlineStr">
        <is>
          <t>12</t>
        </is>
      </c>
      <c r="J399" s="27" t="n">
        <v>2024</v>
      </c>
    </row>
    <row r="400" ht="15" customHeight="1" s="24">
      <c r="A400" s="27" t="n">
        <v>3585302</v>
      </c>
      <c r="B400" s="27" t="n">
        <v>521693</v>
      </c>
      <c r="C400" s="27" t="inlineStr">
        <is>
          <t>InLinehaul</t>
        </is>
      </c>
      <c r="D400" s="41" t="n">
        <v>45644.80979403935</v>
      </c>
      <c r="E400" s="27" t="n">
        <v>-29.296284</v>
      </c>
      <c r="F400" s="27" t="n">
        <v>30.5494</v>
      </c>
      <c r="G400" s="27" t="inlineStr">
        <is>
          <t>Open</t>
        </is>
      </c>
      <c r="H400" s="27" t="inlineStr">
        <is>
          <t>ScannerApp</t>
        </is>
      </c>
      <c r="I400" s="27" t="inlineStr">
        <is>
          <t>12</t>
        </is>
      </c>
      <c r="J400" s="27" t="n">
        <v>2024</v>
      </c>
    </row>
    <row r="401" ht="15" customHeight="1" s="24">
      <c r="A401" s="27" t="n">
        <v>3497498</v>
      </c>
      <c r="B401" s="27" t="n">
        <v>523645</v>
      </c>
      <c r="C401" s="27" t="inlineStr">
        <is>
          <t>CollectedFromRetailer</t>
        </is>
      </c>
      <c r="D401" s="41" t="n">
        <v>45646.45745400463</v>
      </c>
      <c r="E401" s="27" t="n">
        <v>-28.633685</v>
      </c>
      <c r="F401" s="27" t="n">
        <v>30.501333</v>
      </c>
      <c r="G401" s="27" t="inlineStr">
        <is>
          <t>Open</t>
        </is>
      </c>
      <c r="H401" s="27" t="inlineStr">
        <is>
          <t>ScannerApp</t>
        </is>
      </c>
      <c r="I401" s="27" t="inlineStr">
        <is>
          <t>12</t>
        </is>
      </c>
      <c r="J401" s="27" t="n">
        <v>2024</v>
      </c>
    </row>
    <row r="402" ht="15" customHeight="1" s="24">
      <c r="A402" s="27" t="n">
        <v>3604791</v>
      </c>
      <c r="B402" s="27" t="n">
        <v>496319</v>
      </c>
      <c r="C402" s="27" t="inlineStr">
        <is>
          <t>ArrivedAtPickupPoint</t>
        </is>
      </c>
      <c r="D402" s="41" t="n">
        <v>45646.63897395833</v>
      </c>
      <c r="E402" s="27" t="n">
        <v>-25.485775</v>
      </c>
      <c r="F402" s="27" t="n">
        <v>29.532805</v>
      </c>
      <c r="G402" s="27" t="inlineStr">
        <is>
          <t>Open</t>
        </is>
      </c>
      <c r="H402" s="27" t="inlineStr">
        <is>
          <t>CourierGPS</t>
        </is>
      </c>
      <c r="I402" s="27" t="inlineStr">
        <is>
          <t>12</t>
        </is>
      </c>
      <c r="J402" s="27" t="n">
        <v>2024</v>
      </c>
    </row>
    <row r="403" ht="15" customHeight="1" s="24">
      <c r="A403" s="27" t="n">
        <v>3609609</v>
      </c>
      <c r="B403" s="27" t="n">
        <v>501142</v>
      </c>
      <c r="C403" s="27" t="inlineStr">
        <is>
          <t>ArrivedAtPickupPoint</t>
        </is>
      </c>
      <c r="D403" s="41" t="n">
        <v>45648.01677193287</v>
      </c>
      <c r="E403" s="27" t="n">
        <v>-25.904166</v>
      </c>
      <c r="F403" s="27" t="n">
        <v>28.072953</v>
      </c>
      <c r="G403" s="27" t="inlineStr">
        <is>
          <t>Open</t>
        </is>
      </c>
      <c r="H403" s="27" t="inlineStr">
        <is>
          <t>PartnerPOS</t>
        </is>
      </c>
      <c r="I403" s="27" t="inlineStr">
        <is>
          <t>12</t>
        </is>
      </c>
      <c r="J403" s="27" t="n">
        <v>2024</v>
      </c>
    </row>
    <row r="404" ht="15" customHeight="1" s="24">
      <c r="A404" s="27" t="n">
        <v>3445491</v>
      </c>
      <c r="B404" s="27" t="n">
        <v>516516</v>
      </c>
      <c r="C404" s="27" t="inlineStr">
        <is>
          <t>Created</t>
        </is>
      </c>
      <c r="D404" s="41" t="n">
        <v>45648.65896392361</v>
      </c>
      <c r="E404" s="27" t="n">
        <v>-25.434569</v>
      </c>
      <c r="F404" s="27" t="n">
        <v>27.772093</v>
      </c>
      <c r="G404" s="27" t="inlineStr">
        <is>
          <t>Open</t>
        </is>
      </c>
      <c r="H404" s="27" t="inlineStr">
        <is>
          <t>API</t>
        </is>
      </c>
      <c r="I404" s="27" t="inlineStr">
        <is>
          <t>12</t>
        </is>
      </c>
      <c r="J404" s="27" t="n">
        <v>2024</v>
      </c>
    </row>
    <row r="405" ht="15" customHeight="1" s="24">
      <c r="A405" s="27" t="n">
        <v>3423554</v>
      </c>
      <c r="B405" s="27" t="n">
        <v>494579</v>
      </c>
      <c r="C405" s="27" t="inlineStr">
        <is>
          <t>Created</t>
        </is>
      </c>
      <c r="D405" s="41" t="n">
        <v>45649.07044226852</v>
      </c>
      <c r="E405" s="27" t="n">
        <v>-25.352821</v>
      </c>
      <c r="F405" s="27" t="n">
        <v>31.777123</v>
      </c>
      <c r="G405" s="27" t="inlineStr">
        <is>
          <t>Open</t>
        </is>
      </c>
      <c r="H405" s="27" t="inlineStr">
        <is>
          <t>API</t>
        </is>
      </c>
      <c r="I405" s="27" t="inlineStr">
        <is>
          <t>12</t>
        </is>
      </c>
      <c r="J405" s="27" t="n">
        <v>2024</v>
      </c>
    </row>
    <row r="406" ht="15" customHeight="1" s="24">
      <c r="A406" s="27" t="n">
        <v>3525290</v>
      </c>
      <c r="B406" s="27" t="n">
        <v>506559</v>
      </c>
      <c r="C406" s="27" t="inlineStr">
        <is>
          <t>AtHub</t>
        </is>
      </c>
      <c r="D406" s="41" t="n">
        <v>45649.40339043982</v>
      </c>
      <c r="E406" s="27" t="n">
        <v>-35.399825</v>
      </c>
      <c r="F406" s="27" t="n">
        <v>26.41587</v>
      </c>
      <c r="G406" s="27" t="inlineStr">
        <is>
          <t>Open</t>
        </is>
      </c>
      <c r="H406" s="27" t="inlineStr">
        <is>
          <t>PartnerPOS</t>
        </is>
      </c>
      <c r="I406" s="27" t="inlineStr">
        <is>
          <t>12</t>
        </is>
      </c>
      <c r="J406" s="27" t="n">
        <v>2024</v>
      </c>
    </row>
    <row r="407" ht="15" customHeight="1" s="24">
      <c r="A407" s="27" t="n">
        <v>3586654</v>
      </c>
      <c r="B407" s="27" t="n">
        <v>523045</v>
      </c>
      <c r="C407" s="27" t="inlineStr">
        <is>
          <t>InLinehaul</t>
        </is>
      </c>
      <c r="D407" s="41" t="n">
        <v>45650.34264675926</v>
      </c>
      <c r="E407" s="27" t="n">
        <v>-26.651363</v>
      </c>
      <c r="F407" s="27" t="n">
        <v>19.320277</v>
      </c>
      <c r="G407" s="27" t="inlineStr">
        <is>
          <t>Open</t>
        </is>
      </c>
      <c r="H407" s="27" t="inlineStr">
        <is>
          <t>API</t>
        </is>
      </c>
      <c r="I407" s="27" t="inlineStr">
        <is>
          <t>12</t>
        </is>
      </c>
      <c r="J407" s="27" t="n">
        <v>2024</v>
      </c>
    </row>
    <row r="408" ht="15" customHeight="1" s="24">
      <c r="A408" s="27" t="n">
        <v>3632833</v>
      </c>
      <c r="B408" s="27" t="n">
        <v>524415</v>
      </c>
      <c r="C408" s="27" t="inlineStr">
        <is>
          <t>ArrivedAtPickupPoint</t>
        </is>
      </c>
      <c r="D408" s="41" t="n">
        <v>45650.59721059028</v>
      </c>
      <c r="E408" s="27" t="n">
        <v>-30.257078</v>
      </c>
      <c r="F408" s="27" t="n">
        <v>31.650276</v>
      </c>
      <c r="G408" s="27" t="inlineStr">
        <is>
          <t>Open</t>
        </is>
      </c>
      <c r="H408" s="27" t="inlineStr">
        <is>
          <t>PartnerPOS</t>
        </is>
      </c>
      <c r="I408" s="27" t="inlineStr">
        <is>
          <t>12</t>
        </is>
      </c>
      <c r="J408" s="27" t="n">
        <v>2024</v>
      </c>
    </row>
    <row r="409" ht="15" customHeight="1" s="24">
      <c r="A409" s="27" t="n">
        <v>3487513</v>
      </c>
      <c r="B409" s="27" t="n">
        <v>513660</v>
      </c>
      <c r="C409" s="27" t="inlineStr">
        <is>
          <t>CollectedFromRetailer</t>
        </is>
      </c>
      <c r="D409" s="41" t="n">
        <v>45651.15971481481</v>
      </c>
      <c r="E409" s="27" t="n">
        <v>-28.355361</v>
      </c>
      <c r="F409" s="27" t="n">
        <v>26.97522</v>
      </c>
      <c r="G409" s="27" t="inlineStr">
        <is>
          <t>Open</t>
        </is>
      </c>
      <c r="H409" s="27" t="inlineStr">
        <is>
          <t>CourierGPS</t>
        </is>
      </c>
      <c r="I409" s="27" t="inlineStr">
        <is>
          <t>12</t>
        </is>
      </c>
      <c r="J409" s="27" t="n">
        <v>2024</v>
      </c>
    </row>
    <row r="410" ht="15" customHeight="1" s="24">
      <c r="A410" s="27" t="n">
        <v>3686480</v>
      </c>
      <c r="B410" s="27" t="n">
        <v>533299</v>
      </c>
      <c r="C410" s="27" t="inlineStr">
        <is>
          <t>CustomerNotified</t>
        </is>
      </c>
      <c r="D410" s="41" t="n">
        <v>45651.59693696759</v>
      </c>
      <c r="E410" s="27" t="n">
        <v>-26.581258</v>
      </c>
      <c r="F410" s="27" t="n">
        <v>28.13391</v>
      </c>
      <c r="G410" s="27" t="inlineStr">
        <is>
          <t>Open</t>
        </is>
      </c>
      <c r="H410" s="27" t="inlineStr">
        <is>
          <t>PartnerPOS</t>
        </is>
      </c>
      <c r="I410" s="27" t="inlineStr">
        <is>
          <t>12</t>
        </is>
      </c>
      <c r="J410" s="27" t="n">
        <v>2024</v>
      </c>
    </row>
    <row r="411" ht="15" customHeight="1" s="24">
      <c r="A411" s="27" t="n">
        <v>3510882</v>
      </c>
      <c r="B411" s="27" t="n">
        <v>492151</v>
      </c>
      <c r="C411" s="27" t="inlineStr">
        <is>
          <t>AtHub</t>
        </is>
      </c>
      <c r="D411" s="41" t="n">
        <v>45652.20908452546</v>
      </c>
      <c r="E411" s="27" t="n">
        <v>-25.635768</v>
      </c>
      <c r="F411" s="27" t="n">
        <v>27.482006</v>
      </c>
      <c r="G411" s="27" t="inlineStr">
        <is>
          <t>Open</t>
        </is>
      </c>
      <c r="H411" s="27" t="inlineStr">
        <is>
          <t>ScannerApp</t>
        </is>
      </c>
      <c r="I411" s="27" t="inlineStr">
        <is>
          <t>12</t>
        </is>
      </c>
      <c r="J411" s="27" t="n">
        <v>2024</v>
      </c>
    </row>
    <row r="412" ht="15" customHeight="1" s="24">
      <c r="A412" s="27" t="n">
        <v>3705365</v>
      </c>
      <c r="B412" s="27" t="n">
        <v>508777</v>
      </c>
      <c r="C412" s="27" t="inlineStr">
        <is>
          <t>CollectedByCustomer</t>
        </is>
      </c>
      <c r="D412" s="41" t="n">
        <v>45653.58016469907</v>
      </c>
      <c r="E412" s="27" t="n">
        <v>-25.972502</v>
      </c>
      <c r="F412" s="27" t="n">
        <v>28.344422</v>
      </c>
      <c r="G412" s="27" t="inlineStr">
        <is>
          <t>Closed</t>
        </is>
      </c>
      <c r="H412" s="27" t="inlineStr">
        <is>
          <t>ScannerApp</t>
        </is>
      </c>
      <c r="I412" s="27" t="inlineStr">
        <is>
          <t>12</t>
        </is>
      </c>
      <c r="J412" s="27" t="n">
        <v>2024</v>
      </c>
    </row>
    <row r="413" ht="15" customHeight="1" s="24">
      <c r="A413" s="27" t="n">
        <v>3629052</v>
      </c>
      <c r="B413" s="27" t="n">
        <v>520629</v>
      </c>
      <c r="C413" s="27" t="inlineStr">
        <is>
          <t>ArrivedAtPickupPoint</t>
        </is>
      </c>
      <c r="D413" s="41" t="n">
        <v>45654.07184869213</v>
      </c>
      <c r="E413" s="27" t="n">
        <v>-25.788544</v>
      </c>
      <c r="F413" s="27" t="n">
        <v>28.607398</v>
      </c>
      <c r="G413" s="27" t="inlineStr">
        <is>
          <t>Open</t>
        </is>
      </c>
      <c r="H413" s="27" t="inlineStr">
        <is>
          <t>API</t>
        </is>
      </c>
      <c r="I413" s="27" t="inlineStr">
        <is>
          <t>12</t>
        </is>
      </c>
      <c r="J413" s="27" t="n">
        <v>2024</v>
      </c>
    </row>
    <row r="414" ht="15" customHeight="1" s="24">
      <c r="A414" s="27" t="n">
        <v>3623369</v>
      </c>
      <c r="B414" s="27" t="n">
        <v>514937</v>
      </c>
      <c r="C414" s="27" t="inlineStr">
        <is>
          <t>ArrivedAtPickupPoint</t>
        </is>
      </c>
      <c r="D414" s="41" t="n">
        <v>45655.8657712037</v>
      </c>
      <c r="E414" s="27" t="n">
        <v>-34.502329</v>
      </c>
      <c r="F414" s="27" t="n">
        <v>21.186672</v>
      </c>
      <c r="G414" s="27" t="inlineStr">
        <is>
          <t>Open</t>
        </is>
      </c>
      <c r="H414" s="27" t="inlineStr">
        <is>
          <t>PartnerPOS</t>
        </is>
      </c>
      <c r="I414" s="27" t="inlineStr">
        <is>
          <t>12</t>
        </is>
      </c>
      <c r="J414" s="27" t="n">
        <v>2024</v>
      </c>
    </row>
    <row r="415" ht="15" customHeight="1" s="24">
      <c r="A415" s="27" t="n">
        <v>3654036</v>
      </c>
      <c r="B415" s="27" t="n">
        <v>500783</v>
      </c>
      <c r="C415" s="27" t="inlineStr">
        <is>
          <t>CustomerNotified</t>
        </is>
      </c>
      <c r="D415" s="41" t="n">
        <v>45655.95756157408</v>
      </c>
      <c r="E415" s="27" t="n">
        <v>-28.487859</v>
      </c>
      <c r="F415" s="27" t="n">
        <v>26.219801</v>
      </c>
      <c r="G415" s="27" t="inlineStr">
        <is>
          <t>Open</t>
        </is>
      </c>
      <c r="H415" s="27" t="inlineStr">
        <is>
          <t>CourierGPS</t>
        </is>
      </c>
      <c r="I415" s="27" t="inlineStr">
        <is>
          <t>12</t>
        </is>
      </c>
      <c r="J415" s="27" t="n">
        <v>2024</v>
      </c>
    </row>
    <row r="416" ht="15" customHeight="1" s="24">
      <c r="A416" s="27" t="n">
        <v>3509647</v>
      </c>
      <c r="B416" s="27" t="n">
        <v>490916</v>
      </c>
      <c r="C416" s="27" t="inlineStr">
        <is>
          <t>AtHub</t>
        </is>
      </c>
      <c r="D416" s="41" t="n">
        <v>45656.63973157408</v>
      </c>
      <c r="E416" s="27" t="n">
        <v>-21.037192</v>
      </c>
      <c r="F416" s="27" t="n">
        <v>27.626355</v>
      </c>
      <c r="G416" s="27" t="inlineStr">
        <is>
          <t>Open</t>
        </is>
      </c>
      <c r="H416" s="27" t="inlineStr">
        <is>
          <t>CourierGPS</t>
        </is>
      </c>
      <c r="I416" s="27" t="inlineStr">
        <is>
          <t>12</t>
        </is>
      </c>
      <c r="J416" s="27" t="n">
        <v>2024</v>
      </c>
    </row>
    <row r="417" ht="15" customHeight="1" s="24">
      <c r="A417" s="27" t="n">
        <v>3573645</v>
      </c>
      <c r="B417" s="27" t="n">
        <v>510036</v>
      </c>
      <c r="C417" s="27" t="inlineStr">
        <is>
          <t>InLinehaul</t>
        </is>
      </c>
      <c r="D417" s="41" t="n">
        <v>45656.69606581018</v>
      </c>
      <c r="E417" s="27" t="n">
        <v>-24.470536</v>
      </c>
      <c r="F417" s="27" t="n">
        <v>29.029026</v>
      </c>
      <c r="G417" s="27" t="inlineStr">
        <is>
          <t>Open</t>
        </is>
      </c>
      <c r="H417" s="27" t="inlineStr">
        <is>
          <t>CourierGPS</t>
        </is>
      </c>
      <c r="I417" s="27" t="inlineStr">
        <is>
          <t>12</t>
        </is>
      </c>
      <c r="J417" s="27" t="n">
        <v>2024</v>
      </c>
    </row>
    <row r="418" ht="15" customHeight="1" s="24">
      <c r="A418" s="27" t="n">
        <v>3728329</v>
      </c>
      <c r="B418" s="27" t="n">
        <v>533512</v>
      </c>
      <c r="C418" s="27" t="inlineStr">
        <is>
          <t>CollectedByCustomer</t>
        </is>
      </c>
      <c r="D418" s="41" t="n">
        <v>45657.26659256945</v>
      </c>
      <c r="E418" s="27" t="n">
        <v>-30.517938</v>
      </c>
      <c r="F418" s="27" t="n">
        <v>29.587514</v>
      </c>
      <c r="G418" s="27" t="inlineStr">
        <is>
          <t>Closed</t>
        </is>
      </c>
      <c r="H418" s="27" t="inlineStr">
        <is>
          <t>PartnerPOS</t>
        </is>
      </c>
      <c r="I418" s="27" t="inlineStr">
        <is>
          <t>12</t>
        </is>
      </c>
      <c r="J418" s="27" t="n">
        <v>2024</v>
      </c>
    </row>
    <row r="419" ht="15" customHeight="1" s="24">
      <c r="A419" s="27" t="n">
        <v>3527112</v>
      </c>
      <c r="B419" s="27" t="n">
        <v>508381</v>
      </c>
      <c r="C419" s="27" t="inlineStr">
        <is>
          <t>AtHub</t>
        </is>
      </c>
      <c r="D419" s="41" t="n">
        <v>45658.37848082176</v>
      </c>
      <c r="E419" s="27" t="n">
        <v>-25.128529</v>
      </c>
      <c r="F419" s="27" t="n">
        <v>26.140263</v>
      </c>
      <c r="G419" s="27" t="inlineStr">
        <is>
          <t>Open</t>
        </is>
      </c>
      <c r="H419" s="27" t="inlineStr">
        <is>
          <t>ScannerApp</t>
        </is>
      </c>
      <c r="I419" s="27" t="inlineStr">
        <is>
          <t>12</t>
        </is>
      </c>
      <c r="J419" s="27" t="n">
        <v>2024</v>
      </c>
    </row>
    <row r="420" ht="15" customHeight="1" s="24">
      <c r="A420" s="27" t="n">
        <v>3703370</v>
      </c>
      <c r="B420" s="27" t="n">
        <v>506624</v>
      </c>
      <c r="C420" s="27" t="inlineStr">
        <is>
          <t>CollectedByCustomer</t>
        </is>
      </c>
      <c r="D420" s="41" t="n">
        <v>45658.58546458333</v>
      </c>
      <c r="E420" s="27" t="n">
        <v>-25.742853</v>
      </c>
      <c r="F420" s="27" t="n">
        <v>28.831585</v>
      </c>
      <c r="G420" s="27" t="inlineStr">
        <is>
          <t>Closed</t>
        </is>
      </c>
      <c r="H420" s="27" t="inlineStr">
        <is>
          <t>ScannerApp</t>
        </is>
      </c>
      <c r="I420" s="27" t="inlineStr">
        <is>
          <t>12</t>
        </is>
      </c>
      <c r="J420" s="27" t="n">
        <v>2024</v>
      </c>
    </row>
    <row r="421" ht="15" customHeight="1" s="24">
      <c r="A421" s="27" t="n">
        <v>3744486</v>
      </c>
      <c r="B421" s="27" t="n">
        <v>547314</v>
      </c>
      <c r="C421" s="27" t="inlineStr">
        <is>
          <t>Created</t>
        </is>
      </c>
      <c r="D421" s="41" t="n">
        <v>45660.49095831018</v>
      </c>
      <c r="E421" s="27" t="n">
        <v>-29.345562</v>
      </c>
      <c r="F421" s="27" t="n">
        <v>30.81924</v>
      </c>
      <c r="G421" s="27" t="inlineStr">
        <is>
          <t>Open</t>
        </is>
      </c>
      <c r="H421" s="27" t="inlineStr">
        <is>
          <t>PartnerPOS</t>
        </is>
      </c>
      <c r="I421" s="27" t="inlineStr">
        <is>
          <t>01</t>
        </is>
      </c>
      <c r="J421" s="27" t="n">
        <v>2025</v>
      </c>
    </row>
    <row r="422" ht="15" customHeight="1" s="24">
      <c r="A422" s="27" t="n">
        <v>3706434</v>
      </c>
      <c r="B422" s="27" t="n">
        <v>509914</v>
      </c>
      <c r="C422" s="27" t="inlineStr">
        <is>
          <t>CollectedByCustomer</t>
        </is>
      </c>
      <c r="D422" s="41" t="n">
        <v>45661.23180974537</v>
      </c>
      <c r="E422" s="27" t="n">
        <v>-26.499564</v>
      </c>
      <c r="F422" s="27" t="n">
        <v>28.350879</v>
      </c>
      <c r="G422" s="27" t="inlineStr">
        <is>
          <t>Closed</t>
        </is>
      </c>
      <c r="H422" s="27" t="inlineStr">
        <is>
          <t>CourierGPS</t>
        </is>
      </c>
      <c r="I422" s="27" t="inlineStr">
        <is>
          <t>12</t>
        </is>
      </c>
      <c r="J422" s="27" t="n">
        <v>2024</v>
      </c>
    </row>
    <row r="423" ht="15" customHeight="1" s="24">
      <c r="A423" s="27" t="n">
        <v>3734786</v>
      </c>
      <c r="B423" s="27" t="n">
        <v>537614</v>
      </c>
      <c r="C423" s="27" t="inlineStr">
        <is>
          <t>Created</t>
        </is>
      </c>
      <c r="D423" s="41" t="n">
        <v>45662.39068586806</v>
      </c>
      <c r="E423" s="27" t="n">
        <v>-32.710294</v>
      </c>
      <c r="F423" s="27" t="n">
        <v>20.389379</v>
      </c>
      <c r="G423" s="27" t="inlineStr">
        <is>
          <t>Open</t>
        </is>
      </c>
      <c r="H423" s="27" t="inlineStr">
        <is>
          <t>ScannerApp</t>
        </is>
      </c>
      <c r="I423" s="27" t="inlineStr">
        <is>
          <t>01</t>
        </is>
      </c>
      <c r="J423" s="27" t="n">
        <v>2025</v>
      </c>
    </row>
    <row r="424" ht="15" customHeight="1" s="24">
      <c r="A424" s="27" t="n">
        <v>3690805</v>
      </c>
      <c r="B424" s="27" t="n">
        <v>492977</v>
      </c>
      <c r="C424" s="27" t="inlineStr">
        <is>
          <t>CollectedByCustomer</t>
        </is>
      </c>
      <c r="D424" s="41" t="n">
        <v>45663.15214903935</v>
      </c>
      <c r="E424" s="27" t="n">
        <v>-31.611472</v>
      </c>
      <c r="F424" s="27" t="n">
        <v>18.857539</v>
      </c>
      <c r="G424" s="27" t="inlineStr">
        <is>
          <t>Closed</t>
        </is>
      </c>
      <c r="H424" s="27" t="inlineStr">
        <is>
          <t>PartnerPOS</t>
        </is>
      </c>
      <c r="I424" s="27" t="inlineStr">
        <is>
          <t>12</t>
        </is>
      </c>
      <c r="J424" s="27" t="n">
        <v>2024</v>
      </c>
    </row>
    <row r="425" ht="15" customHeight="1" s="24">
      <c r="A425" s="27" t="n">
        <v>3862265</v>
      </c>
      <c r="B425" s="27" t="n">
        <v>554962</v>
      </c>
      <c r="C425" s="27" t="inlineStr">
        <is>
          <t>CustomerNotified</t>
        </is>
      </c>
      <c r="D425" s="41" t="n">
        <v>45665.9519566088</v>
      </c>
      <c r="E425" s="27" t="n">
        <v>-25.435586</v>
      </c>
      <c r="F425" s="27" t="n">
        <v>24.680906</v>
      </c>
      <c r="G425" s="27" t="inlineStr">
        <is>
          <t>Open</t>
        </is>
      </c>
      <c r="H425" s="27" t="inlineStr">
        <is>
          <t>PartnerPOS</t>
        </is>
      </c>
      <c r="I425" s="27" t="inlineStr">
        <is>
          <t>01</t>
        </is>
      </c>
      <c r="J425" s="27" t="n">
        <v>2025</v>
      </c>
    </row>
    <row r="426" ht="15" customHeight="1" s="24">
      <c r="A426" s="27" t="n">
        <v>3794053</v>
      </c>
      <c r="B426" s="27" t="n">
        <v>552791</v>
      </c>
      <c r="C426" s="27" t="inlineStr">
        <is>
          <t>AtHub</t>
        </is>
      </c>
      <c r="D426" s="41" t="n">
        <v>45667.273773125</v>
      </c>
      <c r="E426" s="27" t="n">
        <v>-33.346223</v>
      </c>
      <c r="F426" s="27" t="n">
        <v>18.429151</v>
      </c>
      <c r="G426" s="27" t="inlineStr">
        <is>
          <t>Open</t>
        </is>
      </c>
      <c r="H426" s="27" t="inlineStr">
        <is>
          <t>CourierGPS</t>
        </is>
      </c>
      <c r="I426" s="27" t="inlineStr">
        <is>
          <t>01</t>
        </is>
      </c>
      <c r="J426" s="27" t="n">
        <v>2025</v>
      </c>
    </row>
    <row r="427" ht="15" customHeight="1" s="24">
      <c r="A427" s="27" t="n">
        <v>3776105</v>
      </c>
      <c r="B427" s="27" t="n">
        <v>556888</v>
      </c>
      <c r="C427" s="27" t="inlineStr">
        <is>
          <t>CollectedFromRetailer</t>
        </is>
      </c>
      <c r="D427" s="41" t="n">
        <v>45667.9662984838</v>
      </c>
      <c r="E427" s="27" t="n">
        <v>-30.223739</v>
      </c>
      <c r="F427" s="27" t="n">
        <v>31.896042</v>
      </c>
      <c r="G427" s="27" t="inlineStr">
        <is>
          <t>Open</t>
        </is>
      </c>
      <c r="H427" s="27" t="inlineStr">
        <is>
          <t>CourierGPS</t>
        </is>
      </c>
      <c r="I427" s="27" t="inlineStr">
        <is>
          <t>01</t>
        </is>
      </c>
      <c r="J427" s="27" t="n">
        <v>2025</v>
      </c>
    </row>
    <row r="428" ht="15" customHeight="1" s="24">
      <c r="A428" s="27" t="n">
        <v>3787840</v>
      </c>
      <c r="B428" s="27" t="n">
        <v>546578</v>
      </c>
      <c r="C428" s="27" t="inlineStr">
        <is>
          <t>AtHub</t>
        </is>
      </c>
      <c r="D428" s="41" t="n">
        <v>45668.70389033565</v>
      </c>
      <c r="E428" s="27" t="n">
        <v>-35.202145</v>
      </c>
      <c r="F428" s="27" t="n">
        <v>21.542346</v>
      </c>
      <c r="G428" s="27" t="inlineStr">
        <is>
          <t>Open</t>
        </is>
      </c>
      <c r="H428" s="27" t="inlineStr">
        <is>
          <t>API</t>
        </is>
      </c>
      <c r="I428" s="27" t="inlineStr">
        <is>
          <t>01</t>
        </is>
      </c>
      <c r="J428" s="27" t="n">
        <v>2025</v>
      </c>
    </row>
    <row r="429" ht="15" customHeight="1" s="24">
      <c r="A429" s="27" t="n">
        <v>3747613</v>
      </c>
      <c r="B429" s="27" t="n">
        <v>550441</v>
      </c>
      <c r="C429" s="27" t="inlineStr">
        <is>
          <t>Created</t>
        </is>
      </c>
      <c r="D429" s="41" t="n">
        <v>45668.94876563657</v>
      </c>
      <c r="E429" s="27" t="n">
        <v>-26.079863</v>
      </c>
      <c r="F429" s="27" t="n">
        <v>30.496693</v>
      </c>
      <c r="G429" s="27" t="inlineStr">
        <is>
          <t>Open</t>
        </is>
      </c>
      <c r="H429" s="27" t="inlineStr">
        <is>
          <t>ScannerApp</t>
        </is>
      </c>
      <c r="I429" s="27" t="inlineStr">
        <is>
          <t>01</t>
        </is>
      </c>
      <c r="J429" s="27" t="n">
        <v>2025</v>
      </c>
    </row>
    <row r="430" ht="15" customHeight="1" s="24">
      <c r="A430" s="27" t="n">
        <v>3884549</v>
      </c>
      <c r="B430" s="27" t="n">
        <v>556891</v>
      </c>
      <c r="C430" s="27" t="inlineStr">
        <is>
          <t>CollectedByCustomer</t>
        </is>
      </c>
      <c r="D430" s="41" t="n">
        <v>45670.11372278935</v>
      </c>
      <c r="E430" s="27" t="n">
        <v>-32.857105</v>
      </c>
      <c r="F430" s="27" t="n">
        <v>26.093012</v>
      </c>
      <c r="G430" s="27" t="inlineStr">
        <is>
          <t>Closed</t>
        </is>
      </c>
      <c r="H430" s="27" t="inlineStr">
        <is>
          <t>ScannerApp</t>
        </is>
      </c>
      <c r="I430" s="27" t="inlineStr">
        <is>
          <t>01</t>
        </is>
      </c>
      <c r="J430" s="27" t="n">
        <v>2025</v>
      </c>
    </row>
    <row r="431" ht="15" customHeight="1" s="24">
      <c r="A431" s="27" t="n">
        <v>3884379</v>
      </c>
      <c r="B431" s="27" t="n">
        <v>556708</v>
      </c>
      <c r="C431" s="27" t="inlineStr">
        <is>
          <t>CollectedByCustomer</t>
        </is>
      </c>
      <c r="D431" s="41" t="n">
        <v>45670.63886966436</v>
      </c>
      <c r="E431" s="27" t="n">
        <v>-26.357329</v>
      </c>
      <c r="F431" s="27" t="n">
        <v>27.580318</v>
      </c>
      <c r="G431" s="27" t="inlineStr">
        <is>
          <t>Closed</t>
        </is>
      </c>
      <c r="H431" s="27" t="inlineStr">
        <is>
          <t>ScannerApp</t>
        </is>
      </c>
      <c r="I431" s="27" t="inlineStr">
        <is>
          <t>01</t>
        </is>
      </c>
      <c r="J431" s="27" t="n">
        <v>2025</v>
      </c>
    </row>
    <row r="432" ht="15" customHeight="1" s="24">
      <c r="A432" s="27" t="n">
        <v>3869310</v>
      </c>
      <c r="B432" s="27" t="n">
        <v>540381</v>
      </c>
      <c r="C432" s="27" t="inlineStr">
        <is>
          <t>CollectedByCustomer</t>
        </is>
      </c>
      <c r="D432" s="41" t="n">
        <v>45671.34617027778</v>
      </c>
      <c r="E432" s="27" t="n">
        <v>-25.601874</v>
      </c>
      <c r="F432" s="27" t="n">
        <v>27.785297</v>
      </c>
      <c r="G432" s="27" t="inlineStr">
        <is>
          <t>Closed</t>
        </is>
      </c>
      <c r="H432" s="27" t="inlineStr">
        <is>
          <t>ScannerApp</t>
        </is>
      </c>
      <c r="I432" s="27" t="inlineStr">
        <is>
          <t>01</t>
        </is>
      </c>
      <c r="J432" s="27" t="n">
        <v>2025</v>
      </c>
    </row>
    <row r="433" ht="15" customHeight="1" s="24">
      <c r="A433" s="27" t="n">
        <v>3751152</v>
      </c>
      <c r="B433" s="27" t="n">
        <v>553980</v>
      </c>
      <c r="C433" s="27" t="inlineStr">
        <is>
          <t>Created</t>
        </is>
      </c>
      <c r="D433" s="41" t="n">
        <v>45673.39649664352</v>
      </c>
      <c r="E433" s="27" t="n">
        <v>-29.971307</v>
      </c>
      <c r="F433" s="27" t="n">
        <v>31.383795</v>
      </c>
      <c r="G433" s="27" t="inlineStr">
        <is>
          <t>Open</t>
        </is>
      </c>
      <c r="H433" s="27" t="inlineStr">
        <is>
          <t>PartnerPOS</t>
        </is>
      </c>
      <c r="I433" s="27" t="inlineStr">
        <is>
          <t>01</t>
        </is>
      </c>
      <c r="J433" s="27" t="n">
        <v>2025</v>
      </c>
    </row>
    <row r="434" ht="15" customHeight="1" s="24">
      <c r="A434" s="27" t="n">
        <v>3819791</v>
      </c>
      <c r="B434" s="27" t="n">
        <v>556484</v>
      </c>
      <c r="C434" s="27" t="inlineStr">
        <is>
          <t>InLinehaul</t>
        </is>
      </c>
      <c r="D434" s="41" t="n">
        <v>45674.98821583333</v>
      </c>
      <c r="E434" s="27" t="n">
        <v>-28.46991</v>
      </c>
      <c r="F434" s="27" t="n">
        <v>30.258636</v>
      </c>
      <c r="G434" s="27" t="inlineStr">
        <is>
          <t>Open</t>
        </is>
      </c>
      <c r="H434" s="27" t="inlineStr">
        <is>
          <t>ScannerApp</t>
        </is>
      </c>
      <c r="I434" s="27" t="inlineStr">
        <is>
          <t>01</t>
        </is>
      </c>
      <c r="J434" s="27" t="n">
        <v>2025</v>
      </c>
    </row>
    <row r="435" ht="15" customHeight="1" s="24">
      <c r="A435" s="27" t="n">
        <v>3778734</v>
      </c>
      <c r="B435" s="27" t="n">
        <v>537472</v>
      </c>
      <c r="C435" s="27" t="inlineStr">
        <is>
          <t>AtHub</t>
        </is>
      </c>
      <c r="D435" s="41" t="n">
        <v>45676.23298388889</v>
      </c>
      <c r="E435" s="27" t="n">
        <v>-26.375074</v>
      </c>
      <c r="F435" s="27" t="n">
        <v>24.55106</v>
      </c>
      <c r="G435" s="27" t="inlineStr">
        <is>
          <t>Open</t>
        </is>
      </c>
      <c r="H435" s="27" t="inlineStr">
        <is>
          <t>PartnerPOS</t>
        </is>
      </c>
      <c r="I435" s="27" t="inlineStr">
        <is>
          <t>01</t>
        </is>
      </c>
      <c r="J435" s="27" t="n">
        <v>2025</v>
      </c>
    </row>
    <row r="436" ht="15" customHeight="1" s="24">
      <c r="A436" s="27" t="n">
        <v>3853073</v>
      </c>
      <c r="B436" s="27" t="n">
        <v>545749</v>
      </c>
      <c r="C436" s="27" t="inlineStr">
        <is>
          <t>CustomerNotified</t>
        </is>
      </c>
      <c r="D436" s="41" t="n">
        <v>45680.2739553588</v>
      </c>
      <c r="E436" s="27" t="n">
        <v>-33.163196</v>
      </c>
      <c r="F436" s="27" t="n">
        <v>29.469425</v>
      </c>
      <c r="G436" s="27" t="inlineStr">
        <is>
          <t>Open</t>
        </is>
      </c>
      <c r="H436" s="27" t="inlineStr">
        <is>
          <t>API</t>
        </is>
      </c>
      <c r="I436" s="27" t="inlineStr">
        <is>
          <t>01</t>
        </is>
      </c>
      <c r="J436" s="27" t="n">
        <v>2025</v>
      </c>
    </row>
    <row r="437" ht="15" customHeight="1" s="24">
      <c r="A437" s="27" t="n">
        <v>3760468</v>
      </c>
      <c r="B437" s="27" t="n">
        <v>541251</v>
      </c>
      <c r="C437" s="27" t="inlineStr">
        <is>
          <t>CollectedFromRetailer</t>
        </is>
      </c>
      <c r="D437" s="41" t="n">
        <v>45681.38708420139</v>
      </c>
      <c r="E437" s="27" t="n">
        <v>-25.640085</v>
      </c>
      <c r="F437" s="27" t="n">
        <v>28.922918</v>
      </c>
      <c r="G437" s="27" t="inlineStr">
        <is>
          <t>Open</t>
        </is>
      </c>
      <c r="H437" s="27" t="inlineStr">
        <is>
          <t>PartnerPOS</t>
        </is>
      </c>
      <c r="I437" s="27" t="inlineStr">
        <is>
          <t>01</t>
        </is>
      </c>
      <c r="J437" s="27" t="n">
        <v>2025</v>
      </c>
    </row>
    <row r="438" ht="15" customHeight="1" s="24">
      <c r="A438" s="27" t="n">
        <v>3792467</v>
      </c>
      <c r="B438" s="27" t="n">
        <v>551205</v>
      </c>
      <c r="C438" s="27" t="inlineStr">
        <is>
          <t>AtHub</t>
        </is>
      </c>
      <c r="D438" s="41" t="n">
        <v>45687.86709594908</v>
      </c>
      <c r="E438" s="27" t="n">
        <v>-28.91142</v>
      </c>
      <c r="F438" s="27" t="n">
        <v>29.860235</v>
      </c>
      <c r="G438" s="27" t="inlineStr">
        <is>
          <t>Open</t>
        </is>
      </c>
      <c r="H438" s="27" t="inlineStr">
        <is>
          <t>CourierGPS</t>
        </is>
      </c>
      <c r="I438" s="27" t="inlineStr">
        <is>
          <t>01</t>
        </is>
      </c>
      <c r="J438" s="27" t="n">
        <v>2025</v>
      </c>
    </row>
    <row r="439" ht="15" customHeight="1" s="24">
      <c r="A439" s="27" t="n">
        <v>3829679</v>
      </c>
      <c r="B439" s="27" t="n">
        <v>544345</v>
      </c>
      <c r="C439" s="27" t="inlineStr">
        <is>
          <t>ArrivedAtPickupPoint</t>
        </is>
      </c>
      <c r="D439" s="41" t="n">
        <v>45688.38392711805</v>
      </c>
      <c r="E439" s="27" t="n">
        <v>-25.101464</v>
      </c>
      <c r="F439" s="27" t="n">
        <v>24.355317</v>
      </c>
      <c r="G439" s="27" t="inlineStr">
        <is>
          <t>Open</t>
        </is>
      </c>
      <c r="H439" s="27" t="inlineStr">
        <is>
          <t>ScannerApp</t>
        </is>
      </c>
      <c r="I439" s="27" t="inlineStr">
        <is>
          <t>01</t>
        </is>
      </c>
      <c r="J439" s="27" t="n">
        <v>2025</v>
      </c>
    </row>
    <row r="440" ht="15" customHeight="1" s="24">
      <c r="A440" s="27" t="n">
        <v>3869181</v>
      </c>
      <c r="B440" s="27" t="n">
        <v>540245</v>
      </c>
      <c r="C440" s="27" t="inlineStr">
        <is>
          <t>CollectedByCustomer</t>
        </is>
      </c>
      <c r="D440" s="41" t="n">
        <v>45688.67559412037</v>
      </c>
      <c r="E440" s="27" t="n">
        <v>-26.950207</v>
      </c>
      <c r="F440" s="27" t="n">
        <v>30.473139</v>
      </c>
      <c r="G440" s="27" t="inlineStr">
        <is>
          <t>Closed</t>
        </is>
      </c>
      <c r="H440" s="27" t="inlineStr">
        <is>
          <t>ScannerApp</t>
        </is>
      </c>
      <c r="I440" s="27" t="inlineStr">
        <is>
          <t>01</t>
        </is>
      </c>
      <c r="J440" s="27" t="n">
        <v>2025</v>
      </c>
    </row>
    <row r="441" ht="15" customHeight="1" s="24">
      <c r="A441" s="27" t="n">
        <v>3830600</v>
      </c>
      <c r="B441" s="27" t="n">
        <v>545269</v>
      </c>
      <c r="C441" s="27" t="inlineStr">
        <is>
          <t>ArrivedAtPickupPoint</t>
        </is>
      </c>
      <c r="D441" s="41" t="n">
        <v>45688.93676096065</v>
      </c>
      <c r="E441" s="27" t="n">
        <v>-25.556432</v>
      </c>
      <c r="F441" s="27" t="n">
        <v>28.912128</v>
      </c>
      <c r="G441" s="27" t="inlineStr">
        <is>
          <t>Open</t>
        </is>
      </c>
      <c r="H441" s="27" t="inlineStr">
        <is>
          <t>ScannerApp</t>
        </is>
      </c>
      <c r="I441" s="27" t="inlineStr">
        <is>
          <t>01</t>
        </is>
      </c>
      <c r="J441" s="27" t="n">
        <v>2025</v>
      </c>
    </row>
    <row r="442" ht="15" customHeight="1" s="24">
      <c r="A442" s="27" t="n">
        <v>3869403</v>
      </c>
      <c r="B442" s="27" t="n">
        <v>540477</v>
      </c>
      <c r="C442" s="27" t="inlineStr">
        <is>
          <t>CollectedByCustomer</t>
        </is>
      </c>
      <c r="D442" s="41" t="n">
        <v>45690.04202423611</v>
      </c>
      <c r="E442" s="27" t="n">
        <v>-26.179187</v>
      </c>
      <c r="F442" s="27" t="n">
        <v>28.68368</v>
      </c>
      <c r="G442" s="27" t="inlineStr">
        <is>
          <t>Closed</t>
        </is>
      </c>
      <c r="H442" s="27" t="inlineStr">
        <is>
          <t>ScannerApp</t>
        </is>
      </c>
      <c r="I442" s="27" t="inlineStr">
        <is>
          <t>01</t>
        </is>
      </c>
      <c r="J442" s="27" t="n">
        <v>2025</v>
      </c>
    </row>
    <row r="443" ht="15" customHeight="1" s="24">
      <c r="A443" s="27" t="n">
        <v>4061117</v>
      </c>
      <c r="B443" s="27" t="n">
        <v>580354</v>
      </c>
      <c r="C443" s="27" t="inlineStr">
        <is>
          <t>CollectedByCustomer</t>
        </is>
      </c>
      <c r="D443" s="41" t="n">
        <v>45690.83002359953</v>
      </c>
      <c r="E443" s="27" t="n">
        <v>-25.482113</v>
      </c>
      <c r="F443" s="27" t="n">
        <v>27.797052</v>
      </c>
      <c r="G443" s="27" t="inlineStr">
        <is>
          <t>Closed</t>
        </is>
      </c>
      <c r="H443" s="27" t="inlineStr">
        <is>
          <t>ScannerApp</t>
        </is>
      </c>
      <c r="I443" s="27" t="inlineStr">
        <is>
          <t>02</t>
        </is>
      </c>
      <c r="J443" s="27" t="n">
        <v>2025</v>
      </c>
    </row>
    <row r="444" ht="15" customHeight="1" s="24">
      <c r="A444" s="27" t="n">
        <v>3978906</v>
      </c>
      <c r="B444" s="27" t="n">
        <v>573133</v>
      </c>
      <c r="C444" s="27" t="inlineStr">
        <is>
          <t>InLinehaul</t>
        </is>
      </c>
      <c r="D444" s="41" t="n">
        <v>45691.49051424769</v>
      </c>
      <c r="E444" s="27" t="n">
        <v>-26.786925</v>
      </c>
      <c r="F444" s="27" t="n">
        <v>29.190948</v>
      </c>
      <c r="G444" s="27" t="inlineStr">
        <is>
          <t>Open</t>
        </is>
      </c>
      <c r="H444" s="27" t="inlineStr">
        <is>
          <t>CourierGPS</t>
        </is>
      </c>
      <c r="I444" s="27" t="inlineStr">
        <is>
          <t>02</t>
        </is>
      </c>
      <c r="J444" s="27" t="n">
        <v>2025</v>
      </c>
    </row>
    <row r="445" ht="15" customHeight="1" s="24">
      <c r="A445" s="27" t="n">
        <v>3898687</v>
      </c>
      <c r="B445" s="27" t="n">
        <v>569801</v>
      </c>
      <c r="C445" s="27" t="inlineStr">
        <is>
          <t>Created</t>
        </is>
      </c>
      <c r="D445" s="41" t="n">
        <v>45691.52694673611</v>
      </c>
      <c r="E445" s="27" t="n">
        <v>-25.278216</v>
      </c>
      <c r="F445" s="27" t="n">
        <v>28.403114</v>
      </c>
      <c r="G445" s="27" t="inlineStr">
        <is>
          <t>Open</t>
        </is>
      </c>
      <c r="H445" s="27" t="inlineStr">
        <is>
          <t>ScannerApp</t>
        </is>
      </c>
      <c r="I445" s="27" t="inlineStr">
        <is>
          <t>02</t>
        </is>
      </c>
      <c r="J445" s="27" t="n">
        <v>2025</v>
      </c>
    </row>
    <row r="446" ht="15" customHeight="1" s="24">
      <c r="A446" s="27" t="n">
        <v>3914701</v>
      </c>
      <c r="B446" s="27" t="n">
        <v>560186</v>
      </c>
      <c r="C446" s="27" t="inlineStr">
        <is>
          <t>CollectedFromRetailer</t>
        </is>
      </c>
      <c r="D446" s="41" t="n">
        <v>45693.6359740162</v>
      </c>
      <c r="E446" s="27" t="n">
        <v>-26.50459</v>
      </c>
      <c r="F446" s="27" t="n">
        <v>27.973191</v>
      </c>
      <c r="G446" s="27" t="inlineStr">
        <is>
          <t>Open</t>
        </is>
      </c>
      <c r="H446" s="27" t="inlineStr">
        <is>
          <t>ScannerApp</t>
        </is>
      </c>
      <c r="I446" s="27" t="inlineStr">
        <is>
          <t>02</t>
        </is>
      </c>
      <c r="J446" s="27" t="n">
        <v>2025</v>
      </c>
    </row>
    <row r="447" ht="15" customHeight="1" s="24">
      <c r="A447" s="27" t="n">
        <v>4060413</v>
      </c>
      <c r="B447" s="27" t="n">
        <v>579585</v>
      </c>
      <c r="C447" s="27" t="inlineStr">
        <is>
          <t>CollectedByCustomer</t>
        </is>
      </c>
      <c r="D447" s="41" t="n">
        <v>45694.60289065972</v>
      </c>
      <c r="E447" s="27" t="n">
        <v>-34.385278</v>
      </c>
      <c r="F447" s="27" t="n">
        <v>22.498179</v>
      </c>
      <c r="G447" s="27" t="inlineStr">
        <is>
          <t>Closed</t>
        </is>
      </c>
      <c r="H447" s="27" t="inlineStr">
        <is>
          <t>CourierGPS</t>
        </is>
      </c>
      <c r="I447" s="27" t="inlineStr">
        <is>
          <t>02</t>
        </is>
      </c>
      <c r="J447" s="27" t="n">
        <v>2025</v>
      </c>
    </row>
    <row r="448" ht="15" customHeight="1" s="24">
      <c r="A448" s="27" t="n">
        <v>4025118</v>
      </c>
      <c r="B448" s="27" t="n">
        <v>568148</v>
      </c>
      <c r="C448" s="27" t="inlineStr">
        <is>
          <t>CustomerNotified</t>
        </is>
      </c>
      <c r="D448" s="41" t="n">
        <v>45695.15481334491</v>
      </c>
      <c r="E448" s="27" t="n">
        <v>-25.932255</v>
      </c>
      <c r="F448" s="27" t="n">
        <v>27.974363</v>
      </c>
      <c r="G448" s="27" t="inlineStr">
        <is>
          <t>Open</t>
        </is>
      </c>
      <c r="H448" s="27" t="inlineStr">
        <is>
          <t>CourierGPS</t>
        </is>
      </c>
      <c r="I448" s="27" t="inlineStr">
        <is>
          <t>02</t>
        </is>
      </c>
      <c r="J448" s="27" t="n">
        <v>2025</v>
      </c>
    </row>
    <row r="449" ht="15" customHeight="1" s="24">
      <c r="A449" s="27" t="n">
        <v>3979478</v>
      </c>
      <c r="B449" s="27" t="n">
        <v>573705</v>
      </c>
      <c r="C449" s="27" t="inlineStr">
        <is>
          <t>InLinehaul</t>
        </is>
      </c>
      <c r="D449" s="41" t="n">
        <v>45695.69925251157</v>
      </c>
      <c r="E449" s="27" t="n">
        <v>-25.097244</v>
      </c>
      <c r="F449" s="27" t="n">
        <v>25.237468</v>
      </c>
      <c r="G449" s="27" t="inlineStr">
        <is>
          <t>Open</t>
        </is>
      </c>
      <c r="H449" s="27" t="inlineStr">
        <is>
          <t>ScannerApp</t>
        </is>
      </c>
      <c r="I449" s="27" t="inlineStr">
        <is>
          <t>02</t>
        </is>
      </c>
      <c r="J449" s="27" t="n">
        <v>2025</v>
      </c>
    </row>
    <row r="450" ht="15" customHeight="1" s="24">
      <c r="A450" s="27" t="n">
        <v>4026335</v>
      </c>
      <c r="B450" s="27" t="n">
        <v>569367</v>
      </c>
      <c r="C450" s="27" t="inlineStr">
        <is>
          <t>CustomerNotified</t>
        </is>
      </c>
      <c r="D450" s="41" t="n">
        <v>45697.08936462963</v>
      </c>
      <c r="E450" s="27" t="n">
        <v>-26.446011</v>
      </c>
      <c r="F450" s="27" t="n">
        <v>25.379198</v>
      </c>
      <c r="G450" s="27" t="inlineStr">
        <is>
          <t>Open</t>
        </is>
      </c>
      <c r="H450" s="27" t="inlineStr">
        <is>
          <t>PartnerPOS</t>
        </is>
      </c>
      <c r="I450" s="27" t="inlineStr">
        <is>
          <t>02</t>
        </is>
      </c>
      <c r="J450" s="27" t="n">
        <v>2025</v>
      </c>
    </row>
    <row r="451" ht="15" customHeight="1" s="24">
      <c r="A451" s="27" t="n">
        <v>4011387</v>
      </c>
      <c r="B451" s="27" t="n">
        <v>580025</v>
      </c>
      <c r="C451" s="27" t="inlineStr">
        <is>
          <t>ArrivedAtPickupPoint</t>
        </is>
      </c>
      <c r="D451" s="41" t="n">
        <v>45697.56246347222</v>
      </c>
      <c r="E451" s="27" t="n">
        <v>-29.49133</v>
      </c>
      <c r="F451" s="27" t="n">
        <v>31.879135</v>
      </c>
      <c r="G451" s="27" t="inlineStr">
        <is>
          <t>Open</t>
        </is>
      </c>
      <c r="H451" s="27" t="inlineStr">
        <is>
          <t>CourierGPS</t>
        </is>
      </c>
      <c r="I451" s="27" t="inlineStr">
        <is>
          <t>02</t>
        </is>
      </c>
      <c r="J451" s="27" t="n">
        <v>2025</v>
      </c>
    </row>
    <row r="452" ht="15" customHeight="1" s="24">
      <c r="A452" s="27" t="n">
        <v>3888662</v>
      </c>
      <c r="B452" s="27" t="n">
        <v>559776</v>
      </c>
      <c r="C452" s="27" t="inlineStr">
        <is>
          <t>Created</t>
        </is>
      </c>
      <c r="D452" s="41" t="n">
        <v>45697.91766741898</v>
      </c>
      <c r="E452" s="27" t="n">
        <v>-24.790237</v>
      </c>
      <c r="F452" s="27" t="n">
        <v>30.812683</v>
      </c>
      <c r="G452" s="27" t="inlineStr">
        <is>
          <t>Open</t>
        </is>
      </c>
      <c r="H452" s="27" t="inlineStr">
        <is>
          <t>CourierGPS</t>
        </is>
      </c>
      <c r="I452" s="27" t="inlineStr">
        <is>
          <t>02</t>
        </is>
      </c>
      <c r="J452" s="27" t="n">
        <v>2025</v>
      </c>
    </row>
    <row r="453" ht="15" customHeight="1" s="24">
      <c r="A453" s="27" t="n">
        <v>4025345</v>
      </c>
      <c r="B453" s="27" t="n">
        <v>568375</v>
      </c>
      <c r="C453" s="27" t="inlineStr">
        <is>
          <t>CustomerNotified</t>
        </is>
      </c>
      <c r="D453" s="41" t="n">
        <v>45698.0495140625</v>
      </c>
      <c r="E453" s="27" t="n">
        <v>-28.598457</v>
      </c>
      <c r="F453" s="27" t="n">
        <v>30.700541</v>
      </c>
      <c r="G453" s="27" t="inlineStr">
        <is>
          <t>Open</t>
        </is>
      </c>
      <c r="H453" s="27" t="inlineStr">
        <is>
          <t>CourierGPS</t>
        </is>
      </c>
      <c r="I453" s="27" t="inlineStr">
        <is>
          <t>02</t>
        </is>
      </c>
      <c r="J453" s="27" t="n">
        <v>2025</v>
      </c>
    </row>
    <row r="454" ht="15" customHeight="1" s="24">
      <c r="A454" s="27" t="n">
        <v>4058413</v>
      </c>
      <c r="B454" s="27" t="n">
        <v>577424</v>
      </c>
      <c r="C454" s="27" t="inlineStr">
        <is>
          <t>CollectedByCustomer</t>
        </is>
      </c>
      <c r="D454" s="41" t="n">
        <v>45698.22089074074</v>
      </c>
      <c r="E454" s="27" t="n">
        <v>-31.847545</v>
      </c>
      <c r="F454" s="27" t="n">
        <v>20.061341</v>
      </c>
      <c r="G454" s="27" t="inlineStr">
        <is>
          <t>Closed</t>
        </is>
      </c>
      <c r="H454" s="27" t="inlineStr">
        <is>
          <t>ScannerApp</t>
        </is>
      </c>
      <c r="I454" s="27" t="inlineStr">
        <is>
          <t>02</t>
        </is>
      </c>
      <c r="J454" s="27" t="n">
        <v>2025</v>
      </c>
    </row>
    <row r="455" ht="15" customHeight="1" s="24">
      <c r="A455" s="27" t="n">
        <v>3976827</v>
      </c>
      <c r="B455" s="27" t="n">
        <v>571054</v>
      </c>
      <c r="C455" s="27" t="inlineStr">
        <is>
          <t>InLinehaul</t>
        </is>
      </c>
      <c r="D455" s="41" t="n">
        <v>45700.30366916666</v>
      </c>
      <c r="E455" s="27" t="n">
        <v>-27.824211</v>
      </c>
      <c r="F455" s="27" t="n">
        <v>31.918897</v>
      </c>
      <c r="G455" s="27" t="inlineStr">
        <is>
          <t>Open</t>
        </is>
      </c>
      <c r="H455" s="27" t="inlineStr">
        <is>
          <t>ScannerApp</t>
        </is>
      </c>
      <c r="I455" s="27" t="inlineStr">
        <is>
          <t>02</t>
        </is>
      </c>
      <c r="J455" s="27" t="n">
        <v>2025</v>
      </c>
    </row>
    <row r="456" ht="15" customHeight="1" s="24">
      <c r="A456" s="27" t="n">
        <v>4055776</v>
      </c>
      <c r="B456" s="27" t="n">
        <v>574564</v>
      </c>
      <c r="C456" s="27" t="inlineStr">
        <is>
          <t>CollectedByCustomer</t>
        </is>
      </c>
      <c r="D456" s="41" t="n">
        <v>45701.46603189815</v>
      </c>
      <c r="E456" s="27" t="n">
        <v>-30.032259</v>
      </c>
      <c r="F456" s="27" t="n">
        <v>30.972485</v>
      </c>
      <c r="G456" s="27" t="inlineStr">
        <is>
          <t>Closed</t>
        </is>
      </c>
      <c r="H456" s="27" t="inlineStr">
        <is>
          <t>PartnerPOS</t>
        </is>
      </c>
      <c r="I456" s="27" t="inlineStr">
        <is>
          <t>02</t>
        </is>
      </c>
      <c r="J456" s="27" t="n">
        <v>2025</v>
      </c>
    </row>
    <row r="457" ht="15" customHeight="1" s="24">
      <c r="A457" s="27" t="n">
        <v>4057134</v>
      </c>
      <c r="B457" s="27" t="n">
        <v>576050</v>
      </c>
      <c r="C457" s="27" t="inlineStr">
        <is>
          <t>CollectedByCustomer</t>
        </is>
      </c>
      <c r="D457" s="41" t="n">
        <v>45702.6653347338</v>
      </c>
      <c r="E457" s="27" t="n">
        <v>-25.333414</v>
      </c>
      <c r="F457" s="27" t="n">
        <v>28.118355</v>
      </c>
      <c r="G457" s="27" t="inlineStr">
        <is>
          <t>Closed</t>
        </is>
      </c>
      <c r="H457" s="27" t="inlineStr">
        <is>
          <t>PartnerPOS</t>
        </is>
      </c>
      <c r="I457" s="27" t="inlineStr">
        <is>
          <t>02</t>
        </is>
      </c>
      <c r="J457" s="27" t="n">
        <v>2025</v>
      </c>
    </row>
    <row r="458" ht="15" customHeight="1" s="24">
      <c r="A458" s="27" t="n">
        <v>4030626</v>
      </c>
      <c r="B458" s="27" t="n">
        <v>573666</v>
      </c>
      <c r="C458" s="27" t="inlineStr">
        <is>
          <t>CustomerNotified</t>
        </is>
      </c>
      <c r="D458" s="41" t="n">
        <v>45702.70911591435</v>
      </c>
      <c r="E458" s="27" t="n">
        <v>-25.554224</v>
      </c>
      <c r="F458" s="27" t="n">
        <v>27.957582</v>
      </c>
      <c r="G458" s="27" t="inlineStr">
        <is>
          <t>Open</t>
        </is>
      </c>
      <c r="H458" s="27" t="inlineStr">
        <is>
          <t>CourierGPS</t>
        </is>
      </c>
      <c r="I458" s="27" t="inlineStr">
        <is>
          <t>02</t>
        </is>
      </c>
      <c r="J458" s="27" t="n">
        <v>2025</v>
      </c>
    </row>
    <row r="459" ht="15" customHeight="1" s="24">
      <c r="A459" s="27" t="n">
        <v>3892926</v>
      </c>
      <c r="B459" s="27" t="n">
        <v>564040</v>
      </c>
      <c r="C459" s="27" t="inlineStr">
        <is>
          <t>Created</t>
        </is>
      </c>
      <c r="D459" s="41" t="n">
        <v>45703.46270314815</v>
      </c>
      <c r="E459" s="27" t="n">
        <v>-27.821682</v>
      </c>
      <c r="F459" s="27" t="n">
        <v>31.012287</v>
      </c>
      <c r="G459" s="27" t="inlineStr">
        <is>
          <t>Open</t>
        </is>
      </c>
      <c r="H459" s="27" t="inlineStr">
        <is>
          <t>PartnerPOS</t>
        </is>
      </c>
      <c r="I459" s="27" t="inlineStr">
        <is>
          <t>02</t>
        </is>
      </c>
      <c r="J459" s="27" t="n">
        <v>2025</v>
      </c>
    </row>
    <row r="460" ht="15" customHeight="1" s="24">
      <c r="A460" s="27" t="n">
        <v>3966289</v>
      </c>
      <c r="B460" s="27" t="n">
        <v>560516</v>
      </c>
      <c r="C460" s="27" t="inlineStr">
        <is>
          <t>InLinehaul</t>
        </is>
      </c>
      <c r="D460" s="41" t="n">
        <v>45704.69348375</v>
      </c>
      <c r="E460" s="27" t="n">
        <v>-26.816428</v>
      </c>
      <c r="F460" s="27" t="n">
        <v>31.235914</v>
      </c>
      <c r="G460" s="27" t="inlineStr">
        <is>
          <t>Open</t>
        </is>
      </c>
      <c r="H460" s="27" t="inlineStr">
        <is>
          <t>ScannerApp</t>
        </is>
      </c>
      <c r="I460" s="27" t="inlineStr">
        <is>
          <t>02</t>
        </is>
      </c>
      <c r="J460" s="27" t="n">
        <v>2025</v>
      </c>
    </row>
    <row r="461" ht="15" customHeight="1" s="24">
      <c r="A461" s="27" t="n">
        <v>3891608</v>
      </c>
      <c r="B461" s="27" t="n">
        <v>562722</v>
      </c>
      <c r="C461" s="27" t="inlineStr">
        <is>
          <t>Created</t>
        </is>
      </c>
      <c r="D461" s="41" t="n">
        <v>45708.79599545139</v>
      </c>
      <c r="E461" s="27" t="n">
        <v>-25.602999</v>
      </c>
      <c r="F461" s="27" t="n">
        <v>26.845123</v>
      </c>
      <c r="G461" s="27" t="inlineStr">
        <is>
          <t>Open</t>
        </is>
      </c>
      <c r="H461" s="27" t="inlineStr">
        <is>
          <t>CourierGPS</t>
        </is>
      </c>
      <c r="I461" s="27" t="inlineStr">
        <is>
          <t>02</t>
        </is>
      </c>
      <c r="J461" s="27" t="n">
        <v>2025</v>
      </c>
    </row>
    <row r="462" ht="15" customHeight="1" s="24">
      <c r="A462" s="27" t="n">
        <v>3958811</v>
      </c>
      <c r="B462" s="27" t="n">
        <v>578667</v>
      </c>
      <c r="C462" s="27" t="inlineStr">
        <is>
          <t>AtHub</t>
        </is>
      </c>
      <c r="D462" s="41" t="n">
        <v>45709.02324138889</v>
      </c>
      <c r="E462" s="27" t="n">
        <v>-28.494747</v>
      </c>
      <c r="F462" s="27" t="n">
        <v>26.22732</v>
      </c>
      <c r="G462" s="27" t="inlineStr">
        <is>
          <t>Open</t>
        </is>
      </c>
      <c r="H462" s="27" t="inlineStr">
        <is>
          <t>ScannerApp</t>
        </is>
      </c>
      <c r="I462" s="27" t="inlineStr">
        <is>
          <t>02</t>
        </is>
      </c>
      <c r="J462" s="27" t="n">
        <v>2025</v>
      </c>
    </row>
    <row r="463" ht="15" customHeight="1" s="24">
      <c r="A463" s="27" t="n">
        <v>4056002</v>
      </c>
      <c r="B463" s="27" t="n">
        <v>574807</v>
      </c>
      <c r="C463" s="27" t="inlineStr">
        <is>
          <t>CollectedByCustomer</t>
        </is>
      </c>
      <c r="D463" s="41" t="n">
        <v>45709.44328777778</v>
      </c>
      <c r="E463" s="27" t="n">
        <v>-27.270314</v>
      </c>
      <c r="F463" s="27" t="n">
        <v>30.056319</v>
      </c>
      <c r="G463" s="27" t="inlineStr">
        <is>
          <t>Closed</t>
        </is>
      </c>
      <c r="H463" s="27" t="inlineStr">
        <is>
          <t>CourierGPS</t>
        </is>
      </c>
      <c r="I463" s="27" t="inlineStr">
        <is>
          <t>02</t>
        </is>
      </c>
      <c r="J463" s="27" t="n">
        <v>2025</v>
      </c>
    </row>
    <row r="464" ht="15" customHeight="1" s="24">
      <c r="A464" s="27" t="n">
        <v>3889990</v>
      </c>
      <c r="B464" s="27" t="n">
        <v>561104</v>
      </c>
      <c r="C464" s="27" t="inlineStr">
        <is>
          <t>Created</t>
        </is>
      </c>
      <c r="D464" s="41" t="n">
        <v>45711.03402350695</v>
      </c>
      <c r="E464" s="27" t="n">
        <v>-29.224997</v>
      </c>
      <c r="F464" s="27" t="n">
        <v>32.005488</v>
      </c>
      <c r="G464" s="27" t="inlineStr">
        <is>
          <t>Open</t>
        </is>
      </c>
      <c r="H464" s="27" t="inlineStr">
        <is>
          <t>PartnerPOS</t>
        </is>
      </c>
      <c r="I464" s="27" t="inlineStr">
        <is>
          <t>02</t>
        </is>
      </c>
      <c r="J464" s="27" t="n">
        <v>2025</v>
      </c>
    </row>
    <row r="465" ht="15" customHeight="1" s="24">
      <c r="A465" s="27" t="n">
        <v>4030161</v>
      </c>
      <c r="B465" s="27" t="n">
        <v>573201</v>
      </c>
      <c r="C465" s="27" t="inlineStr">
        <is>
          <t>CustomerNotified</t>
        </is>
      </c>
      <c r="D465" s="41" t="n">
        <v>45714.03314449074</v>
      </c>
      <c r="E465" s="27" t="n">
        <v>-25.817398</v>
      </c>
      <c r="F465" s="27" t="n">
        <v>28.51301</v>
      </c>
      <c r="G465" s="27" t="inlineStr">
        <is>
          <t>Open</t>
        </is>
      </c>
      <c r="H465" s="27" t="inlineStr">
        <is>
          <t>ScannerApp</t>
        </is>
      </c>
      <c r="I465" s="27" t="inlineStr">
        <is>
          <t>02</t>
        </is>
      </c>
      <c r="J465" s="27" t="n">
        <v>2025</v>
      </c>
    </row>
    <row r="466" ht="15" customHeight="1" s="24">
      <c r="A466" s="27" t="n">
        <v>3918842</v>
      </c>
      <c r="B466" s="27" t="n">
        <v>564327</v>
      </c>
      <c r="C466" s="27" t="inlineStr">
        <is>
          <t>CollectedFromRetailer</t>
        </is>
      </c>
      <c r="D466" s="41" t="n">
        <v>45714.95285119213</v>
      </c>
      <c r="E466" s="27" t="n">
        <v>-35.385226</v>
      </c>
      <c r="F466" s="27" t="n">
        <v>18.127873</v>
      </c>
      <c r="G466" s="27" t="inlineStr">
        <is>
          <t>Open</t>
        </is>
      </c>
      <c r="H466" s="27" t="inlineStr">
        <is>
          <t>ScannerApp</t>
        </is>
      </c>
      <c r="I466" s="27" t="inlineStr">
        <is>
          <t>02</t>
        </is>
      </c>
      <c r="J466" s="27" t="n">
        <v>2025</v>
      </c>
    </row>
    <row r="467" ht="15" customHeight="1" s="24">
      <c r="A467" s="27" t="n">
        <v>3972198</v>
      </c>
      <c r="B467" s="27" t="n">
        <v>566425</v>
      </c>
      <c r="C467" s="27" t="inlineStr">
        <is>
          <t>InLinehaul</t>
        </is>
      </c>
      <c r="D467" s="41" t="n">
        <v>45716.64322197917</v>
      </c>
      <c r="E467" s="27" t="n">
        <v>-34.281337</v>
      </c>
      <c r="F467" s="27" t="n">
        <v>20.311195</v>
      </c>
      <c r="G467" s="27" t="inlineStr">
        <is>
          <t>Open</t>
        </is>
      </c>
      <c r="H467" s="27" t="inlineStr">
        <is>
          <t>PartnerPOS</t>
        </is>
      </c>
      <c r="I467" s="27" t="inlineStr">
        <is>
          <t>02</t>
        </is>
      </c>
      <c r="J467" s="27" t="n">
        <v>2025</v>
      </c>
    </row>
    <row r="468" ht="15" customHeight="1" s="24">
      <c r="A468" s="27" t="n">
        <v>3994283</v>
      </c>
      <c r="B468" s="27" t="n">
        <v>562890</v>
      </c>
      <c r="C468" s="27" t="inlineStr">
        <is>
          <t>ArrivedAtPickupPoint</t>
        </is>
      </c>
      <c r="D468" s="41" t="n">
        <v>45718.9038375</v>
      </c>
      <c r="E468" s="27" t="n">
        <v>-25.786221</v>
      </c>
      <c r="F468" s="27" t="n">
        <v>28.084896</v>
      </c>
      <c r="G468" s="27" t="inlineStr">
        <is>
          <t>Open</t>
        </is>
      </c>
      <c r="H468" s="27" t="inlineStr">
        <is>
          <t>CourierGPS</t>
        </is>
      </c>
      <c r="I468" s="27" t="inlineStr">
        <is>
          <t>02</t>
        </is>
      </c>
      <c r="J468" s="27" t="n">
        <v>2025</v>
      </c>
    </row>
    <row r="469" ht="15" customHeight="1" s="24">
      <c r="A469" s="27" t="n">
        <v>4056663</v>
      </c>
      <c r="B469" s="27" t="n">
        <v>575536</v>
      </c>
      <c r="C469" s="27" t="inlineStr">
        <is>
          <t>CollectedByCustomer</t>
        </is>
      </c>
      <c r="D469" s="41" t="n">
        <v>45719.37108752315</v>
      </c>
      <c r="E469" s="27" t="n">
        <v>-31.051435</v>
      </c>
      <c r="F469" s="27" t="n">
        <v>21.422471</v>
      </c>
      <c r="G469" s="27" t="inlineStr">
        <is>
          <t>Closed</t>
        </is>
      </c>
      <c r="H469" s="27" t="inlineStr">
        <is>
          <t>API</t>
        </is>
      </c>
      <c r="I469" s="27" t="inlineStr">
        <is>
          <t>02</t>
        </is>
      </c>
      <c r="J469" s="27" t="n">
        <v>2025</v>
      </c>
    </row>
    <row r="470" ht="15" customHeight="1" s="24">
      <c r="A470" s="27" t="n">
        <v>4136396</v>
      </c>
      <c r="B470" s="27" t="n">
        <v>589155</v>
      </c>
      <c r="C470" s="27" t="inlineStr">
        <is>
          <t>AtHub</t>
        </is>
      </c>
      <c r="D470" s="41" t="n">
        <v>45722.80123305556</v>
      </c>
      <c r="E470" s="27" t="n">
        <v>-26.652338</v>
      </c>
      <c r="F470" s="27" t="n">
        <v>26.561335</v>
      </c>
      <c r="G470" s="27" t="inlineStr">
        <is>
          <t>Open</t>
        </is>
      </c>
      <c r="H470" s="27" t="inlineStr">
        <is>
          <t>CourierGPS</t>
        </is>
      </c>
      <c r="I470" s="27" t="inlineStr">
        <is>
          <t>03</t>
        </is>
      </c>
      <c r="J470" s="27" t="n">
        <v>2025</v>
      </c>
    </row>
    <row r="471" ht="15" customHeight="1" s="24">
      <c r="A471" s="27" t="n">
        <v>4168829</v>
      </c>
      <c r="B471" s="27" t="n">
        <v>589009</v>
      </c>
      <c r="C471" s="27" t="inlineStr">
        <is>
          <t>InLinehaul</t>
        </is>
      </c>
      <c r="D471" s="41" t="n">
        <v>45723.04326862268</v>
      </c>
      <c r="E471" s="27" t="n">
        <v>-27.897866</v>
      </c>
      <c r="F471" s="27" t="n">
        <v>24.335036</v>
      </c>
      <c r="G471" s="27" t="inlineStr">
        <is>
          <t>Open</t>
        </is>
      </c>
      <c r="H471" s="27" t="inlineStr">
        <is>
          <t>PartnerPOS</t>
        </is>
      </c>
      <c r="I471" s="27" t="inlineStr">
        <is>
          <t>03</t>
        </is>
      </c>
      <c r="J471" s="27" t="n">
        <v>2025</v>
      </c>
    </row>
    <row r="472" ht="15" customHeight="1" s="24">
      <c r="A472" s="27" t="n">
        <v>4106842</v>
      </c>
      <c r="B472" s="27" t="n">
        <v>592180</v>
      </c>
      <c r="C472" s="27" t="inlineStr">
        <is>
          <t>CollectedFromRetailer</t>
        </is>
      </c>
      <c r="D472" s="41" t="n">
        <v>45723.49477678241</v>
      </c>
      <c r="E472" s="27" t="n">
        <v>-22.462544</v>
      </c>
      <c r="F472" s="27" t="n">
        <v>26.926512</v>
      </c>
      <c r="G472" s="27" t="inlineStr">
        <is>
          <t>Open</t>
        </is>
      </c>
      <c r="H472" s="27" t="inlineStr">
        <is>
          <t>ScannerApp</t>
        </is>
      </c>
      <c r="I472" s="27" t="inlineStr">
        <is>
          <t>03</t>
        </is>
      </c>
      <c r="J472" s="27" t="n">
        <v>2025</v>
      </c>
    </row>
    <row r="473" ht="15" customHeight="1" s="24">
      <c r="A473" s="27" t="n">
        <v>4254021</v>
      </c>
      <c r="B473" s="27" t="n">
        <v>609126</v>
      </c>
      <c r="C473" s="27" t="inlineStr">
        <is>
          <t>CustomerNotified</t>
        </is>
      </c>
      <c r="D473" s="41" t="n">
        <v>45723.53664072917</v>
      </c>
      <c r="E473" s="27" t="n">
        <v>-24.975028</v>
      </c>
      <c r="F473" s="27" t="n">
        <v>27.614108</v>
      </c>
      <c r="G473" s="27" t="inlineStr">
        <is>
          <t>Open</t>
        </is>
      </c>
      <c r="H473" s="27" t="inlineStr">
        <is>
          <t>ScannerApp</t>
        </is>
      </c>
      <c r="I473" s="27" t="inlineStr">
        <is>
          <t>03</t>
        </is>
      </c>
      <c r="J473" s="27" t="n">
        <v>2025</v>
      </c>
    </row>
    <row r="474" ht="15" customHeight="1" s="24">
      <c r="A474" s="27" t="n">
        <v>4166137</v>
      </c>
      <c r="B474" s="27" t="n">
        <v>586317</v>
      </c>
      <c r="C474" s="27" t="inlineStr">
        <is>
          <t>InLinehaul</t>
        </is>
      </c>
      <c r="D474" s="41" t="n">
        <v>45723.62214613426</v>
      </c>
      <c r="E474" s="27" t="n">
        <v>-27.30339</v>
      </c>
      <c r="F474" s="27" t="n">
        <v>26.854337</v>
      </c>
      <c r="G474" s="27" t="inlineStr">
        <is>
          <t>Open</t>
        </is>
      </c>
      <c r="H474" s="27" t="inlineStr">
        <is>
          <t>CourierGPS</t>
        </is>
      </c>
      <c r="I474" s="27" t="inlineStr">
        <is>
          <t>03</t>
        </is>
      </c>
      <c r="J474" s="27" t="n">
        <v>2025</v>
      </c>
    </row>
    <row r="475" ht="15" customHeight="1" s="24">
      <c r="A475" s="27" t="n">
        <v>4120010</v>
      </c>
      <c r="B475" s="27" t="n">
        <v>605348</v>
      </c>
      <c r="C475" s="27" t="inlineStr">
        <is>
          <t>CollectedFromRetailer</t>
        </is>
      </c>
      <c r="D475" s="41" t="n">
        <v>45724.42477748843</v>
      </c>
      <c r="E475" s="27" t="n">
        <v>-25.000489</v>
      </c>
      <c r="F475" s="27" t="n">
        <v>27.987716</v>
      </c>
      <c r="G475" s="27" t="inlineStr">
        <is>
          <t>Open</t>
        </is>
      </c>
      <c r="H475" s="27" t="inlineStr">
        <is>
          <t>ScannerApp</t>
        </is>
      </c>
      <c r="I475" s="27" t="inlineStr">
        <is>
          <t>03</t>
        </is>
      </c>
      <c r="J475" s="27" t="n">
        <v>2025</v>
      </c>
    </row>
    <row r="476" ht="15" customHeight="1" s="24">
      <c r="A476" s="27" t="n">
        <v>4118391</v>
      </c>
      <c r="B476" s="27" t="n">
        <v>603729</v>
      </c>
      <c r="C476" s="27" t="inlineStr">
        <is>
          <t>CollectedFromRetailer</t>
        </is>
      </c>
      <c r="D476" s="41" t="n">
        <v>45724.7435241088</v>
      </c>
      <c r="E476" s="27" t="n">
        <v>-29.568972</v>
      </c>
      <c r="F476" s="27" t="n">
        <v>26.268417</v>
      </c>
      <c r="G476" s="27" t="inlineStr">
        <is>
          <t>Open</t>
        </is>
      </c>
      <c r="H476" s="27" t="inlineStr">
        <is>
          <t>PartnerPOS</t>
        </is>
      </c>
      <c r="I476" s="27" t="inlineStr">
        <is>
          <t>03</t>
        </is>
      </c>
      <c r="J476" s="27" t="n">
        <v>2025</v>
      </c>
    </row>
    <row r="477" ht="15" customHeight="1" s="24">
      <c r="A477" s="27" t="n">
        <v>4128826</v>
      </c>
      <c r="B477" s="27" t="n">
        <v>614164</v>
      </c>
      <c r="C477" s="27" t="inlineStr">
        <is>
          <t>CollectedFromRetailer</t>
        </is>
      </c>
      <c r="D477" s="41" t="n">
        <v>45726.2414440625</v>
      </c>
      <c r="E477" s="27" t="n">
        <v>-23.969593</v>
      </c>
      <c r="F477" s="27" t="n">
        <v>28.591465</v>
      </c>
      <c r="G477" s="27" t="inlineStr">
        <is>
          <t>Open</t>
        </is>
      </c>
      <c r="H477" s="27" t="inlineStr">
        <is>
          <t>ScannerApp</t>
        </is>
      </c>
      <c r="I477" s="27" t="inlineStr">
        <is>
          <t>03</t>
        </is>
      </c>
      <c r="J477" s="27" t="n">
        <v>2025</v>
      </c>
    </row>
    <row r="478" ht="15" customHeight="1" s="24">
      <c r="A478" s="27" t="n">
        <v>4078200</v>
      </c>
      <c r="B478" s="27" t="n">
        <v>596117</v>
      </c>
      <c r="C478" s="27" t="inlineStr">
        <is>
          <t>Created</t>
        </is>
      </c>
      <c r="D478" s="41" t="n">
        <v>45728.59723516204</v>
      </c>
      <c r="E478" s="27" t="n">
        <v>-27.721024</v>
      </c>
      <c r="F478" s="27" t="n">
        <v>28.962014</v>
      </c>
      <c r="G478" s="27" t="inlineStr">
        <is>
          <t>Open</t>
        </is>
      </c>
      <c r="H478" s="27" t="inlineStr">
        <is>
          <t>ScannerApp</t>
        </is>
      </c>
      <c r="I478" s="27" t="inlineStr">
        <is>
          <t>03</t>
        </is>
      </c>
      <c r="J478" s="27" t="n">
        <v>2025</v>
      </c>
    </row>
    <row r="479" ht="15" customHeight="1" s="24">
      <c r="A479" s="27" t="n">
        <v>4208573</v>
      </c>
      <c r="B479" s="27" t="n">
        <v>596190</v>
      </c>
      <c r="C479" s="27" t="inlineStr">
        <is>
          <t>ArrivedAtPickupPoint</t>
        </is>
      </c>
      <c r="D479" s="41" t="n">
        <v>45728.97536459491</v>
      </c>
      <c r="E479" s="27" t="n">
        <v>-26.355333</v>
      </c>
      <c r="F479" s="27" t="n">
        <v>28.180157</v>
      </c>
      <c r="G479" s="27" t="inlineStr">
        <is>
          <t>Open</t>
        </is>
      </c>
      <c r="H479" s="27" t="inlineStr">
        <is>
          <t>API</t>
        </is>
      </c>
      <c r="I479" s="27" t="inlineStr">
        <is>
          <t>03</t>
        </is>
      </c>
      <c r="J479" s="27" t="n">
        <v>2025</v>
      </c>
    </row>
    <row r="480" ht="15" customHeight="1" s="24">
      <c r="A480" s="27" t="n">
        <v>4142419</v>
      </c>
      <c r="B480" s="27" t="n">
        <v>595178</v>
      </c>
      <c r="C480" s="27" t="inlineStr">
        <is>
          <t>AtHub</t>
        </is>
      </c>
      <c r="D480" s="41" t="n">
        <v>45730.03304891204</v>
      </c>
      <c r="E480" s="27" t="n">
        <v>-25.234817</v>
      </c>
      <c r="F480" s="27" t="n">
        <v>27.704255</v>
      </c>
      <c r="G480" s="27" t="inlineStr">
        <is>
          <t>Open</t>
        </is>
      </c>
      <c r="H480" s="27" t="inlineStr">
        <is>
          <t>ScannerApp</t>
        </is>
      </c>
      <c r="I480" s="27" t="inlineStr">
        <is>
          <t>03</t>
        </is>
      </c>
      <c r="J480" s="27" t="n">
        <v>2025</v>
      </c>
    </row>
    <row r="481" ht="15" customHeight="1" s="24">
      <c r="A481" s="27" t="n">
        <v>4181449</v>
      </c>
      <c r="B481" s="27" t="n">
        <v>601629</v>
      </c>
      <c r="C481" s="27" t="inlineStr">
        <is>
          <t>InLinehaul</t>
        </is>
      </c>
      <c r="D481" s="41" t="n">
        <v>45730.49271752315</v>
      </c>
      <c r="E481" s="27" t="n">
        <v>-31.445726</v>
      </c>
      <c r="F481" s="27" t="n">
        <v>24.988647</v>
      </c>
      <c r="G481" s="27" t="inlineStr">
        <is>
          <t>Open</t>
        </is>
      </c>
      <c r="H481" s="27" t="inlineStr">
        <is>
          <t>CourierGPS</t>
        </is>
      </c>
      <c r="I481" s="27" t="inlineStr">
        <is>
          <t>03</t>
        </is>
      </c>
      <c r="J481" s="27" t="n">
        <v>2025</v>
      </c>
    </row>
    <row r="482" ht="15" customHeight="1" s="24">
      <c r="A482" s="27" t="n">
        <v>4109693</v>
      </c>
      <c r="B482" s="27" t="n">
        <v>595031</v>
      </c>
      <c r="C482" s="27" t="inlineStr">
        <is>
          <t>CollectedFromRetailer</t>
        </is>
      </c>
      <c r="D482" s="41" t="n">
        <v>45733.63364925926</v>
      </c>
      <c r="E482" s="27" t="n">
        <v>-28.459427</v>
      </c>
      <c r="F482" s="27" t="n">
        <v>18.381606</v>
      </c>
      <c r="G482" s="27" t="inlineStr">
        <is>
          <t>Open</t>
        </is>
      </c>
      <c r="H482" s="27" t="inlineStr">
        <is>
          <t>CourierGPS</t>
        </is>
      </c>
      <c r="I482" s="27" t="inlineStr">
        <is>
          <t>03</t>
        </is>
      </c>
      <c r="J482" s="27" t="n">
        <v>2025</v>
      </c>
    </row>
    <row r="483" ht="15" customHeight="1" s="24">
      <c r="A483" s="27" t="n">
        <v>4268822</v>
      </c>
      <c r="B483" s="27" t="n">
        <v>592023</v>
      </c>
      <c r="C483" s="27" t="inlineStr">
        <is>
          <t>CollectedByCustomer</t>
        </is>
      </c>
      <c r="D483" s="41" t="n">
        <v>45733.99726804398</v>
      </c>
      <c r="E483" s="27" t="n">
        <v>-28.729305</v>
      </c>
      <c r="F483" s="27" t="n">
        <v>30.875214</v>
      </c>
      <c r="G483" s="27" t="inlineStr">
        <is>
          <t>Closed</t>
        </is>
      </c>
      <c r="H483" s="27" t="inlineStr">
        <is>
          <t>CourierGPS</t>
        </is>
      </c>
      <c r="I483" s="27" t="inlineStr">
        <is>
          <t>03</t>
        </is>
      </c>
      <c r="J483" s="27" t="n">
        <v>2025</v>
      </c>
    </row>
    <row r="484" ht="15" customHeight="1" s="24">
      <c r="A484" s="27" t="n">
        <v>4184253</v>
      </c>
      <c r="B484" s="27" t="n">
        <v>604433</v>
      </c>
      <c r="C484" s="27" t="inlineStr">
        <is>
          <t>InLinehaul</t>
        </is>
      </c>
      <c r="D484" s="41" t="n">
        <v>45736.03538638889</v>
      </c>
      <c r="E484" s="27" t="n">
        <v>-25.194022</v>
      </c>
      <c r="F484" s="27" t="n">
        <v>29.807308</v>
      </c>
      <c r="G484" s="27" t="inlineStr">
        <is>
          <t>Open</t>
        </is>
      </c>
      <c r="H484" s="27" t="inlineStr">
        <is>
          <t>API</t>
        </is>
      </c>
      <c r="I484" s="27" t="inlineStr">
        <is>
          <t>03</t>
        </is>
      </c>
      <c r="J484" s="27" t="n">
        <v>2025</v>
      </c>
    </row>
    <row r="485" ht="15" customHeight="1" s="24">
      <c r="A485" s="27" t="n">
        <v>4270809</v>
      </c>
      <c r="B485" s="27" t="n">
        <v>594168</v>
      </c>
      <c r="C485" s="27" t="inlineStr">
        <is>
          <t>CollectedByCustomer</t>
        </is>
      </c>
      <c r="D485" s="41" t="n">
        <v>45738.63378319445</v>
      </c>
      <c r="E485" s="27" t="n">
        <v>-29.847485</v>
      </c>
      <c r="F485" s="27" t="n">
        <v>30.432069</v>
      </c>
      <c r="G485" s="27" t="inlineStr">
        <is>
          <t>Closed</t>
        </is>
      </c>
      <c r="H485" s="27" t="inlineStr">
        <is>
          <t>ScannerApp</t>
        </is>
      </c>
      <c r="I485" s="27" t="inlineStr">
        <is>
          <t>03</t>
        </is>
      </c>
      <c r="J485" s="27" t="n">
        <v>2025</v>
      </c>
    </row>
    <row r="486" ht="15" customHeight="1" s="24">
      <c r="A486" s="27" t="n">
        <v>4199458</v>
      </c>
      <c r="B486" s="27" t="n">
        <v>587064</v>
      </c>
      <c r="C486" s="27" t="inlineStr">
        <is>
          <t>ArrivedAtPickupPoint</t>
        </is>
      </c>
      <c r="D486" s="41" t="n">
        <v>45738.66511270833</v>
      </c>
      <c r="E486" s="27" t="n">
        <v>-29.171312</v>
      </c>
      <c r="F486" s="27" t="n">
        <v>27.674041</v>
      </c>
      <c r="G486" s="27" t="inlineStr">
        <is>
          <t>Open</t>
        </is>
      </c>
      <c r="H486" s="27" t="inlineStr">
        <is>
          <t>ScannerApp</t>
        </is>
      </c>
      <c r="I486" s="27" t="inlineStr">
        <is>
          <t>03</t>
        </is>
      </c>
      <c r="J486" s="27" t="n">
        <v>2025</v>
      </c>
    </row>
    <row r="487" ht="15" customHeight="1" s="24">
      <c r="A487" s="27" t="n">
        <v>4245910</v>
      </c>
      <c r="B487" s="27" t="n">
        <v>601003</v>
      </c>
      <c r="C487" s="27" t="inlineStr">
        <is>
          <t>CustomerNotified</t>
        </is>
      </c>
      <c r="D487" s="41" t="n">
        <v>45738.85822119213</v>
      </c>
      <c r="E487" s="27" t="n">
        <v>-33.941039</v>
      </c>
      <c r="F487" s="27" t="n">
        <v>25.12269</v>
      </c>
      <c r="G487" s="27" t="inlineStr">
        <is>
          <t>Open</t>
        </is>
      </c>
      <c r="H487" s="27" t="inlineStr">
        <is>
          <t>ScannerApp</t>
        </is>
      </c>
      <c r="I487" s="27" t="inlineStr">
        <is>
          <t>03</t>
        </is>
      </c>
      <c r="J487" s="27" t="n">
        <v>2025</v>
      </c>
    </row>
    <row r="488" ht="15" customHeight="1" s="24">
      <c r="A488" s="27" t="n">
        <v>4189441</v>
      </c>
      <c r="B488" s="27" t="n">
        <v>609621</v>
      </c>
      <c r="C488" s="27" t="inlineStr">
        <is>
          <t>InLinehaul</t>
        </is>
      </c>
      <c r="D488" s="41" t="n">
        <v>45739.06195429398</v>
      </c>
      <c r="E488" s="27" t="n">
        <v>-25.681865</v>
      </c>
      <c r="F488" s="27" t="n">
        <v>28.505235</v>
      </c>
      <c r="G488" s="27" t="inlineStr">
        <is>
          <t>Open</t>
        </is>
      </c>
      <c r="H488" s="27" t="inlineStr">
        <is>
          <t>ScannerApp</t>
        </is>
      </c>
      <c r="I488" s="27" t="inlineStr">
        <is>
          <t>03</t>
        </is>
      </c>
      <c r="J488" s="27" t="n">
        <v>2025</v>
      </c>
    </row>
    <row r="489" ht="15" customHeight="1" s="24">
      <c r="A489" s="27" t="n">
        <v>4102387</v>
      </c>
      <c r="B489" s="27" t="n">
        <v>587725</v>
      </c>
      <c r="C489" s="27" t="inlineStr">
        <is>
          <t>CollectedFromRetailer</t>
        </is>
      </c>
      <c r="D489" s="41" t="n">
        <v>45741.69510722222</v>
      </c>
      <c r="E489" s="27" t="n">
        <v>-29.168465</v>
      </c>
      <c r="F489" s="27" t="n">
        <v>30.840994</v>
      </c>
      <c r="G489" s="27" t="inlineStr">
        <is>
          <t>Open</t>
        </is>
      </c>
      <c r="H489" s="27" t="inlineStr">
        <is>
          <t>PartnerPOS</t>
        </is>
      </c>
      <c r="I489" s="27" t="inlineStr">
        <is>
          <t>03</t>
        </is>
      </c>
      <c r="J489" s="27" t="n">
        <v>2025</v>
      </c>
    </row>
    <row r="490" ht="15" customHeight="1" s="24">
      <c r="A490" s="27" t="n">
        <v>4082687</v>
      </c>
      <c r="B490" s="27" t="n">
        <v>600604</v>
      </c>
      <c r="C490" s="27" t="inlineStr">
        <is>
          <t>Created</t>
        </is>
      </c>
      <c r="D490" s="41" t="n">
        <v>45746.110156875</v>
      </c>
      <c r="E490" s="27" t="n">
        <v>-30.272687</v>
      </c>
      <c r="F490" s="27" t="n">
        <v>29.776028</v>
      </c>
      <c r="G490" s="27" t="inlineStr">
        <is>
          <t>Open</t>
        </is>
      </c>
      <c r="H490" s="27" t="inlineStr">
        <is>
          <t>ScannerApp</t>
        </is>
      </c>
      <c r="I490" s="27" t="inlineStr">
        <is>
          <t>03</t>
        </is>
      </c>
      <c r="J490" s="27" t="n">
        <v>2025</v>
      </c>
    </row>
    <row r="491" ht="15" customHeight="1" s="24">
      <c r="A491" s="27" t="n">
        <v>4132719</v>
      </c>
      <c r="B491" s="27" t="n">
        <v>585478</v>
      </c>
      <c r="C491" s="27" t="inlineStr">
        <is>
          <t>AtHub</t>
        </is>
      </c>
      <c r="D491" s="41" t="n">
        <v>45746.52827902778</v>
      </c>
      <c r="E491" s="27" t="n">
        <v>-26.045765</v>
      </c>
      <c r="F491" s="27" t="n">
        <v>28.435884</v>
      </c>
      <c r="G491" s="27" t="inlineStr">
        <is>
          <t>Open</t>
        </is>
      </c>
      <c r="H491" s="27" t="inlineStr">
        <is>
          <t>PartnerPOS</t>
        </is>
      </c>
      <c r="I491" s="27" t="inlineStr">
        <is>
          <t>03</t>
        </is>
      </c>
      <c r="J491" s="27" t="n">
        <v>2025</v>
      </c>
    </row>
    <row r="492" ht="15" customHeight="1" s="24">
      <c r="A492" s="27" t="n">
        <v>4149860</v>
      </c>
      <c r="B492" s="27" t="n">
        <v>602619</v>
      </c>
      <c r="C492" s="27" t="inlineStr">
        <is>
          <t>AtHub</t>
        </is>
      </c>
      <c r="D492" s="41" t="n">
        <v>45748.10649349537</v>
      </c>
      <c r="E492" s="27" t="n">
        <v>-26.704807</v>
      </c>
      <c r="F492" s="27" t="n">
        <v>32.70647</v>
      </c>
      <c r="G492" s="27" t="inlineStr">
        <is>
          <t>Open</t>
        </is>
      </c>
      <c r="H492" s="27" t="inlineStr">
        <is>
          <t>ScannerApp</t>
        </is>
      </c>
      <c r="I492" s="27" t="inlineStr">
        <is>
          <t>03</t>
        </is>
      </c>
      <c r="J492" s="27" t="n">
        <v>2025</v>
      </c>
    </row>
    <row r="493" ht="15" customHeight="1" s="24">
      <c r="A493" s="27" t="n">
        <v>4127613</v>
      </c>
      <c r="B493" s="27" t="n">
        <v>612951</v>
      </c>
      <c r="C493" s="27" t="inlineStr">
        <is>
          <t>CollectedFromRetailer</t>
        </is>
      </c>
      <c r="D493" s="41" t="n">
        <v>45748.75848138889</v>
      </c>
      <c r="E493" s="27" t="n">
        <v>-25.361986</v>
      </c>
      <c r="F493" s="27" t="n">
        <v>26.683548</v>
      </c>
      <c r="G493" s="27" t="inlineStr">
        <is>
          <t>Open</t>
        </is>
      </c>
      <c r="H493" s="27" t="inlineStr">
        <is>
          <t>ScannerApp</t>
        </is>
      </c>
      <c r="I493" s="27" t="inlineStr">
        <is>
          <t>03</t>
        </is>
      </c>
      <c r="J493" s="27" t="n">
        <v>2025</v>
      </c>
    </row>
    <row r="494" ht="15" customHeight="1" s="24">
      <c r="A494" s="27" t="n">
        <v>4486340</v>
      </c>
      <c r="B494" s="27" t="n">
        <v>644054</v>
      </c>
      <c r="C494" s="27" t="inlineStr">
        <is>
          <t>CustomerNotified</t>
        </is>
      </c>
      <c r="D494" s="41" t="n">
        <v>45750.02126010416</v>
      </c>
      <c r="E494" s="27" t="n">
        <v>-27.345615</v>
      </c>
      <c r="F494" s="27" t="n">
        <v>31.50041</v>
      </c>
      <c r="G494" s="27" t="inlineStr">
        <is>
          <t>Open</t>
        </is>
      </c>
      <c r="H494" s="27" t="inlineStr">
        <is>
          <t>PartnerPOS</t>
        </is>
      </c>
      <c r="I494" s="27" t="inlineStr">
        <is>
          <t>04</t>
        </is>
      </c>
      <c r="J494" s="27" t="n">
        <v>2025</v>
      </c>
    </row>
    <row r="495" ht="15" customHeight="1" s="24">
      <c r="A495" s="27" t="n">
        <v>4456599</v>
      </c>
      <c r="B495" s="27" t="n">
        <v>647370</v>
      </c>
      <c r="C495" s="27" t="inlineStr">
        <is>
          <t>ArrivedAtPickupPoint</t>
        </is>
      </c>
      <c r="D495" s="41" t="n">
        <v>45751.03591305556</v>
      </c>
      <c r="E495" s="27" t="n">
        <v>-26.594092</v>
      </c>
      <c r="F495" s="27" t="n">
        <v>24.802847</v>
      </c>
      <c r="G495" s="27" t="inlineStr">
        <is>
          <t>Open</t>
        </is>
      </c>
      <c r="H495" s="27" t="inlineStr">
        <is>
          <t>ScannerApp</t>
        </is>
      </c>
      <c r="I495" s="27" t="inlineStr">
        <is>
          <t>04</t>
        </is>
      </c>
      <c r="J495" s="27" t="n">
        <v>2025</v>
      </c>
    </row>
    <row r="496" ht="15" customHeight="1" s="24">
      <c r="A496" s="27" t="n">
        <v>4445317</v>
      </c>
      <c r="B496" s="27" t="n">
        <v>636066</v>
      </c>
      <c r="C496" s="27" t="inlineStr">
        <is>
          <t>ArrivedAtPickupPoint</t>
        </is>
      </c>
      <c r="D496" s="41" t="n">
        <v>45751.37434766204</v>
      </c>
      <c r="E496" s="27" t="n">
        <v>-26.183721</v>
      </c>
      <c r="F496" s="27" t="n">
        <v>30.706891</v>
      </c>
      <c r="G496" s="27" t="inlineStr">
        <is>
          <t>Open</t>
        </is>
      </c>
      <c r="H496" s="27" t="inlineStr">
        <is>
          <t>ScannerApp</t>
        </is>
      </c>
      <c r="I496" s="27" t="inlineStr">
        <is>
          <t>04</t>
        </is>
      </c>
      <c r="J496" s="27" t="n">
        <v>2025</v>
      </c>
    </row>
    <row r="497" ht="15" customHeight="1" s="24">
      <c r="A497" s="27" t="n">
        <v>4415884</v>
      </c>
      <c r="B497" s="27" t="n">
        <v>639706</v>
      </c>
      <c r="C497" s="27" t="inlineStr">
        <is>
          <t>InLinehaul</t>
        </is>
      </c>
      <c r="D497" s="41" t="n">
        <v>45753.086105625</v>
      </c>
      <c r="E497" s="27" t="n">
        <v>-31.009008</v>
      </c>
      <c r="F497" s="27" t="n">
        <v>29.125179</v>
      </c>
      <c r="G497" s="27" t="inlineStr">
        <is>
          <t>Open</t>
        </is>
      </c>
      <c r="H497" s="27" t="inlineStr">
        <is>
          <t>CourierGPS</t>
        </is>
      </c>
      <c r="I497" s="27" t="inlineStr">
        <is>
          <t>04</t>
        </is>
      </c>
      <c r="J497" s="27" t="n">
        <v>2025</v>
      </c>
    </row>
    <row r="498" ht="15" customHeight="1" s="24">
      <c r="A498" s="27" t="n">
        <v>4488476</v>
      </c>
      <c r="B498" s="27" t="n">
        <v>646196</v>
      </c>
      <c r="C498" s="27" t="inlineStr">
        <is>
          <t>CustomerNotified</t>
        </is>
      </c>
      <c r="D498" s="41" t="n">
        <v>45753.41447697917</v>
      </c>
      <c r="E498" s="27" t="n">
        <v>-26.094736</v>
      </c>
      <c r="F498" s="27" t="n">
        <v>27.826986</v>
      </c>
      <c r="G498" s="27" t="inlineStr">
        <is>
          <t>Open</t>
        </is>
      </c>
      <c r="H498" s="27" t="inlineStr">
        <is>
          <t>API</t>
        </is>
      </c>
      <c r="I498" s="27" t="inlineStr">
        <is>
          <t>04</t>
        </is>
      </c>
      <c r="J498" s="27" t="n">
        <v>2025</v>
      </c>
    </row>
    <row r="499" ht="15" customHeight="1" s="24">
      <c r="A499" s="27" t="n">
        <v>4367198</v>
      </c>
      <c r="B499" s="27" t="n">
        <v>624142</v>
      </c>
      <c r="C499" s="27" t="inlineStr">
        <is>
          <t>AtHub</t>
        </is>
      </c>
      <c r="D499" s="41" t="n">
        <v>45753.67686784722</v>
      </c>
      <c r="E499" s="27" t="n">
        <v>-24.403748</v>
      </c>
      <c r="F499" s="27" t="n">
        <v>29.94037</v>
      </c>
      <c r="G499" s="27" t="inlineStr">
        <is>
          <t>Open</t>
        </is>
      </c>
      <c r="H499" s="27" t="inlineStr">
        <is>
          <t>ScannerApp</t>
        </is>
      </c>
      <c r="I499" s="27" t="inlineStr">
        <is>
          <t>04</t>
        </is>
      </c>
      <c r="J499" s="27" t="n">
        <v>2025</v>
      </c>
    </row>
    <row r="500" ht="15" customHeight="1" s="24">
      <c r="A500" s="27" t="n">
        <v>4311420</v>
      </c>
      <c r="B500" s="27" t="n">
        <v>634608</v>
      </c>
      <c r="C500" s="27" t="inlineStr">
        <is>
          <t>Created</t>
        </is>
      </c>
      <c r="D500" s="41" t="n">
        <v>45754.70211381945</v>
      </c>
      <c r="E500" s="27" t="n">
        <v>-32.176019</v>
      </c>
      <c r="F500" s="27" t="n">
        <v>18.100938</v>
      </c>
      <c r="G500" s="27" t="inlineStr">
        <is>
          <t>Open</t>
        </is>
      </c>
      <c r="H500" s="27" t="inlineStr">
        <is>
          <t>ScannerApp</t>
        </is>
      </c>
      <c r="I500" s="27" t="inlineStr">
        <is>
          <t>04</t>
        </is>
      </c>
      <c r="J500" s="27" t="n">
        <v>2025</v>
      </c>
    </row>
    <row r="501" ht="15" customHeight="1" s="24">
      <c r="A501" s="27" t="n">
        <v>4309156</v>
      </c>
      <c r="B501" s="27" t="n">
        <v>632344</v>
      </c>
      <c r="C501" s="27" t="inlineStr">
        <is>
          <t>Created</t>
        </is>
      </c>
      <c r="D501" s="41" t="n">
        <v>45754.73040627315</v>
      </c>
      <c r="E501" s="27" t="n">
        <v>-24.771418</v>
      </c>
      <c r="F501" s="27" t="n">
        <v>28.564844</v>
      </c>
      <c r="G501" s="27" t="inlineStr">
        <is>
          <t>Open</t>
        </is>
      </c>
      <c r="H501" s="27" t="inlineStr">
        <is>
          <t>ScannerApp</t>
        </is>
      </c>
      <c r="I501" s="27" t="inlineStr">
        <is>
          <t>04</t>
        </is>
      </c>
      <c r="J501" s="27" t="n">
        <v>2025</v>
      </c>
    </row>
    <row r="502" ht="15" customHeight="1" s="24">
      <c r="A502" s="27" t="n">
        <v>4508482</v>
      </c>
      <c r="B502" s="27" t="n">
        <v>634609</v>
      </c>
      <c r="C502" s="27" t="inlineStr">
        <is>
          <t>CollectedByCustomer</t>
        </is>
      </c>
      <c r="D502" s="41" t="n">
        <v>45755.3326312037</v>
      </c>
      <c r="E502" s="27" t="n">
        <v>-29.619449</v>
      </c>
      <c r="F502" s="27" t="n">
        <v>27.544611</v>
      </c>
      <c r="G502" s="27" t="inlineStr">
        <is>
          <t>Closed</t>
        </is>
      </c>
      <c r="H502" s="27" t="inlineStr">
        <is>
          <t>PartnerPOS</t>
        </is>
      </c>
      <c r="I502" s="27" t="inlineStr">
        <is>
          <t>04</t>
        </is>
      </c>
      <c r="J502" s="27" t="n">
        <v>2025</v>
      </c>
    </row>
    <row r="503" ht="15" customHeight="1" s="24">
      <c r="A503" s="27" t="n">
        <v>4385566</v>
      </c>
      <c r="B503" s="27" t="n">
        <v>642510</v>
      </c>
      <c r="C503" s="27" t="inlineStr">
        <is>
          <t>AtHub</t>
        </is>
      </c>
      <c r="D503" s="41" t="n">
        <v>45757.48675675926</v>
      </c>
      <c r="E503" s="27" t="n">
        <v>-25.930741</v>
      </c>
      <c r="F503" s="27" t="n">
        <v>28.454819</v>
      </c>
      <c r="G503" s="27" t="inlineStr">
        <is>
          <t>Open</t>
        </is>
      </c>
      <c r="H503" s="27" t="inlineStr">
        <is>
          <t>ScannerApp</t>
        </is>
      </c>
      <c r="I503" s="27" t="inlineStr">
        <is>
          <t>04</t>
        </is>
      </c>
      <c r="J503" s="27" t="n">
        <v>2025</v>
      </c>
    </row>
    <row r="504" ht="15" customHeight="1" s="24">
      <c r="A504" s="27" t="n">
        <v>4324793</v>
      </c>
      <c r="B504" s="27" t="n">
        <v>647981</v>
      </c>
      <c r="C504" s="27" t="inlineStr">
        <is>
          <t>Created</t>
        </is>
      </c>
      <c r="D504" s="41" t="n">
        <v>45758.34280025463</v>
      </c>
      <c r="E504" s="27" t="n">
        <v>-25.187987</v>
      </c>
      <c r="F504" s="27" t="n">
        <v>27.916768</v>
      </c>
      <c r="G504" s="27" t="inlineStr">
        <is>
          <t>Open</t>
        </is>
      </c>
      <c r="H504" s="27" t="inlineStr">
        <is>
          <t>ScannerApp</t>
        </is>
      </c>
      <c r="I504" s="27" t="inlineStr">
        <is>
          <t>04</t>
        </is>
      </c>
      <c r="J504" s="27" t="n">
        <v>2025</v>
      </c>
    </row>
    <row r="505" ht="15" customHeight="1" s="24">
      <c r="A505" s="27" t="n">
        <v>4298849</v>
      </c>
      <c r="B505" s="27" t="n">
        <v>622037</v>
      </c>
      <c r="C505" s="27" t="inlineStr">
        <is>
          <t>Created</t>
        </is>
      </c>
      <c r="D505" s="41" t="n">
        <v>45759.2110090162</v>
      </c>
      <c r="E505" s="27" t="n">
        <v>-25.65561</v>
      </c>
      <c r="F505" s="27" t="n">
        <v>29.086688</v>
      </c>
      <c r="G505" s="27" t="inlineStr">
        <is>
          <t>Open</t>
        </is>
      </c>
      <c r="H505" s="27" t="inlineStr">
        <is>
          <t>CourierGPS</t>
        </is>
      </c>
      <c r="I505" s="27" t="inlineStr">
        <is>
          <t>04</t>
        </is>
      </c>
      <c r="J505" s="27" t="n">
        <v>2025</v>
      </c>
    </row>
    <row r="506" ht="15" customHeight="1" s="24">
      <c r="A506" s="27" t="n">
        <v>4332881</v>
      </c>
      <c r="B506" s="27" t="n">
        <v>622947</v>
      </c>
      <c r="C506" s="27" t="inlineStr">
        <is>
          <t>CollectedFromRetailer</t>
        </is>
      </c>
      <c r="D506" s="41" t="n">
        <v>45760.14440868056</v>
      </c>
      <c r="E506" s="27" t="n">
        <v>-28.6818</v>
      </c>
      <c r="F506" s="27" t="n">
        <v>31.001694</v>
      </c>
      <c r="G506" s="27" t="inlineStr">
        <is>
          <t>Open</t>
        </is>
      </c>
      <c r="H506" s="27" t="inlineStr">
        <is>
          <t>ScannerApp</t>
        </is>
      </c>
      <c r="I506" s="27" t="inlineStr">
        <is>
          <t>04</t>
        </is>
      </c>
      <c r="J506" s="27" t="n">
        <v>2025</v>
      </c>
    </row>
    <row r="507" ht="15" customHeight="1" s="24">
      <c r="A507" s="27" t="n">
        <v>4319876</v>
      </c>
      <c r="B507" s="27" t="n">
        <v>643064</v>
      </c>
      <c r="C507" s="27" t="inlineStr">
        <is>
          <t>Created</t>
        </is>
      </c>
      <c r="D507" s="41" t="n">
        <v>45760.30309854167</v>
      </c>
      <c r="E507" s="27" t="n">
        <v>-27.195326</v>
      </c>
      <c r="F507" s="27" t="n">
        <v>24.921582</v>
      </c>
      <c r="G507" s="27" t="inlineStr">
        <is>
          <t>Open</t>
        </is>
      </c>
      <c r="H507" s="27" t="inlineStr">
        <is>
          <t>CourierGPS</t>
        </is>
      </c>
      <c r="I507" s="27" t="inlineStr">
        <is>
          <t>04</t>
        </is>
      </c>
      <c r="J507" s="27" t="n">
        <v>2025</v>
      </c>
    </row>
    <row r="508" ht="15" customHeight="1" s="24">
      <c r="A508" s="27" t="n">
        <v>4446902</v>
      </c>
      <c r="B508" s="27" t="n">
        <v>637655</v>
      </c>
      <c r="C508" s="27" t="inlineStr">
        <is>
          <t>ArrivedAtPickupPoint</t>
        </is>
      </c>
      <c r="D508" s="41" t="n">
        <v>45761.32056604166</v>
      </c>
      <c r="E508" s="27" t="n">
        <v>-26.059933</v>
      </c>
      <c r="F508" s="27" t="n">
        <v>27.762324</v>
      </c>
      <c r="G508" s="27" t="inlineStr">
        <is>
          <t>Open</t>
        </is>
      </c>
      <c r="H508" s="27" t="inlineStr">
        <is>
          <t>ScannerApp</t>
        </is>
      </c>
      <c r="I508" s="27" t="inlineStr">
        <is>
          <t>04</t>
        </is>
      </c>
      <c r="J508" s="27" t="n">
        <v>2025</v>
      </c>
    </row>
    <row r="509" ht="15" customHeight="1" s="24">
      <c r="A509" s="27" t="n">
        <v>4325577</v>
      </c>
      <c r="B509" s="27" t="n">
        <v>615643</v>
      </c>
      <c r="C509" s="27" t="inlineStr">
        <is>
          <t>CollectedFromRetailer</t>
        </is>
      </c>
      <c r="D509" s="41" t="n">
        <v>45766.15782446759</v>
      </c>
      <c r="E509" s="27" t="n">
        <v>-27.027761</v>
      </c>
      <c r="F509" s="27" t="n">
        <v>28.790527</v>
      </c>
      <c r="G509" s="27" t="inlineStr">
        <is>
          <t>Open</t>
        </is>
      </c>
      <c r="H509" s="27" t="inlineStr">
        <is>
          <t>ScannerApp</t>
        </is>
      </c>
      <c r="I509" s="27" t="inlineStr">
        <is>
          <t>04</t>
        </is>
      </c>
      <c r="J509" s="27" t="n">
        <v>2025</v>
      </c>
    </row>
    <row r="510" ht="15" customHeight="1" s="24">
      <c r="A510" s="27" t="n">
        <v>4495144</v>
      </c>
      <c r="B510" s="27" t="n">
        <v>620125</v>
      </c>
      <c r="C510" s="27" t="inlineStr">
        <is>
          <t>CollectedByCustomer</t>
        </is>
      </c>
      <c r="D510" s="41" t="n">
        <v>45766.64658666667</v>
      </c>
      <c r="E510" s="27" t="n">
        <v>-29.870072</v>
      </c>
      <c r="F510" s="27" t="n">
        <v>31.762887</v>
      </c>
      <c r="G510" s="27" t="inlineStr">
        <is>
          <t>Closed</t>
        </is>
      </c>
      <c r="H510" s="27" t="inlineStr">
        <is>
          <t>CourierGPS</t>
        </is>
      </c>
      <c r="I510" s="27" t="inlineStr">
        <is>
          <t>04</t>
        </is>
      </c>
      <c r="J510" s="27" t="n">
        <v>2025</v>
      </c>
    </row>
    <row r="511" ht="15" customHeight="1" s="24">
      <c r="A511" s="27" t="n">
        <v>4450797</v>
      </c>
      <c r="B511" s="27" t="n">
        <v>641558</v>
      </c>
      <c r="C511" s="27" t="inlineStr">
        <is>
          <t>ArrivedAtPickupPoint</t>
        </is>
      </c>
      <c r="D511" s="41" t="n">
        <v>45767.54551186343</v>
      </c>
      <c r="E511" s="27" t="n">
        <v>-29.857144</v>
      </c>
      <c r="F511" s="27" t="n">
        <v>18.788732</v>
      </c>
      <c r="G511" s="27" t="inlineStr">
        <is>
          <t>Open</t>
        </is>
      </c>
      <c r="H511" s="27" t="inlineStr">
        <is>
          <t>API</t>
        </is>
      </c>
      <c r="I511" s="27" t="inlineStr">
        <is>
          <t>04</t>
        </is>
      </c>
      <c r="J511" s="27" t="n">
        <v>2025</v>
      </c>
    </row>
    <row r="512" ht="15" customHeight="1" s="24">
      <c r="A512" s="27" t="n">
        <v>4424734</v>
      </c>
      <c r="B512" s="27" t="n">
        <v>615435</v>
      </c>
      <c r="C512" s="27" t="inlineStr">
        <is>
          <t>ArrivedAtPickupPoint</t>
        </is>
      </c>
      <c r="D512" s="41" t="n">
        <v>45768.73945960648</v>
      </c>
      <c r="E512" s="27" t="n">
        <v>-25.95128</v>
      </c>
      <c r="F512" s="27" t="n">
        <v>30.04022</v>
      </c>
      <c r="G512" s="27" t="inlineStr">
        <is>
          <t>Open</t>
        </is>
      </c>
      <c r="H512" s="27" t="inlineStr">
        <is>
          <t>ScannerApp</t>
        </is>
      </c>
      <c r="I512" s="27" t="inlineStr">
        <is>
          <t>04</t>
        </is>
      </c>
      <c r="J512" s="27" t="n">
        <v>2025</v>
      </c>
    </row>
    <row r="513" ht="15" customHeight="1" s="24">
      <c r="A513" s="27" t="n">
        <v>4350574</v>
      </c>
      <c r="B513" s="27" t="n">
        <v>640640</v>
      </c>
      <c r="C513" s="27" t="inlineStr">
        <is>
          <t>CollectedFromRetailer</t>
        </is>
      </c>
      <c r="D513" s="41" t="n">
        <v>45769.8378709838</v>
      </c>
      <c r="E513" s="27" t="n">
        <v>-29.947745</v>
      </c>
      <c r="F513" s="27" t="n">
        <v>26.471504</v>
      </c>
      <c r="G513" s="27" t="inlineStr">
        <is>
          <t>Open</t>
        </is>
      </c>
      <c r="H513" s="27" t="inlineStr">
        <is>
          <t>ScannerApp</t>
        </is>
      </c>
      <c r="I513" s="27" t="inlineStr">
        <is>
          <t>04</t>
        </is>
      </c>
      <c r="J513" s="27" t="n">
        <v>2025</v>
      </c>
    </row>
    <row r="514" ht="15" customHeight="1" s="24">
      <c r="A514" s="27" t="n">
        <v>4444017</v>
      </c>
      <c r="B514" s="27" t="n">
        <v>634763</v>
      </c>
      <c r="C514" s="27" t="inlineStr">
        <is>
          <t>ArrivedAtPickupPoint</t>
        </is>
      </c>
      <c r="D514" s="41" t="n">
        <v>45772.57342974537</v>
      </c>
      <c r="E514" s="27" t="n">
        <v>-26.581258</v>
      </c>
      <c r="F514" s="27" t="n">
        <v>28.13391</v>
      </c>
      <c r="G514" s="27" t="inlineStr">
        <is>
          <t>Open</t>
        </is>
      </c>
      <c r="H514" s="27" t="inlineStr">
        <is>
          <t>CourierGPS</t>
        </is>
      </c>
      <c r="I514" s="27" t="inlineStr">
        <is>
          <t>04</t>
        </is>
      </c>
      <c r="J514" s="27" t="n">
        <v>2025</v>
      </c>
    </row>
    <row r="515" ht="15" customHeight="1" s="24">
      <c r="A515" s="27" t="n">
        <v>4449940</v>
      </c>
      <c r="B515" s="27" t="n">
        <v>640698</v>
      </c>
      <c r="C515" s="27" t="inlineStr">
        <is>
          <t>ArrivedAtPickupPoint</t>
        </is>
      </c>
      <c r="D515" s="41" t="n">
        <v>45774.26551194445</v>
      </c>
      <c r="E515" s="27" t="n">
        <v>-25.519703</v>
      </c>
      <c r="F515" s="27" t="n">
        <v>28.752261</v>
      </c>
      <c r="G515" s="27" t="inlineStr">
        <is>
          <t>Open</t>
        </is>
      </c>
      <c r="H515" s="27" t="inlineStr">
        <is>
          <t>API</t>
        </is>
      </c>
      <c r="I515" s="27" t="inlineStr">
        <is>
          <t>04</t>
        </is>
      </c>
      <c r="J515" s="27" t="n">
        <v>2025</v>
      </c>
    </row>
    <row r="516" ht="15" customHeight="1" s="24">
      <c r="A516" s="27" t="n">
        <v>4313591</v>
      </c>
      <c r="B516" s="27" t="n">
        <v>636779</v>
      </c>
      <c r="C516" s="27" t="inlineStr">
        <is>
          <t>Created</t>
        </is>
      </c>
      <c r="D516" s="41" t="n">
        <v>45775.94317355324</v>
      </c>
      <c r="E516" s="27" t="n">
        <v>-33.579592</v>
      </c>
      <c r="F516" s="27" t="n">
        <v>28.823773</v>
      </c>
      <c r="G516" s="27" t="inlineStr">
        <is>
          <t>Open</t>
        </is>
      </c>
      <c r="H516" s="27" t="inlineStr">
        <is>
          <t>PartnerPOS</t>
        </is>
      </c>
      <c r="I516" s="27" t="inlineStr">
        <is>
          <t>04</t>
        </is>
      </c>
      <c r="J516" s="27" t="n">
        <v>2025</v>
      </c>
    </row>
    <row r="517" ht="15" customHeight="1" s="24">
      <c r="A517" s="27" t="n">
        <v>4490183</v>
      </c>
      <c r="B517" s="27" t="n">
        <v>647904</v>
      </c>
      <c r="C517" s="27" t="inlineStr">
        <is>
          <t>CustomerNotified</t>
        </is>
      </c>
      <c r="D517" s="41" t="n">
        <v>45776.78125311343</v>
      </c>
      <c r="E517" s="27" t="n">
        <v>-25.591302</v>
      </c>
      <c r="F517" s="27" t="n">
        <v>28.228787</v>
      </c>
      <c r="G517" s="27" t="inlineStr">
        <is>
          <t>Open</t>
        </is>
      </c>
      <c r="H517" s="27" t="inlineStr">
        <is>
          <t>PartnerPOS</t>
        </is>
      </c>
      <c r="I517" s="27" t="inlineStr">
        <is>
          <t>04</t>
        </is>
      </c>
      <c r="J517" s="27" t="n">
        <v>2025</v>
      </c>
    </row>
    <row r="518" ht="15" customHeight="1" s="24">
      <c r="A518" s="27" t="n">
        <v>4521962</v>
      </c>
      <c r="B518" s="27" t="n">
        <v>628876</v>
      </c>
      <c r="C518" s="27" t="inlineStr">
        <is>
          <t>ExpiredReturnedToSender</t>
        </is>
      </c>
      <c r="D518" s="41" t="n">
        <v>45779.55788074074</v>
      </c>
      <c r="E518" s="27" t="n">
        <v>-24.728621</v>
      </c>
      <c r="F518" s="27" t="n">
        <v>28.965155</v>
      </c>
      <c r="G518" s="27" t="inlineStr">
        <is>
          <t>RTS</t>
        </is>
      </c>
      <c r="H518" s="27" t="inlineStr">
        <is>
          <t>ScannerApp</t>
        </is>
      </c>
      <c r="I518" s="27" t="inlineStr">
        <is>
          <t>04</t>
        </is>
      </c>
      <c r="J518" s="27" t="n">
        <v>2025</v>
      </c>
    </row>
    <row r="519" ht="15" customHeight="1" s="24">
      <c r="A519" s="27" t="n">
        <v>4690500</v>
      </c>
      <c r="B519" s="27" t="n">
        <v>681158</v>
      </c>
      <c r="C519" s="27" t="inlineStr">
        <is>
          <t>ArrivedAtPickupPoint</t>
        </is>
      </c>
      <c r="D519" s="41" t="n">
        <v>45780.16984134259</v>
      </c>
      <c r="E519" s="27" t="n">
        <v>-31.728134</v>
      </c>
      <c r="F519" s="27" t="n">
        <v>22.796745</v>
      </c>
      <c r="G519" s="27" t="inlineStr">
        <is>
          <t>Open</t>
        </is>
      </c>
      <c r="H519" s="27" t="inlineStr">
        <is>
          <t>API</t>
        </is>
      </c>
      <c r="I519" s="27" t="inlineStr">
        <is>
          <t>05</t>
        </is>
      </c>
      <c r="J519" s="27" t="n">
        <v>2025</v>
      </c>
    </row>
    <row r="520" ht="15" customHeight="1" s="24">
      <c r="A520" s="27" t="n">
        <v>4648216</v>
      </c>
      <c r="B520" s="27" t="n">
        <v>672465</v>
      </c>
      <c r="C520" s="27" t="inlineStr">
        <is>
          <t>InLinehaul</t>
        </is>
      </c>
      <c r="D520" s="41" t="n">
        <v>45781.03932451389</v>
      </c>
      <c r="E520" s="27" t="n">
        <v>-28.079266</v>
      </c>
      <c r="F520" s="27" t="n">
        <v>29.480416</v>
      </c>
      <c r="G520" s="27" t="inlineStr">
        <is>
          <t>Open</t>
        </is>
      </c>
      <c r="H520" s="27" t="inlineStr">
        <is>
          <t>CourierGPS</t>
        </is>
      </c>
      <c r="I520" s="27" t="inlineStr">
        <is>
          <t>05</t>
        </is>
      </c>
      <c r="J520" s="27" t="n">
        <v>2025</v>
      </c>
    </row>
    <row r="521" ht="15" customHeight="1" s="24">
      <c r="A521" s="27" t="n">
        <v>4656130</v>
      </c>
      <c r="B521" s="27" t="n">
        <v>680379</v>
      </c>
      <c r="C521" s="27" t="inlineStr">
        <is>
          <t>InLinehaul</t>
        </is>
      </c>
      <c r="D521" s="41" t="n">
        <v>45781.34076518519</v>
      </c>
      <c r="E521" s="27" t="n">
        <v>-33.35617</v>
      </c>
      <c r="F521" s="27" t="n">
        <v>20.826072</v>
      </c>
      <c r="G521" s="27" t="inlineStr">
        <is>
          <t>Open</t>
        </is>
      </c>
      <c r="H521" s="27" t="inlineStr">
        <is>
          <t>PartnerPOS</t>
        </is>
      </c>
      <c r="I521" s="27" t="inlineStr">
        <is>
          <t>05</t>
        </is>
      </c>
      <c r="J521" s="27" t="n">
        <v>2025</v>
      </c>
    </row>
    <row r="522" ht="15" customHeight="1" s="24">
      <c r="A522" s="27" t="n">
        <v>4678733</v>
      </c>
      <c r="B522" s="27" t="n">
        <v>669366</v>
      </c>
      <c r="C522" s="27" t="inlineStr">
        <is>
          <t>ArrivedAtPickupPoint</t>
        </is>
      </c>
      <c r="D522" s="41" t="n">
        <v>45782.31331204861</v>
      </c>
      <c r="E522" s="27" t="n">
        <v>-26.176937</v>
      </c>
      <c r="F522" s="27" t="n">
        <v>28.233681</v>
      </c>
      <c r="G522" s="27" t="inlineStr">
        <is>
          <t>Open</t>
        </is>
      </c>
      <c r="H522" s="27" t="inlineStr">
        <is>
          <t>CourierGPS</t>
        </is>
      </c>
      <c r="I522" s="27" t="inlineStr">
        <is>
          <t>05</t>
        </is>
      </c>
      <c r="J522" s="27" t="n">
        <v>2025</v>
      </c>
    </row>
    <row r="523" ht="15" customHeight="1" s="24">
      <c r="A523" s="27" t="n">
        <v>4635722</v>
      </c>
      <c r="B523" s="27" t="n">
        <v>659971</v>
      </c>
      <c r="C523" s="27" t="inlineStr">
        <is>
          <t>InLinehaul</t>
        </is>
      </c>
      <c r="D523" s="41" t="n">
        <v>45783.57965980324</v>
      </c>
      <c r="E523" s="27" t="n">
        <v>-26.260208</v>
      </c>
      <c r="F523" s="27" t="n">
        <v>29.081334</v>
      </c>
      <c r="G523" s="27" t="inlineStr">
        <is>
          <t>Open</t>
        </is>
      </c>
      <c r="H523" s="27" t="inlineStr">
        <is>
          <t>ScannerApp</t>
        </is>
      </c>
      <c r="I523" s="27" t="inlineStr">
        <is>
          <t>05</t>
        </is>
      </c>
      <c r="J523" s="27" t="n">
        <v>2025</v>
      </c>
    </row>
    <row r="524" ht="15" customHeight="1" s="24">
      <c r="A524" s="27" t="n">
        <v>4601588</v>
      </c>
      <c r="B524" s="27" t="n">
        <v>659502</v>
      </c>
      <c r="C524" s="27" t="inlineStr">
        <is>
          <t>AtHub</t>
        </is>
      </c>
      <c r="D524" s="41" t="n">
        <v>45783.97652863426</v>
      </c>
      <c r="E524" s="27" t="n">
        <v>-33.07491</v>
      </c>
      <c r="F524" s="27" t="n">
        <v>18.59551</v>
      </c>
      <c r="G524" s="27" t="inlineStr">
        <is>
          <t>Open</t>
        </is>
      </c>
      <c r="H524" s="27" t="inlineStr">
        <is>
          <t>ScannerApp</t>
        </is>
      </c>
      <c r="I524" s="27" t="inlineStr">
        <is>
          <t>05</t>
        </is>
      </c>
      <c r="J524" s="27" t="n">
        <v>2025</v>
      </c>
    </row>
    <row r="525" ht="15" customHeight="1" s="24">
      <c r="A525" s="27" t="n">
        <v>4627367</v>
      </c>
      <c r="B525" s="27" t="n">
        <v>651616</v>
      </c>
      <c r="C525" s="27" t="inlineStr">
        <is>
          <t>InLinehaul</t>
        </is>
      </c>
      <c r="D525" s="41" t="n">
        <v>45784.66656930555</v>
      </c>
      <c r="E525" s="27" t="n">
        <v>-29.69913</v>
      </c>
      <c r="F525" s="27" t="n">
        <v>30.425703</v>
      </c>
      <c r="G525" s="27" t="inlineStr">
        <is>
          <t>Open</t>
        </is>
      </c>
      <c r="H525" s="27" t="inlineStr">
        <is>
          <t>PartnerPOS</t>
        </is>
      </c>
      <c r="I525" s="27" t="inlineStr">
        <is>
          <t>05</t>
        </is>
      </c>
      <c r="J525" s="27" t="n">
        <v>2025</v>
      </c>
    </row>
    <row r="526" ht="15" customHeight="1" s="24">
      <c r="A526" s="27" t="n">
        <v>4538808</v>
      </c>
      <c r="B526" s="27" t="n">
        <v>664052</v>
      </c>
      <c r="C526" s="27" t="inlineStr">
        <is>
          <t>Created</t>
        </is>
      </c>
      <c r="D526" s="41" t="n">
        <v>45785.86215002315</v>
      </c>
      <c r="E526" s="27" t="n">
        <v>-27.009742</v>
      </c>
      <c r="F526" s="27" t="n">
        <v>25.930277</v>
      </c>
      <c r="G526" s="27" t="inlineStr">
        <is>
          <t>Open</t>
        </is>
      </c>
      <c r="H526" s="27" t="inlineStr">
        <is>
          <t>ScannerApp</t>
        </is>
      </c>
      <c r="I526" s="27" t="inlineStr">
        <is>
          <t>05</t>
        </is>
      </c>
      <c r="J526" s="27" t="n">
        <v>2025</v>
      </c>
    </row>
    <row r="527" ht="15" customHeight="1" s="24">
      <c r="A527" s="27" t="n">
        <v>4567998</v>
      </c>
      <c r="B527" s="27" t="n">
        <v>659577</v>
      </c>
      <c r="C527" s="27" t="inlineStr">
        <is>
          <t>CollectedFromRetailer</t>
        </is>
      </c>
      <c r="D527" s="41" t="n">
        <v>45786.37422266204</v>
      </c>
      <c r="E527" s="27" t="n">
        <v>-27.49841</v>
      </c>
      <c r="F527" s="27" t="n">
        <v>21.880928</v>
      </c>
      <c r="G527" s="27" t="inlineStr">
        <is>
          <t>Open</t>
        </is>
      </c>
      <c r="H527" s="27" t="inlineStr">
        <is>
          <t>CourierGPS</t>
        </is>
      </c>
      <c r="I527" s="27" t="inlineStr">
        <is>
          <t>05</t>
        </is>
      </c>
      <c r="J527" s="27" t="n">
        <v>2025</v>
      </c>
    </row>
    <row r="528" ht="15" customHeight="1" s="24">
      <c r="A528" s="27" t="n">
        <v>4555944</v>
      </c>
      <c r="B528" s="27" t="n">
        <v>681188</v>
      </c>
      <c r="C528" s="27" t="inlineStr">
        <is>
          <t>Created</t>
        </is>
      </c>
      <c r="D528" s="41" t="n">
        <v>45788.96144385417</v>
      </c>
      <c r="E528" s="27" t="n">
        <v>-28.561592</v>
      </c>
      <c r="F528" s="27" t="n">
        <v>31.574049</v>
      </c>
      <c r="G528" s="27" t="inlineStr">
        <is>
          <t>Open</t>
        </is>
      </c>
      <c r="H528" s="27" t="inlineStr">
        <is>
          <t>PartnerPOS</t>
        </is>
      </c>
      <c r="I528" s="27" t="inlineStr">
        <is>
          <t>05</t>
        </is>
      </c>
      <c r="J528" s="27" t="n">
        <v>2025</v>
      </c>
    </row>
    <row r="529" ht="15" customHeight="1" s="24">
      <c r="A529" s="27" t="n">
        <v>4545908</v>
      </c>
      <c r="B529" s="27" t="n">
        <v>671152</v>
      </c>
      <c r="C529" s="27" t="inlineStr">
        <is>
          <t>Created</t>
        </is>
      </c>
      <c r="D529" s="41" t="n">
        <v>45789.15368452546</v>
      </c>
      <c r="E529" s="27" t="n">
        <v>-28.099811</v>
      </c>
      <c r="F529" s="27" t="n">
        <v>29.33932</v>
      </c>
      <c r="G529" s="27" t="inlineStr">
        <is>
          <t>Open</t>
        </is>
      </c>
      <c r="H529" s="27" t="inlineStr">
        <is>
          <t>PartnerPOS</t>
        </is>
      </c>
      <c r="I529" s="27" t="inlineStr">
        <is>
          <t>05</t>
        </is>
      </c>
      <c r="J529" s="27" t="n">
        <v>2025</v>
      </c>
    </row>
    <row r="530" ht="15" customHeight="1" s="24">
      <c r="A530" s="27" t="n">
        <v>4680478</v>
      </c>
      <c r="B530" s="27" t="n">
        <v>671117</v>
      </c>
      <c r="C530" s="27" t="inlineStr">
        <is>
          <t>ArrivedAtPickupPoint</t>
        </is>
      </c>
      <c r="D530" s="41" t="n">
        <v>45789.41185090278</v>
      </c>
      <c r="E530" s="27" t="n">
        <v>-31.866375</v>
      </c>
      <c r="F530" s="27" t="n">
        <v>27.431078</v>
      </c>
      <c r="G530" s="27" t="inlineStr">
        <is>
          <t>Open</t>
        </is>
      </c>
      <c r="H530" s="27" t="inlineStr">
        <is>
          <t>CourierGPS</t>
        </is>
      </c>
      <c r="I530" s="27" t="inlineStr">
        <is>
          <t>05</t>
        </is>
      </c>
      <c r="J530" s="27" t="n">
        <v>2025</v>
      </c>
    </row>
    <row r="531" ht="15" customHeight="1" s="24">
      <c r="A531" s="27" t="n">
        <v>4546454</v>
      </c>
      <c r="B531" s="27" t="n">
        <v>671698</v>
      </c>
      <c r="C531" s="27" t="inlineStr">
        <is>
          <t>Created</t>
        </is>
      </c>
      <c r="D531" s="41" t="n">
        <v>45791.57483503472</v>
      </c>
      <c r="E531" s="27" t="n">
        <v>-25.338706</v>
      </c>
      <c r="F531" s="27" t="n">
        <v>29.047771</v>
      </c>
      <c r="G531" s="27" t="inlineStr">
        <is>
          <t>Open</t>
        </is>
      </c>
      <c r="H531" s="27" t="inlineStr">
        <is>
          <t>CourierGPS</t>
        </is>
      </c>
      <c r="I531" s="27" t="inlineStr">
        <is>
          <t>05</t>
        </is>
      </c>
      <c r="J531" s="27" t="n">
        <v>2025</v>
      </c>
    </row>
    <row r="532" ht="15" customHeight="1" s="24">
      <c r="A532" s="27" t="n">
        <v>4622532</v>
      </c>
      <c r="B532" s="27" t="n">
        <v>680446</v>
      </c>
      <c r="C532" s="27" t="inlineStr">
        <is>
          <t>AtHub</t>
        </is>
      </c>
      <c r="D532" s="41" t="n">
        <v>45791.92385905093</v>
      </c>
      <c r="E532" s="27" t="n">
        <v>-26.139316</v>
      </c>
      <c r="F532" s="27" t="n">
        <v>30.918714</v>
      </c>
      <c r="G532" s="27" t="inlineStr">
        <is>
          <t>Open</t>
        </is>
      </c>
      <c r="H532" s="27" t="inlineStr">
        <is>
          <t>PartnerPOS</t>
        </is>
      </c>
      <c r="I532" s="27" t="inlineStr">
        <is>
          <t>05</t>
        </is>
      </c>
      <c r="J532" s="27" t="n">
        <v>2025</v>
      </c>
    </row>
    <row r="533" ht="15" customHeight="1" s="24">
      <c r="A533" s="27" t="n">
        <v>4729260</v>
      </c>
      <c r="B533" s="27" t="n">
        <v>653023</v>
      </c>
      <c r="C533" s="27" t="inlineStr">
        <is>
          <t>CollectedByCustomer</t>
        </is>
      </c>
      <c r="D533" s="41" t="n">
        <v>45792.67151119213</v>
      </c>
      <c r="E533" s="27" t="n">
        <v>-25.543587</v>
      </c>
      <c r="F533" s="27" t="n">
        <v>27.582758</v>
      </c>
      <c r="G533" s="27" t="inlineStr">
        <is>
          <t>Closed</t>
        </is>
      </c>
      <c r="H533" s="27" t="inlineStr">
        <is>
          <t>ScannerApp</t>
        </is>
      </c>
      <c r="I533" s="27" t="inlineStr">
        <is>
          <t>05</t>
        </is>
      </c>
      <c r="J533" s="27" t="n">
        <v>2025</v>
      </c>
    </row>
    <row r="534" ht="15" customHeight="1" s="24">
      <c r="A534" s="27" t="n">
        <v>4537282</v>
      </c>
      <c r="B534" s="27" t="n">
        <v>662526</v>
      </c>
      <c r="C534" s="27" t="inlineStr">
        <is>
          <t>Created</t>
        </is>
      </c>
      <c r="D534" s="41" t="n">
        <v>45794.49194625</v>
      </c>
      <c r="E534" s="27" t="n">
        <v>-25.950536</v>
      </c>
      <c r="F534" s="27" t="n">
        <v>29.517582</v>
      </c>
      <c r="G534" s="27" t="inlineStr">
        <is>
          <t>Open</t>
        </is>
      </c>
      <c r="H534" s="27" t="inlineStr">
        <is>
          <t>ScannerApp</t>
        </is>
      </c>
      <c r="I534" s="27" t="inlineStr">
        <is>
          <t>05</t>
        </is>
      </c>
      <c r="J534" s="27" t="n">
        <v>2025</v>
      </c>
    </row>
    <row r="535" ht="15" customHeight="1" s="24">
      <c r="A535" s="27" t="n">
        <v>4737344</v>
      </c>
      <c r="B535" s="27" t="n">
        <v>661793</v>
      </c>
      <c r="C535" s="27" t="inlineStr">
        <is>
          <t>CollectedByCustomer</t>
        </is>
      </c>
      <c r="D535" s="41" t="n">
        <v>45794.7674303588</v>
      </c>
      <c r="E535" s="27" t="n">
        <v>-33.722387</v>
      </c>
      <c r="F535" s="27" t="n">
        <v>19.024572</v>
      </c>
      <c r="G535" s="27" t="inlineStr">
        <is>
          <t>Closed</t>
        </is>
      </c>
      <c r="H535" s="27" t="inlineStr">
        <is>
          <t>PartnerPOS</t>
        </is>
      </c>
      <c r="I535" s="27" t="inlineStr">
        <is>
          <t>05</t>
        </is>
      </c>
      <c r="J535" s="27" t="n">
        <v>2025</v>
      </c>
    </row>
    <row r="536" ht="15" customHeight="1" s="24">
      <c r="A536" s="27" t="n">
        <v>4581168</v>
      </c>
      <c r="B536" s="27" t="n">
        <v>672747</v>
      </c>
      <c r="C536" s="27" t="inlineStr">
        <is>
          <t>CollectedFromRetailer</t>
        </is>
      </c>
      <c r="D536" s="41" t="n">
        <v>45796.92214490741</v>
      </c>
      <c r="E536" s="27" t="n">
        <v>-24.977261</v>
      </c>
      <c r="F536" s="27" t="n">
        <v>28.617043</v>
      </c>
      <c r="G536" s="27" t="inlineStr">
        <is>
          <t>Open</t>
        </is>
      </c>
      <c r="H536" s="27" t="inlineStr">
        <is>
          <t>PartnerPOS</t>
        </is>
      </c>
      <c r="I536" s="27" t="inlineStr">
        <is>
          <t>05</t>
        </is>
      </c>
      <c r="J536" s="27" t="n">
        <v>2025</v>
      </c>
    </row>
    <row r="537" ht="15" customHeight="1" s="24">
      <c r="A537" s="27" t="n">
        <v>4673542</v>
      </c>
      <c r="B537" s="27" t="n">
        <v>664163</v>
      </c>
      <c r="C537" s="27" t="inlineStr">
        <is>
          <t>ArrivedAtPickupPoint</t>
        </is>
      </c>
      <c r="D537" s="41" t="n">
        <v>45797.15466626157</v>
      </c>
      <c r="E537" s="27" t="n">
        <v>-23.086067</v>
      </c>
      <c r="F537" s="27" t="n">
        <v>27.195603</v>
      </c>
      <c r="G537" s="27" t="inlineStr">
        <is>
          <t>Open</t>
        </is>
      </c>
      <c r="H537" s="27" t="inlineStr">
        <is>
          <t>CourierGPS</t>
        </is>
      </c>
      <c r="I537" s="27" t="inlineStr">
        <is>
          <t>05</t>
        </is>
      </c>
      <c r="J537" s="27" t="n">
        <v>2025</v>
      </c>
    </row>
    <row r="538" ht="15" customHeight="1" s="24">
      <c r="A538" s="27" t="n">
        <v>4690805</v>
      </c>
      <c r="B538" s="27" t="n">
        <v>681464</v>
      </c>
      <c r="C538" s="27" t="inlineStr">
        <is>
          <t>ArrivedAtPickupPoint</t>
        </is>
      </c>
      <c r="D538" s="41" t="n">
        <v>45798.05082039352</v>
      </c>
      <c r="E538" s="27" t="n">
        <v>-26.645817</v>
      </c>
      <c r="F538" s="27" t="n">
        <v>24.968577</v>
      </c>
      <c r="G538" s="27" t="inlineStr">
        <is>
          <t>Open</t>
        </is>
      </c>
      <c r="H538" s="27" t="inlineStr">
        <is>
          <t>ScannerApp</t>
        </is>
      </c>
      <c r="I538" s="27" t="inlineStr">
        <is>
          <t>05</t>
        </is>
      </c>
      <c r="J538" s="27" t="n">
        <v>2025</v>
      </c>
    </row>
    <row r="539" ht="15" customHeight="1" s="24">
      <c r="A539" s="27" t="n">
        <v>4711294</v>
      </c>
      <c r="B539" s="27" t="n">
        <v>668335</v>
      </c>
      <c r="C539" s="27" t="inlineStr">
        <is>
          <t>CustomerNotified</t>
        </is>
      </c>
      <c r="D539" s="41" t="n">
        <v>45798.21519813658</v>
      </c>
      <c r="E539" s="27" t="n">
        <v>-22.303111</v>
      </c>
      <c r="F539" s="27" t="n">
        <v>27.882939</v>
      </c>
      <c r="G539" s="27" t="inlineStr">
        <is>
          <t>Open</t>
        </is>
      </c>
      <c r="H539" s="27" t="inlineStr">
        <is>
          <t>CourierGPS</t>
        </is>
      </c>
      <c r="I539" s="27" t="inlineStr">
        <is>
          <t>05</t>
        </is>
      </c>
      <c r="J539" s="27" t="n">
        <v>2025</v>
      </c>
    </row>
    <row r="540" ht="15" customHeight="1" s="24">
      <c r="A540" s="27" t="n">
        <v>4737242</v>
      </c>
      <c r="B540" s="27" t="n">
        <v>661679</v>
      </c>
      <c r="C540" s="27" t="inlineStr">
        <is>
          <t>CollectedByCustomer</t>
        </is>
      </c>
      <c r="D540" s="41" t="n">
        <v>45798.24174508102</v>
      </c>
      <c r="E540" s="27" t="n">
        <v>-27.024549</v>
      </c>
      <c r="F540" s="27" t="n">
        <v>30.97601</v>
      </c>
      <c r="G540" s="27" t="inlineStr">
        <is>
          <t>Closed</t>
        </is>
      </c>
      <c r="H540" s="27" t="inlineStr">
        <is>
          <t>ScannerApp</t>
        </is>
      </c>
      <c r="I540" s="27" t="inlineStr">
        <is>
          <t>05</t>
        </is>
      </c>
      <c r="J540" s="27" t="n">
        <v>2025</v>
      </c>
    </row>
    <row r="541" ht="15" customHeight="1" s="24">
      <c r="A541" s="27" t="n">
        <v>4578310</v>
      </c>
      <c r="B541" s="27" t="n">
        <v>669889</v>
      </c>
      <c r="C541" s="27" t="inlineStr">
        <is>
          <t>CollectedFromRetailer</t>
        </is>
      </c>
      <c r="D541" s="41" t="n">
        <v>45798.69459394676</v>
      </c>
      <c r="E541" s="27" t="n">
        <v>-26.069595</v>
      </c>
      <c r="F541" s="27" t="n">
        <v>26.542225</v>
      </c>
      <c r="G541" s="27" t="inlineStr">
        <is>
          <t>Open</t>
        </is>
      </c>
      <c r="H541" s="27" t="inlineStr">
        <is>
          <t>ScannerApp</t>
        </is>
      </c>
      <c r="I541" s="27" t="inlineStr">
        <is>
          <t>05</t>
        </is>
      </c>
      <c r="J541" s="27" t="n">
        <v>2025</v>
      </c>
    </row>
    <row r="542" ht="15" customHeight="1" s="24">
      <c r="A542" s="27" t="n">
        <v>4629581</v>
      </c>
      <c r="B542" s="27" t="n">
        <v>653830</v>
      </c>
      <c r="C542" s="27" t="inlineStr">
        <is>
          <t>InLinehaul</t>
        </is>
      </c>
      <c r="D542" s="41" t="n">
        <v>45799.9795506713</v>
      </c>
      <c r="E542" s="27" t="n">
        <v>-34.881285</v>
      </c>
      <c r="F542" s="27" t="n">
        <v>21.077574</v>
      </c>
      <c r="G542" s="27" t="inlineStr">
        <is>
          <t>Open</t>
        </is>
      </c>
      <c r="H542" s="27" t="inlineStr">
        <is>
          <t>ScannerApp</t>
        </is>
      </c>
      <c r="I542" s="27" t="inlineStr">
        <is>
          <t>05</t>
        </is>
      </c>
      <c r="J542" s="27" t="n">
        <v>2025</v>
      </c>
    </row>
    <row r="543" ht="15" customHeight="1" s="24">
      <c r="A543" s="27" t="n">
        <v>4655026</v>
      </c>
      <c r="B543" s="27" t="n">
        <v>679275</v>
      </c>
      <c r="C543" s="27" t="inlineStr">
        <is>
          <t>InLinehaul</t>
        </is>
      </c>
      <c r="D543" s="41" t="n">
        <v>45800.54759675926</v>
      </c>
      <c r="E543" s="27" t="n">
        <v>-35.071651</v>
      </c>
      <c r="F543" s="27" t="n">
        <v>19.054755</v>
      </c>
      <c r="G543" s="27" t="inlineStr">
        <is>
          <t>Open</t>
        </is>
      </c>
      <c r="H543" s="27" t="inlineStr">
        <is>
          <t>ScannerApp</t>
        </is>
      </c>
      <c r="I543" s="27" t="inlineStr">
        <is>
          <t>05</t>
        </is>
      </c>
      <c r="J543" s="27" t="n">
        <v>2025</v>
      </c>
    </row>
    <row r="544" ht="15" customHeight="1" s="24">
      <c r="A544" s="27" t="n">
        <v>4625804</v>
      </c>
      <c r="B544" s="27" t="n">
        <v>650053</v>
      </c>
      <c r="C544" s="27" t="inlineStr">
        <is>
          <t>InLinehaul</t>
        </is>
      </c>
      <c r="D544" s="41" t="n">
        <v>45801.62127924769</v>
      </c>
      <c r="E544" s="27" t="n">
        <v>-28.798269</v>
      </c>
      <c r="F544" s="27" t="n">
        <v>24.998526</v>
      </c>
      <c r="G544" s="27" t="inlineStr">
        <is>
          <t>Open</t>
        </is>
      </c>
      <c r="H544" s="27" t="inlineStr">
        <is>
          <t>ScannerApp</t>
        </is>
      </c>
      <c r="I544" s="27" t="inlineStr">
        <is>
          <t>05</t>
        </is>
      </c>
      <c r="J544" s="27" t="n">
        <v>2025</v>
      </c>
    </row>
    <row r="545" ht="15" customHeight="1" s="24">
      <c r="A545" s="27" t="n">
        <v>4716835</v>
      </c>
      <c r="B545" s="27" t="n">
        <v>673890</v>
      </c>
      <c r="C545" s="27" t="inlineStr">
        <is>
          <t>CustomerNotified</t>
        </is>
      </c>
      <c r="D545" s="41" t="n">
        <v>45801.70830474537</v>
      </c>
      <c r="E545" s="27" t="n">
        <v>-23.207576</v>
      </c>
      <c r="F545" s="27" t="n">
        <v>28.317639</v>
      </c>
      <c r="G545" s="27" t="inlineStr">
        <is>
          <t>Open</t>
        </is>
      </c>
      <c r="H545" s="27" t="inlineStr">
        <is>
          <t>ScannerApp</t>
        </is>
      </c>
      <c r="I545" s="27" t="inlineStr">
        <is>
          <t>05</t>
        </is>
      </c>
      <c r="J545" s="27" t="n">
        <v>2025</v>
      </c>
    </row>
    <row r="546" ht="15" customHeight="1" s="24">
      <c r="A546" s="27" t="n">
        <v>4721382</v>
      </c>
      <c r="B546" s="27" t="n">
        <v>678448</v>
      </c>
      <c r="C546" s="27" t="inlineStr">
        <is>
          <t>CustomerNotified</t>
        </is>
      </c>
      <c r="D546" s="41" t="n">
        <v>45806.33638219907</v>
      </c>
      <c r="E546" s="27" t="n">
        <v>-30.437904</v>
      </c>
      <c r="F546" s="27" t="n">
        <v>31.987607</v>
      </c>
      <c r="G546" s="27" t="inlineStr">
        <is>
          <t>Open</t>
        </is>
      </c>
      <c r="H546" s="27" t="inlineStr">
        <is>
          <t>CourierGPS</t>
        </is>
      </c>
      <c r="I546" s="27" t="inlineStr">
        <is>
          <t>05</t>
        </is>
      </c>
      <c r="J546" s="27" t="n">
        <v>2025</v>
      </c>
    </row>
    <row r="547" ht="15" customHeight="1" s="24">
      <c r="A547" s="27" t="n">
        <v>4656135</v>
      </c>
      <c r="B547" s="27" t="n">
        <v>680384</v>
      </c>
      <c r="C547" s="27" t="inlineStr">
        <is>
          <t>InLinehaul</t>
        </is>
      </c>
      <c r="D547" s="41" t="n">
        <v>45807.59628053241</v>
      </c>
      <c r="E547" s="27" t="n">
        <v>-33.903125</v>
      </c>
      <c r="F547" s="27" t="n">
        <v>29.391101</v>
      </c>
      <c r="G547" s="27" t="inlineStr">
        <is>
          <t>Open</t>
        </is>
      </c>
      <c r="H547" s="27" t="inlineStr">
        <is>
          <t>PartnerPOS</t>
        </is>
      </c>
      <c r="I547" s="27" t="inlineStr">
        <is>
          <t>05</t>
        </is>
      </c>
      <c r="J547" s="27" t="n">
        <v>2025</v>
      </c>
    </row>
    <row r="548" ht="15" customHeight="1" s="24">
      <c r="A548" s="27" t="n">
        <v>4673970</v>
      </c>
      <c r="B548" s="27" t="n">
        <v>664593</v>
      </c>
      <c r="C548" s="27" t="inlineStr">
        <is>
          <t>ArrivedAtPickupPoint</t>
        </is>
      </c>
      <c r="D548" s="41" t="n">
        <v>45808.54282627315</v>
      </c>
      <c r="E548" s="27" t="n">
        <v>-25.237472</v>
      </c>
      <c r="F548" s="27" t="n">
        <v>28.40632</v>
      </c>
      <c r="G548" s="27" t="inlineStr">
        <is>
          <t>Open</t>
        </is>
      </c>
      <c r="H548" s="27" t="inlineStr">
        <is>
          <t>ScannerApp</t>
        </is>
      </c>
      <c r="I548" s="27" t="inlineStr">
        <is>
          <t>05</t>
        </is>
      </c>
      <c r="J548" s="27" t="n">
        <v>2025</v>
      </c>
    </row>
    <row r="549" ht="15" customHeight="1" s="24">
      <c r="A549" s="27" t="n">
        <v>4962160</v>
      </c>
      <c r="B549" s="27" t="n">
        <v>715364</v>
      </c>
      <c r="C549" s="27" t="inlineStr">
        <is>
          <t>CustomerNotified</t>
        </is>
      </c>
      <c r="D549" s="41" t="n">
        <v>45811.38739623842</v>
      </c>
      <c r="E549" s="27" t="n">
        <v>-32.155526</v>
      </c>
      <c r="F549" s="27" t="n">
        <v>20.092185</v>
      </c>
      <c r="G549" s="27" t="inlineStr">
        <is>
          <t>Open</t>
        </is>
      </c>
      <c r="H549" s="27" t="inlineStr">
        <is>
          <t>CourierGPS</t>
        </is>
      </c>
      <c r="I549" s="27" t="inlineStr">
        <is>
          <t>06</t>
        </is>
      </c>
      <c r="J549" s="27" t="n">
        <v>2025</v>
      </c>
    </row>
    <row r="550" ht="15" customHeight="1" s="24">
      <c r="A550" s="27" t="n">
        <v>4819377</v>
      </c>
      <c r="B550" s="27" t="n">
        <v>709244</v>
      </c>
      <c r="C550" s="27" t="inlineStr">
        <is>
          <t>CollectedFromRetailer</t>
        </is>
      </c>
      <c r="D550" s="41" t="n">
        <v>45811.75092424769</v>
      </c>
      <c r="E550" s="27" t="n">
        <v>-27.089781</v>
      </c>
      <c r="F550" s="27" t="n">
        <v>28.862768</v>
      </c>
      <c r="G550" s="27" t="inlineStr">
        <is>
          <t>Open</t>
        </is>
      </c>
      <c r="H550" s="27" t="inlineStr">
        <is>
          <t>ScannerApp</t>
        </is>
      </c>
      <c r="I550" s="27" t="inlineStr">
        <is>
          <t>06</t>
        </is>
      </c>
      <c r="J550" s="27" t="n">
        <v>2025</v>
      </c>
    </row>
    <row r="551" ht="15" customHeight="1" s="24">
      <c r="A551" s="27" t="n">
        <v>4798224</v>
      </c>
      <c r="B551" s="27" t="n">
        <v>688091</v>
      </c>
      <c r="C551" s="27" t="inlineStr">
        <is>
          <t>CollectedFromRetailer</t>
        </is>
      </c>
      <c r="D551" s="41" t="n">
        <v>45812.42852184028</v>
      </c>
      <c r="E551" s="27" t="n">
        <v>-28.777052</v>
      </c>
      <c r="F551" s="27" t="n">
        <v>30.874908</v>
      </c>
      <c r="G551" s="27" t="inlineStr">
        <is>
          <t>Open</t>
        </is>
      </c>
      <c r="H551" s="27" t="inlineStr">
        <is>
          <t>ScannerApp</t>
        </is>
      </c>
      <c r="I551" s="27" t="inlineStr">
        <is>
          <t>06</t>
        </is>
      </c>
      <c r="J551" s="27" t="n">
        <v>2025</v>
      </c>
    </row>
    <row r="552" ht="15" customHeight="1" s="24">
      <c r="A552" s="27" t="n">
        <v>4784706</v>
      </c>
      <c r="B552" s="27" t="n">
        <v>708781</v>
      </c>
      <c r="C552" s="27" t="inlineStr">
        <is>
          <t>Created</t>
        </is>
      </c>
      <c r="D552" s="41" t="n">
        <v>45812.65246277778</v>
      </c>
      <c r="E552" s="27" t="n">
        <v>-29.853274</v>
      </c>
      <c r="F552" s="27" t="n">
        <v>31.637654</v>
      </c>
      <c r="G552" s="27" t="inlineStr">
        <is>
          <t>Open</t>
        </is>
      </c>
      <c r="H552" s="27" t="inlineStr">
        <is>
          <t>API</t>
        </is>
      </c>
      <c r="I552" s="27" t="inlineStr">
        <is>
          <t>06</t>
        </is>
      </c>
      <c r="J552" s="27" t="n">
        <v>2025</v>
      </c>
    </row>
    <row r="553" ht="15" customHeight="1" s="24">
      <c r="A553" s="27" t="n">
        <v>4840536</v>
      </c>
      <c r="B553" s="27" t="n">
        <v>696195</v>
      </c>
      <c r="C553" s="27" t="inlineStr">
        <is>
          <t>AtHub</t>
        </is>
      </c>
      <c r="D553" s="41" t="n">
        <v>45813.01766291667</v>
      </c>
      <c r="E553" s="27" t="n">
        <v>-25.606174</v>
      </c>
      <c r="F553" s="27" t="n">
        <v>28.020089</v>
      </c>
      <c r="G553" s="27" t="inlineStr">
        <is>
          <t>Open</t>
        </is>
      </c>
      <c r="H553" s="27" t="inlineStr">
        <is>
          <t>ScannerApp</t>
        </is>
      </c>
      <c r="I553" s="27" t="inlineStr">
        <is>
          <t>06</t>
        </is>
      </c>
      <c r="J553" s="27" t="n">
        <v>2025</v>
      </c>
    </row>
    <row r="554" ht="15" customHeight="1" s="24">
      <c r="A554" s="27" t="n">
        <v>4791068</v>
      </c>
      <c r="B554" s="27" t="n">
        <v>715143</v>
      </c>
      <c r="C554" s="27" t="inlineStr">
        <is>
          <t>Created</t>
        </is>
      </c>
      <c r="D554" s="41" t="n">
        <v>45813.55129259259</v>
      </c>
      <c r="E554" s="27" t="n">
        <v>-25.830539</v>
      </c>
      <c r="F554" s="27" t="n">
        <v>32.054962</v>
      </c>
      <c r="G554" s="27" t="inlineStr">
        <is>
          <t>Open</t>
        </is>
      </c>
      <c r="H554" s="27" t="inlineStr">
        <is>
          <t>PartnerPOS</t>
        </is>
      </c>
      <c r="I554" s="27" t="inlineStr">
        <is>
          <t>06</t>
        </is>
      </c>
      <c r="J554" s="27" t="n">
        <v>2025</v>
      </c>
    </row>
    <row r="555" ht="15" customHeight="1" s="24">
      <c r="A555" s="27" t="n">
        <v>4898824</v>
      </c>
      <c r="B555" s="27" t="n">
        <v>686077</v>
      </c>
      <c r="C555" s="27" t="inlineStr">
        <is>
          <t>ArrivedAtPickupPoint</t>
        </is>
      </c>
      <c r="D555" s="41" t="n">
        <v>45814.07304299768</v>
      </c>
      <c r="E555" s="27" t="n">
        <v>-22.417552</v>
      </c>
      <c r="F555" s="27" t="n">
        <v>29.439571</v>
      </c>
      <c r="G555" s="27" t="inlineStr">
        <is>
          <t>Open</t>
        </is>
      </c>
      <c r="H555" s="27" t="inlineStr">
        <is>
          <t>PartnerPOS</t>
        </is>
      </c>
      <c r="I555" s="27" t="inlineStr">
        <is>
          <t>06</t>
        </is>
      </c>
      <c r="J555" s="27" t="n">
        <v>2025</v>
      </c>
    </row>
    <row r="556" ht="15" customHeight="1" s="24">
      <c r="A556" s="27" t="n">
        <v>4932096</v>
      </c>
      <c r="B556" s="27" t="n">
        <v>685226</v>
      </c>
      <c r="C556" s="27" t="inlineStr">
        <is>
          <t>CustomerNotified</t>
        </is>
      </c>
      <c r="D556" s="41" t="n">
        <v>45815.08178807871</v>
      </c>
      <c r="E556" s="27" t="n">
        <v>-25.398705</v>
      </c>
      <c r="F556" s="27" t="n">
        <v>27.985213</v>
      </c>
      <c r="G556" s="27" t="inlineStr">
        <is>
          <t>Open</t>
        </is>
      </c>
      <c r="H556" s="27" t="inlineStr">
        <is>
          <t>ScannerApp</t>
        </is>
      </c>
      <c r="I556" s="27" t="inlineStr">
        <is>
          <t>06</t>
        </is>
      </c>
      <c r="J556" s="27" t="n">
        <v>2025</v>
      </c>
    </row>
    <row r="557" ht="15" customHeight="1" s="24">
      <c r="A557" s="27" t="n">
        <v>4978772</v>
      </c>
      <c r="B557" s="27" t="n">
        <v>699031</v>
      </c>
      <c r="C557" s="27" t="inlineStr">
        <is>
          <t>CollectedByCustomer</t>
        </is>
      </c>
      <c r="D557" s="41" t="n">
        <v>45815.80444173611</v>
      </c>
      <c r="E557" s="27" t="n">
        <v>-25.475907</v>
      </c>
      <c r="F557" s="27" t="n">
        <v>28.233478</v>
      </c>
      <c r="G557" s="27" t="inlineStr">
        <is>
          <t>Closed</t>
        </is>
      </c>
      <c r="H557" s="27" t="inlineStr">
        <is>
          <t>CourierGPS</t>
        </is>
      </c>
      <c r="I557" s="27" t="inlineStr">
        <is>
          <t>06</t>
        </is>
      </c>
      <c r="J557" s="27" t="n">
        <v>2025</v>
      </c>
    </row>
    <row r="558" ht="15" customHeight="1" s="24">
      <c r="A558" s="27" t="n">
        <v>4764923</v>
      </c>
      <c r="B558" s="27" t="n">
        <v>688998</v>
      </c>
      <c r="C558" s="27" t="inlineStr">
        <is>
          <t>Created</t>
        </is>
      </c>
      <c r="D558" s="41" t="n">
        <v>45816.77146376157</v>
      </c>
      <c r="E558" s="27" t="n">
        <v>-31.910263</v>
      </c>
      <c r="F558" s="27" t="n">
        <v>21.094444</v>
      </c>
      <c r="G558" s="27" t="inlineStr">
        <is>
          <t>Open</t>
        </is>
      </c>
      <c r="H558" s="27" t="inlineStr">
        <is>
          <t>ScannerApp</t>
        </is>
      </c>
      <c r="I558" s="27" t="inlineStr">
        <is>
          <t>06</t>
        </is>
      </c>
      <c r="J558" s="27" t="n">
        <v>2025</v>
      </c>
    </row>
    <row r="559" ht="15" customHeight="1" s="24">
      <c r="A559" s="27" t="n">
        <v>4970602</v>
      </c>
      <c r="B559" s="27" t="n">
        <v>690220</v>
      </c>
      <c r="C559" s="27" t="inlineStr">
        <is>
          <t>CollectedByCustomer</t>
        </is>
      </c>
      <c r="D559" s="41" t="n">
        <v>45817.11803949074</v>
      </c>
      <c r="E559" s="27" t="n">
        <v>-25.201989</v>
      </c>
      <c r="F559" s="27" t="n">
        <v>27.340555</v>
      </c>
      <c r="G559" s="27" t="inlineStr">
        <is>
          <t>Closed</t>
        </is>
      </c>
      <c r="H559" s="27" t="inlineStr">
        <is>
          <t>CourierGPS</t>
        </is>
      </c>
      <c r="I559" s="27" t="inlineStr">
        <is>
          <t>06</t>
        </is>
      </c>
      <c r="J559" s="27" t="n">
        <v>2025</v>
      </c>
    </row>
    <row r="560" ht="15" customHeight="1" s="24">
      <c r="A560" s="27" t="n">
        <v>4885026</v>
      </c>
      <c r="B560" s="27" t="n">
        <v>706477</v>
      </c>
      <c r="C560" s="27" t="inlineStr">
        <is>
          <t>InLinehaul</t>
        </is>
      </c>
      <c r="D560" s="41" t="n">
        <v>45817.13145872685</v>
      </c>
      <c r="E560" s="27" t="n">
        <v>-25.701256</v>
      </c>
      <c r="F560" s="27" t="n">
        <v>29.267344</v>
      </c>
      <c r="G560" s="27" t="inlineStr">
        <is>
          <t>Open</t>
        </is>
      </c>
      <c r="H560" s="27" t="inlineStr">
        <is>
          <t>ScannerApp</t>
        </is>
      </c>
      <c r="I560" s="27" t="inlineStr">
        <is>
          <t>06</t>
        </is>
      </c>
      <c r="J560" s="27" t="n">
        <v>2025</v>
      </c>
    </row>
    <row r="561" ht="15" customHeight="1" s="24">
      <c r="A561" s="27" t="n">
        <v>4981559</v>
      </c>
      <c r="B561" s="27" t="n">
        <v>702060</v>
      </c>
      <c r="C561" s="27" t="inlineStr">
        <is>
          <t>CollectedByCustomer</t>
        </is>
      </c>
      <c r="D561" s="41" t="n">
        <v>45817.97068917824</v>
      </c>
      <c r="E561" s="27" t="n">
        <v>-29.325045</v>
      </c>
      <c r="F561" s="27" t="n">
        <v>31.66011</v>
      </c>
      <c r="G561" s="27" t="inlineStr">
        <is>
          <t>Closed</t>
        </is>
      </c>
      <c r="H561" s="27" t="inlineStr">
        <is>
          <t>PartnerPOS</t>
        </is>
      </c>
      <c r="I561" s="27" t="inlineStr">
        <is>
          <t>06</t>
        </is>
      </c>
      <c r="J561" s="27" t="n">
        <v>2025</v>
      </c>
    </row>
    <row r="562" ht="15" customHeight="1" s="24">
      <c r="A562" s="27" t="n">
        <v>4794135</v>
      </c>
      <c r="B562" s="27" t="n">
        <v>684002</v>
      </c>
      <c r="C562" s="27" t="inlineStr">
        <is>
          <t>CollectedFromRetailer</t>
        </is>
      </c>
      <c r="D562" s="41" t="n">
        <v>45818.81922471065</v>
      </c>
      <c r="E562" s="27" t="n">
        <v>-32.316424</v>
      </c>
      <c r="F562" s="27" t="n">
        <v>18.105391</v>
      </c>
      <c r="G562" s="27" t="inlineStr">
        <is>
          <t>Open</t>
        </is>
      </c>
      <c r="H562" s="27" t="inlineStr">
        <is>
          <t>ScannerApp</t>
        </is>
      </c>
      <c r="I562" s="27" t="inlineStr">
        <is>
          <t>06</t>
        </is>
      </c>
      <c r="J562" s="27" t="n">
        <v>2025</v>
      </c>
    </row>
    <row r="563" ht="15" customHeight="1" s="24">
      <c r="A563" s="27" t="n">
        <v>4760390</v>
      </c>
      <c r="B563" s="27" t="n">
        <v>684465</v>
      </c>
      <c r="C563" s="27" t="inlineStr">
        <is>
          <t>Created</t>
        </is>
      </c>
      <c r="D563" s="41" t="n">
        <v>45818.99818099537</v>
      </c>
      <c r="E563" s="27" t="n">
        <v>-28.432162</v>
      </c>
      <c r="F563" s="27" t="n">
        <v>31.507533</v>
      </c>
      <c r="G563" s="27" t="inlineStr">
        <is>
          <t>Open</t>
        </is>
      </c>
      <c r="H563" s="27" t="inlineStr">
        <is>
          <t>PartnerPOS</t>
        </is>
      </c>
      <c r="I563" s="27" t="inlineStr">
        <is>
          <t>06</t>
        </is>
      </c>
      <c r="J563" s="27" t="n">
        <v>2025</v>
      </c>
    </row>
    <row r="564" ht="15" customHeight="1" s="24">
      <c r="A564" s="27" t="n">
        <v>4938078</v>
      </c>
      <c r="B564" s="27" t="n">
        <v>691221</v>
      </c>
      <c r="C564" s="27" t="inlineStr">
        <is>
          <t>CustomerNotified</t>
        </is>
      </c>
      <c r="D564" s="41" t="n">
        <v>45819.8474072338</v>
      </c>
      <c r="E564" s="27" t="n">
        <v>-25.256821</v>
      </c>
      <c r="F564" s="27" t="n">
        <v>28.694462</v>
      </c>
      <c r="G564" s="27" t="inlineStr">
        <is>
          <t>Open</t>
        </is>
      </c>
      <c r="H564" s="27" t="inlineStr">
        <is>
          <t>ScannerApp</t>
        </is>
      </c>
      <c r="I564" s="27" t="inlineStr">
        <is>
          <t>06</t>
        </is>
      </c>
      <c r="J564" s="27" t="n">
        <v>2025</v>
      </c>
    </row>
    <row r="565" ht="15" customHeight="1" s="24">
      <c r="A565" s="27" t="n">
        <v>4959515</v>
      </c>
      <c r="B565" s="27" t="n">
        <v>712710</v>
      </c>
      <c r="C565" s="27" t="inlineStr">
        <is>
          <t>CustomerNotified</t>
        </is>
      </c>
      <c r="D565" s="41" t="n">
        <v>45821.87702592593</v>
      </c>
      <c r="E565" s="27" t="n">
        <v>-25.591302</v>
      </c>
      <c r="F565" s="27" t="n">
        <v>28.228787</v>
      </c>
      <c r="G565" s="27" t="inlineStr">
        <is>
          <t>Open</t>
        </is>
      </c>
      <c r="H565" s="27" t="inlineStr">
        <is>
          <t>ScannerApp</t>
        </is>
      </c>
      <c r="I565" s="27" t="inlineStr">
        <is>
          <t>06</t>
        </is>
      </c>
      <c r="J565" s="27" t="n">
        <v>2025</v>
      </c>
    </row>
    <row r="566" ht="15" customHeight="1" s="24">
      <c r="A566" s="27" t="n">
        <v>4835592</v>
      </c>
      <c r="B566" s="27" t="n">
        <v>691251</v>
      </c>
      <c r="C566" s="27" t="inlineStr">
        <is>
          <t>AtHub</t>
        </is>
      </c>
      <c r="D566" s="41" t="n">
        <v>45822.95048190972</v>
      </c>
      <c r="E566" s="27" t="n">
        <v>-26.365474</v>
      </c>
      <c r="F566" s="27" t="n">
        <v>29.68601</v>
      </c>
      <c r="G566" s="27" t="inlineStr">
        <is>
          <t>Open</t>
        </is>
      </c>
      <c r="H566" s="27" t="inlineStr">
        <is>
          <t>PartnerPOS</t>
        </is>
      </c>
      <c r="I566" s="27" t="inlineStr">
        <is>
          <t>06</t>
        </is>
      </c>
      <c r="J566" s="27" t="n">
        <v>2025</v>
      </c>
    </row>
    <row r="567" ht="15" customHeight="1" s="24">
      <c r="A567" s="27" t="n">
        <v>4924366</v>
      </c>
      <c r="B567" s="27" t="n">
        <v>711677</v>
      </c>
      <c r="C567" s="27" t="inlineStr">
        <is>
          <t>ArrivedAtPickupPoint</t>
        </is>
      </c>
      <c r="D567" s="41" t="n">
        <v>45822.97984983796</v>
      </c>
      <c r="E567" s="27" t="n">
        <v>-33.765492</v>
      </c>
      <c r="F567" s="27" t="n">
        <v>18.122347</v>
      </c>
      <c r="G567" s="27" t="inlineStr">
        <is>
          <t>Open</t>
        </is>
      </c>
      <c r="H567" s="27" t="inlineStr">
        <is>
          <t>API</t>
        </is>
      </c>
      <c r="I567" s="27" t="inlineStr">
        <is>
          <t>06</t>
        </is>
      </c>
      <c r="J567" s="27" t="n">
        <v>2025</v>
      </c>
    </row>
    <row r="568" ht="15" customHeight="1" s="24">
      <c r="A568" s="27" t="n">
        <v>4831444</v>
      </c>
      <c r="B568" s="27" t="n">
        <v>687103</v>
      </c>
      <c r="C568" s="27" t="inlineStr">
        <is>
          <t>AtHub</t>
        </is>
      </c>
      <c r="D568" s="41" t="n">
        <v>45823.10112534722</v>
      </c>
      <c r="E568" s="27" t="n">
        <v>-24.54062</v>
      </c>
      <c r="F568" s="27" t="n">
        <v>28.325004</v>
      </c>
      <c r="G568" s="27" t="inlineStr">
        <is>
          <t>Open</t>
        </is>
      </c>
      <c r="H568" s="27" t="inlineStr">
        <is>
          <t>CourierGPS</t>
        </is>
      </c>
      <c r="I568" s="27" t="inlineStr">
        <is>
          <t>06</t>
        </is>
      </c>
      <c r="J568" s="27" t="n">
        <v>2025</v>
      </c>
    </row>
    <row r="569" ht="15" customHeight="1" s="24">
      <c r="A569" s="27" t="n">
        <v>4944592</v>
      </c>
      <c r="B569" s="27" t="n">
        <v>697752</v>
      </c>
      <c r="C569" s="27" t="inlineStr">
        <is>
          <t>CustomerNotified</t>
        </is>
      </c>
      <c r="D569" s="41" t="n">
        <v>45823.37058818287</v>
      </c>
      <c r="E569" s="27" t="n">
        <v>-25.793545</v>
      </c>
      <c r="F569" s="27" t="n">
        <v>28.989272</v>
      </c>
      <c r="G569" s="27" t="inlineStr">
        <is>
          <t>Open</t>
        </is>
      </c>
      <c r="H569" s="27" t="inlineStr">
        <is>
          <t>ScannerApp</t>
        </is>
      </c>
      <c r="I569" s="27" t="inlineStr">
        <is>
          <t>06</t>
        </is>
      </c>
      <c r="J569" s="27" t="n">
        <v>2025</v>
      </c>
    </row>
    <row r="570" ht="15" customHeight="1" s="24">
      <c r="A570" s="27" t="n">
        <v>4912233</v>
      </c>
      <c r="B570" s="27" t="n">
        <v>699518</v>
      </c>
      <c r="C570" s="27" t="inlineStr">
        <is>
          <t>ArrivedAtPickupPoint</t>
        </is>
      </c>
      <c r="D570" s="41" t="n">
        <v>45826.95794590278</v>
      </c>
      <c r="E570" s="27" t="n">
        <v>-25.715794</v>
      </c>
      <c r="F570" s="27" t="n">
        <v>28.124157</v>
      </c>
      <c r="G570" s="27" t="inlineStr">
        <is>
          <t>Open</t>
        </is>
      </c>
      <c r="H570" s="27" t="inlineStr">
        <is>
          <t>CourierGPS</t>
        </is>
      </c>
      <c r="I570" s="27" t="inlineStr">
        <is>
          <t>06</t>
        </is>
      </c>
      <c r="J570" s="27" t="n">
        <v>2025</v>
      </c>
    </row>
    <row r="571" ht="15" customHeight="1" s="24">
      <c r="A571" s="27" t="n">
        <v>4828829</v>
      </c>
      <c r="B571" s="27" t="n">
        <v>684488</v>
      </c>
      <c r="C571" s="27" t="inlineStr">
        <is>
          <t>AtHub</t>
        </is>
      </c>
      <c r="D571" s="41" t="n">
        <v>45829.19861127315</v>
      </c>
      <c r="E571" s="27" t="n">
        <v>-34.044776</v>
      </c>
      <c r="F571" s="27" t="n">
        <v>26.209047</v>
      </c>
      <c r="G571" s="27" t="inlineStr">
        <is>
          <t>Open</t>
        </is>
      </c>
      <c r="H571" s="27" t="inlineStr">
        <is>
          <t>ScannerApp</t>
        </is>
      </c>
      <c r="I571" s="27" t="inlineStr">
        <is>
          <t>06</t>
        </is>
      </c>
      <c r="J571" s="27" t="n">
        <v>2025</v>
      </c>
    </row>
    <row r="572" ht="15" customHeight="1" s="24">
      <c r="A572" s="27" t="n">
        <v>4945635</v>
      </c>
      <c r="B572" s="27" t="n">
        <v>698797</v>
      </c>
      <c r="C572" s="27" t="inlineStr">
        <is>
          <t>CustomerNotified</t>
        </is>
      </c>
      <c r="D572" s="41" t="n">
        <v>45829.76394659722</v>
      </c>
      <c r="E572" s="27" t="n">
        <v>-30.437904</v>
      </c>
      <c r="F572" s="27" t="n">
        <v>31.987607</v>
      </c>
      <c r="G572" s="27" t="inlineStr">
        <is>
          <t>Open</t>
        </is>
      </c>
      <c r="H572" s="27" t="inlineStr">
        <is>
          <t>ScannerApp</t>
        </is>
      </c>
      <c r="I572" s="27" t="inlineStr">
        <is>
          <t>06</t>
        </is>
      </c>
      <c r="J572" s="27" t="n">
        <v>2025</v>
      </c>
    </row>
    <row r="573" ht="15" customHeight="1" s="24">
      <c r="A573" s="27" t="n">
        <v>4963655</v>
      </c>
      <c r="B573" s="27" t="n">
        <v>682700</v>
      </c>
      <c r="C573" s="27" t="inlineStr">
        <is>
          <t>CollectedByCustomer</t>
        </is>
      </c>
      <c r="D573" s="41" t="n">
        <v>45831.04566364583</v>
      </c>
      <c r="E573" s="27" t="n">
        <v>-31.847545</v>
      </c>
      <c r="F573" s="27" t="n">
        <v>20.061341</v>
      </c>
      <c r="G573" s="27" t="inlineStr">
        <is>
          <t>Closed</t>
        </is>
      </c>
      <c r="H573" s="27" t="inlineStr">
        <is>
          <t>PartnerPOS</t>
        </is>
      </c>
      <c r="I573" s="27" t="inlineStr">
        <is>
          <t>06</t>
        </is>
      </c>
      <c r="J573" s="27" t="n">
        <v>2025</v>
      </c>
    </row>
    <row r="574" ht="15" customHeight="1" s="24">
      <c r="A574" s="27" t="n">
        <v>4987541</v>
      </c>
      <c r="B574" s="27" t="n">
        <v>708514</v>
      </c>
      <c r="C574" s="27" t="inlineStr">
        <is>
          <t>CollectedByCustomer</t>
        </is>
      </c>
      <c r="D574" s="41" t="n">
        <v>45832.26467793981</v>
      </c>
      <c r="E574" s="27" t="n">
        <v>-27.345615</v>
      </c>
      <c r="F574" s="27" t="n">
        <v>31.50041</v>
      </c>
      <c r="G574" s="27" t="inlineStr">
        <is>
          <t>Closed</t>
        </is>
      </c>
      <c r="H574" s="27" t="inlineStr">
        <is>
          <t>CourierGPS</t>
        </is>
      </c>
      <c r="I574" s="27" t="inlineStr">
        <is>
          <t>06</t>
        </is>
      </c>
      <c r="J574" s="27" t="n">
        <v>2025</v>
      </c>
    </row>
    <row r="575" ht="15" customHeight="1" s="24">
      <c r="A575" s="27" t="n">
        <v>4935023</v>
      </c>
      <c r="B575" s="27" t="n">
        <v>688156</v>
      </c>
      <c r="C575" s="27" t="inlineStr">
        <is>
          <t>CustomerNotified</t>
        </is>
      </c>
      <c r="D575" s="41" t="n">
        <v>45835.16746168982</v>
      </c>
      <c r="E575" s="27" t="n">
        <v>-26.197647</v>
      </c>
      <c r="F575" s="27" t="n">
        <v>27.702249</v>
      </c>
      <c r="G575" s="27" t="inlineStr">
        <is>
          <t>Open</t>
        </is>
      </c>
      <c r="H575" s="27" t="inlineStr">
        <is>
          <t>ScannerApp</t>
        </is>
      </c>
      <c r="I575" s="27" t="inlineStr">
        <is>
          <t>06</t>
        </is>
      </c>
      <c r="J575" s="27" t="n">
        <v>2025</v>
      </c>
    </row>
    <row r="576" ht="15" customHeight="1" s="24">
      <c r="A576" s="27" t="n">
        <v>4873261</v>
      </c>
      <c r="B576" s="27" t="n">
        <v>694712</v>
      </c>
      <c r="C576" s="27" t="inlineStr">
        <is>
          <t>InLinehaul</t>
        </is>
      </c>
      <c r="D576" s="41" t="n">
        <v>45835.28599484954</v>
      </c>
      <c r="E576" s="27" t="n">
        <v>-24.895388</v>
      </c>
      <c r="F576" s="27" t="n">
        <v>30.319363</v>
      </c>
      <c r="G576" s="27" t="inlineStr">
        <is>
          <t>Open</t>
        </is>
      </c>
      <c r="H576" s="27" t="inlineStr">
        <is>
          <t>ScannerApp</t>
        </is>
      </c>
      <c r="I576" s="27" t="inlineStr">
        <is>
          <t>06</t>
        </is>
      </c>
      <c r="J576" s="27" t="n">
        <v>2025</v>
      </c>
    </row>
    <row r="577" ht="15" customHeight="1" s="24">
      <c r="A577" s="27" t="n">
        <v>4784234</v>
      </c>
      <c r="B577" s="27" t="n">
        <v>708309</v>
      </c>
      <c r="C577" s="27" t="inlineStr">
        <is>
          <t>Created</t>
        </is>
      </c>
      <c r="D577" s="41" t="n">
        <v>45836.01681340278</v>
      </c>
      <c r="E577" s="27" t="n">
        <v>-26.305681</v>
      </c>
      <c r="F577" s="27" t="n">
        <v>29.537589</v>
      </c>
      <c r="G577" s="27" t="inlineStr">
        <is>
          <t>Open</t>
        </is>
      </c>
      <c r="H577" s="27" t="inlineStr">
        <is>
          <t>PartnerPOS</t>
        </is>
      </c>
      <c r="I577" s="27" t="inlineStr">
        <is>
          <t>06</t>
        </is>
      </c>
      <c r="J577" s="27" t="n">
        <v>2025</v>
      </c>
    </row>
    <row r="578" ht="15" customHeight="1" s="24">
      <c r="A578" s="27" t="n">
        <v>4903410</v>
      </c>
      <c r="B578" s="27" t="n">
        <v>690674</v>
      </c>
      <c r="C578" s="27" t="inlineStr">
        <is>
          <t>ArrivedAtPickupPoint</t>
        </is>
      </c>
      <c r="D578" s="41" t="n">
        <v>45837.20283979167</v>
      </c>
      <c r="E578" s="27" t="n">
        <v>-26.186046</v>
      </c>
      <c r="F578" s="27" t="n">
        <v>29.209917</v>
      </c>
      <c r="G578" s="27" t="inlineStr">
        <is>
          <t>Open</t>
        </is>
      </c>
      <c r="H578" s="27" t="inlineStr">
        <is>
          <t>CourierGPS</t>
        </is>
      </c>
      <c r="I578" s="27" t="inlineStr">
        <is>
          <t>06</t>
        </is>
      </c>
      <c r="J578" s="27" t="n">
        <v>2025</v>
      </c>
    </row>
    <row r="579" ht="15" customHeight="1" s="24">
      <c r="A579" s="27" t="n">
        <v>4892363</v>
      </c>
      <c r="B579" s="27" t="n">
        <v>713814</v>
      </c>
      <c r="C579" s="27" t="inlineStr">
        <is>
          <t>InLinehaul</t>
        </is>
      </c>
      <c r="D579" s="41" t="n">
        <v>45837.99351466435</v>
      </c>
      <c r="E579" s="27" t="n">
        <v>-32.412765</v>
      </c>
      <c r="F579" s="27" t="n">
        <v>28.149377</v>
      </c>
      <c r="G579" s="27" t="inlineStr">
        <is>
          <t>Open</t>
        </is>
      </c>
      <c r="H579" s="27" t="inlineStr">
        <is>
          <t>PartnerPOS</t>
        </is>
      </c>
      <c r="I579" s="27" t="inlineStr">
        <is>
          <t>06</t>
        </is>
      </c>
      <c r="J579" s="27" t="n">
        <v>2025</v>
      </c>
    </row>
    <row r="580" ht="15" customHeight="1" s="24">
      <c r="A580" s="27" t="n">
        <v>5064271</v>
      </c>
      <c r="B580" s="27" t="n">
        <v>747521</v>
      </c>
      <c r="C580" s="27" t="inlineStr">
        <is>
          <t>CollectedFromRetailer</t>
        </is>
      </c>
      <c r="D580" s="41" t="n">
        <v>45841.02587476852</v>
      </c>
      <c r="E580" s="27" t="n">
        <v>-30.174462</v>
      </c>
      <c r="F580" s="27" t="n">
        <v>26.148032</v>
      </c>
      <c r="G580" s="27" t="inlineStr">
        <is>
          <t>Open</t>
        </is>
      </c>
      <c r="H580" s="27" t="inlineStr">
        <is>
          <t>ScannerApp</t>
        </is>
      </c>
      <c r="I580" s="27" t="inlineStr">
        <is>
          <t>07</t>
        </is>
      </c>
      <c r="J580" s="27" t="n">
        <v>2025</v>
      </c>
    </row>
    <row r="581" ht="15" customHeight="1" s="24">
      <c r="A581" s="27" t="n">
        <v>5135803</v>
      </c>
      <c r="B581" s="27" t="n">
        <v>746075</v>
      </c>
      <c r="C581" s="27" t="inlineStr">
        <is>
          <t>InLinehaul</t>
        </is>
      </c>
      <c r="D581" s="41" t="n">
        <v>45841.27147155093</v>
      </c>
      <c r="E581" s="27" t="n">
        <v>-25.966019</v>
      </c>
      <c r="F581" s="27" t="n">
        <v>27.690314</v>
      </c>
      <c r="G581" s="27" t="inlineStr">
        <is>
          <t>Open</t>
        </is>
      </c>
      <c r="H581" s="27" t="inlineStr">
        <is>
          <t>ScannerApp</t>
        </is>
      </c>
      <c r="I581" s="27" t="inlineStr">
        <is>
          <t>07</t>
        </is>
      </c>
      <c r="J581" s="27" t="n">
        <v>2025</v>
      </c>
    </row>
    <row r="582" ht="15" customHeight="1" s="24">
      <c r="A582" s="27" t="n">
        <v>5203221</v>
      </c>
      <c r="B582" s="27" t="n">
        <v>740620</v>
      </c>
      <c r="C582" s="27" t="inlineStr">
        <is>
          <t>CustomerNotified</t>
        </is>
      </c>
      <c r="D582" s="41" t="n">
        <v>45842.75690788194</v>
      </c>
      <c r="E582" s="27" t="n">
        <v>-33.722387</v>
      </c>
      <c r="F582" s="27" t="n">
        <v>19.024572</v>
      </c>
      <c r="G582" s="27" t="inlineStr">
        <is>
          <t>Open</t>
        </is>
      </c>
      <c r="H582" s="27" t="inlineStr">
        <is>
          <t>ScannerApp</t>
        </is>
      </c>
      <c r="I582" s="27" t="inlineStr">
        <is>
          <t>07</t>
        </is>
      </c>
      <c r="J582" s="27" t="n">
        <v>2025</v>
      </c>
    </row>
    <row r="583" ht="15" customHeight="1" s="24">
      <c r="A583" s="27" t="n">
        <v>5015098</v>
      </c>
      <c r="B583" s="27" t="n">
        <v>734837</v>
      </c>
      <c r="C583" s="27" t="inlineStr">
        <is>
          <t>Created</t>
        </is>
      </c>
      <c r="D583" s="41" t="n">
        <v>45842.83151922454</v>
      </c>
      <c r="E583" s="27" t="n">
        <v>-26.700748</v>
      </c>
      <c r="F583" s="27" t="n">
        <v>27.478654</v>
      </c>
      <c r="G583" s="27" t="inlineStr">
        <is>
          <t>Open</t>
        </is>
      </c>
      <c r="H583" s="27" t="inlineStr">
        <is>
          <t>API</t>
        </is>
      </c>
      <c r="I583" s="27" t="inlineStr">
        <is>
          <t>07</t>
        </is>
      </c>
      <c r="J583" s="27" t="n">
        <v>2025</v>
      </c>
    </row>
    <row r="584" ht="15" customHeight="1" s="24">
      <c r="A584" s="27" t="n">
        <v>5198207</v>
      </c>
      <c r="B584" s="27" t="n">
        <v>735599</v>
      </c>
      <c r="C584" s="27" t="inlineStr">
        <is>
          <t>CustomerNotified</t>
        </is>
      </c>
      <c r="D584" s="41" t="n">
        <v>45843.2225593287</v>
      </c>
      <c r="E584" s="27" t="n">
        <v>-25.697709</v>
      </c>
      <c r="F584" s="27" t="n">
        <v>28.495784</v>
      </c>
      <c r="G584" s="27" t="inlineStr">
        <is>
          <t>Open</t>
        </is>
      </c>
      <c r="H584" s="27" t="inlineStr">
        <is>
          <t>PartnerPOS</t>
        </is>
      </c>
      <c r="I584" s="27" t="inlineStr">
        <is>
          <t>07</t>
        </is>
      </c>
      <c r="J584" s="27" t="n">
        <v>2025</v>
      </c>
    </row>
    <row r="585" ht="15" customHeight="1" s="24">
      <c r="A585" s="27" t="n">
        <v>5109913</v>
      </c>
      <c r="B585" s="27" t="n">
        <v>720185</v>
      </c>
      <c r="C585" s="27" t="inlineStr">
        <is>
          <t>InLinehaul</t>
        </is>
      </c>
      <c r="D585" s="41" t="n">
        <v>45843.38077815972</v>
      </c>
      <c r="E585" s="27" t="n">
        <v>-29.699319</v>
      </c>
      <c r="F585" s="27" t="n">
        <v>25.263368</v>
      </c>
      <c r="G585" s="27" t="inlineStr">
        <is>
          <t>Open</t>
        </is>
      </c>
      <c r="H585" s="27" t="inlineStr">
        <is>
          <t>ScannerApp</t>
        </is>
      </c>
      <c r="I585" s="27" t="inlineStr">
        <is>
          <t>07</t>
        </is>
      </c>
      <c r="J585" s="27" t="n">
        <v>2025</v>
      </c>
    </row>
    <row r="586" ht="15" customHeight="1" s="24">
      <c r="A586" s="27" t="n">
        <v>5204671</v>
      </c>
      <c r="B586" s="27" t="n">
        <v>742074</v>
      </c>
      <c r="C586" s="27" t="inlineStr">
        <is>
          <t>CustomerNotified</t>
        </is>
      </c>
      <c r="D586" s="41" t="n">
        <v>45844.79902865741</v>
      </c>
      <c r="E586" s="27" t="n">
        <v>-25.691198</v>
      </c>
      <c r="F586" s="27" t="n">
        <v>27.418036</v>
      </c>
      <c r="G586" s="27" t="inlineStr">
        <is>
          <t>Open</t>
        </is>
      </c>
      <c r="H586" s="27" t="inlineStr">
        <is>
          <t>CourierGPS</t>
        </is>
      </c>
      <c r="I586" s="27" t="inlineStr">
        <is>
          <t>07</t>
        </is>
      </c>
      <c r="J586" s="27" t="n">
        <v>2025</v>
      </c>
    </row>
    <row r="587" ht="15" customHeight="1" s="24">
      <c r="A587" s="27" t="n">
        <v>5113638</v>
      </c>
      <c r="B587" s="27" t="n">
        <v>723910</v>
      </c>
      <c r="C587" s="27" t="inlineStr">
        <is>
          <t>InLinehaul</t>
        </is>
      </c>
      <c r="D587" s="41" t="n">
        <v>45845.21250759259</v>
      </c>
      <c r="E587" s="27" t="n">
        <v>-24.612932</v>
      </c>
      <c r="F587" s="27" t="n">
        <v>29.972626</v>
      </c>
      <c r="G587" s="27" t="inlineStr">
        <is>
          <t>Open</t>
        </is>
      </c>
      <c r="H587" s="27" t="inlineStr">
        <is>
          <t>CourierGPS</t>
        </is>
      </c>
      <c r="I587" s="27" t="inlineStr">
        <is>
          <t>07</t>
        </is>
      </c>
      <c r="J587" s="27" t="n">
        <v>2025</v>
      </c>
    </row>
    <row r="588" ht="15" customHeight="1" s="24">
      <c r="A588" s="27" t="n">
        <v>5022289</v>
      </c>
      <c r="B588" s="27" t="n">
        <v>742028</v>
      </c>
      <c r="C588" s="27" t="inlineStr">
        <is>
          <t>Created</t>
        </is>
      </c>
      <c r="D588" s="41" t="n">
        <v>45845.45513905092</v>
      </c>
      <c r="E588" s="27" t="n">
        <v>-31.191525</v>
      </c>
      <c r="F588" s="27" t="n">
        <v>23.934635</v>
      </c>
      <c r="G588" s="27" t="inlineStr">
        <is>
          <t>Open</t>
        </is>
      </c>
      <c r="H588" s="27" t="inlineStr">
        <is>
          <t>ScannerApp</t>
        </is>
      </c>
      <c r="I588" s="27" t="inlineStr">
        <is>
          <t>07</t>
        </is>
      </c>
      <c r="J588" s="27" t="n">
        <v>2025</v>
      </c>
    </row>
    <row r="589" ht="15" customHeight="1" s="24">
      <c r="A589" s="27" t="n">
        <v>5149080</v>
      </c>
      <c r="B589" s="27" t="n">
        <v>722872</v>
      </c>
      <c r="C589" s="27" t="inlineStr">
        <is>
          <t>ArrivedAtPickupPoint</t>
        </is>
      </c>
      <c r="D589" s="41" t="n">
        <v>45846.52630228009</v>
      </c>
      <c r="E589" s="27" t="n">
        <v>-25.895544</v>
      </c>
      <c r="F589" s="27" t="n">
        <v>28.340207</v>
      </c>
      <c r="G589" s="27" t="inlineStr">
        <is>
          <t>Open</t>
        </is>
      </c>
      <c r="H589" s="27" t="inlineStr">
        <is>
          <t>CourierGPS</t>
        </is>
      </c>
      <c r="I589" s="27" t="inlineStr">
        <is>
          <t>07</t>
        </is>
      </c>
      <c r="J589" s="27" t="n">
        <v>2025</v>
      </c>
    </row>
    <row r="590" ht="15" customHeight="1" s="24">
      <c r="A590" s="27" t="n">
        <v>5041592</v>
      </c>
      <c r="B590" s="27" t="n">
        <v>724842</v>
      </c>
      <c r="C590" s="27" t="inlineStr">
        <is>
          <t>CollectedFromRetailer</t>
        </is>
      </c>
      <c r="D590" s="41" t="n">
        <v>45848.66814645833</v>
      </c>
      <c r="E590" s="27" t="n">
        <v>-30.584641</v>
      </c>
      <c r="F590" s="27" t="n">
        <v>29.614061</v>
      </c>
      <c r="G590" s="27" t="inlineStr">
        <is>
          <t>Open</t>
        </is>
      </c>
      <c r="H590" s="27" t="inlineStr">
        <is>
          <t>CourierGPS</t>
        </is>
      </c>
      <c r="I590" s="27" t="inlineStr">
        <is>
          <t>07</t>
        </is>
      </c>
      <c r="J590" s="27" t="n">
        <v>2025</v>
      </c>
    </row>
    <row r="591" ht="15" customHeight="1" s="24">
      <c r="A591" s="27" t="n">
        <v>5102474</v>
      </c>
      <c r="B591" s="27" t="n">
        <v>749235</v>
      </c>
      <c r="C591" s="27" t="inlineStr">
        <is>
          <t>AtHub</t>
        </is>
      </c>
      <c r="D591" s="41" t="n">
        <v>45848.85845915509</v>
      </c>
      <c r="E591" s="27" t="n">
        <v>-27.925699</v>
      </c>
      <c r="F591" s="27" t="n">
        <v>31.138259</v>
      </c>
      <c r="G591" s="27" t="inlineStr">
        <is>
          <t>Open</t>
        </is>
      </c>
      <c r="H591" s="27" t="inlineStr">
        <is>
          <t>API</t>
        </is>
      </c>
      <c r="I591" s="27" t="inlineStr">
        <is>
          <t>07</t>
        </is>
      </c>
      <c r="J591" s="27" t="n">
        <v>2025</v>
      </c>
    </row>
    <row r="592" ht="15" customHeight="1" s="24">
      <c r="A592" s="27" t="n">
        <v>5000853</v>
      </c>
      <c r="B592" s="27" t="n">
        <v>720592</v>
      </c>
      <c r="C592" s="27" t="inlineStr">
        <is>
          <t>Created</t>
        </is>
      </c>
      <c r="D592" s="41" t="n">
        <v>45849.1410769213</v>
      </c>
      <c r="E592" s="27" t="n">
        <v>-31.311509</v>
      </c>
      <c r="F592" s="27" t="n">
        <v>25.311219</v>
      </c>
      <c r="G592" s="27" t="inlineStr">
        <is>
          <t>Open</t>
        </is>
      </c>
      <c r="H592" s="27" t="inlineStr">
        <is>
          <t>ScannerApp</t>
        </is>
      </c>
      <c r="I592" s="27" t="inlineStr">
        <is>
          <t>07</t>
        </is>
      </c>
      <c r="J592" s="27" t="n">
        <v>2025</v>
      </c>
    </row>
    <row r="593" ht="15" customHeight="1" s="24">
      <c r="A593" s="27" t="n">
        <v>5025581</v>
      </c>
      <c r="B593" s="27" t="n">
        <v>745320</v>
      </c>
      <c r="C593" s="27" t="inlineStr">
        <is>
          <t>Created</t>
        </is>
      </c>
      <c r="D593" s="41" t="n">
        <v>45850.88772792824</v>
      </c>
      <c r="E593" s="27" t="n">
        <v>-27.567296</v>
      </c>
      <c r="F593" s="27" t="n">
        <v>26.584576</v>
      </c>
      <c r="G593" s="27" t="inlineStr">
        <is>
          <t>Open</t>
        </is>
      </c>
      <c r="H593" s="27" t="inlineStr">
        <is>
          <t>ScannerApp</t>
        </is>
      </c>
      <c r="I593" s="27" t="inlineStr">
        <is>
          <t>07</t>
        </is>
      </c>
      <c r="J593" s="27" t="n">
        <v>2025</v>
      </c>
    </row>
    <row r="594" ht="15" customHeight="1" s="24">
      <c r="A594" s="27" t="n">
        <v>5238348</v>
      </c>
      <c r="B594" s="27" t="n">
        <v>741156</v>
      </c>
      <c r="C594" s="27" t="inlineStr">
        <is>
          <t>CollectedByCustomer</t>
        </is>
      </c>
      <c r="D594" s="41" t="n">
        <v>45851.16538628472</v>
      </c>
      <c r="E594" s="27" t="n">
        <v>-31.637361</v>
      </c>
      <c r="F594" s="27" t="n">
        <v>24.297552</v>
      </c>
      <c r="G594" s="27" t="inlineStr">
        <is>
          <t>Closed</t>
        </is>
      </c>
      <c r="H594" s="27" t="inlineStr">
        <is>
          <t>API</t>
        </is>
      </c>
      <c r="I594" s="27" t="inlineStr">
        <is>
          <t>07</t>
        </is>
      </c>
      <c r="J594" s="27" t="n">
        <v>2025</v>
      </c>
    </row>
    <row r="595" ht="15" customHeight="1" s="24">
      <c r="A595" s="27" t="n">
        <v>5044918</v>
      </c>
      <c r="B595" s="27" t="n">
        <v>728168</v>
      </c>
      <c r="C595" s="27" t="inlineStr">
        <is>
          <t>CollectedFromRetailer</t>
        </is>
      </c>
      <c r="D595" s="41" t="n">
        <v>45852.45865337963</v>
      </c>
      <c r="E595" s="27" t="n">
        <v>-28.886659</v>
      </c>
      <c r="F595" s="27" t="n">
        <v>28.907823</v>
      </c>
      <c r="G595" s="27" t="inlineStr">
        <is>
          <t>Open</t>
        </is>
      </c>
      <c r="H595" s="27" t="inlineStr">
        <is>
          <t>ScannerApp</t>
        </is>
      </c>
      <c r="I595" s="27" t="inlineStr">
        <is>
          <t>07</t>
        </is>
      </c>
      <c r="J595" s="27" t="n">
        <v>2025</v>
      </c>
    </row>
    <row r="596" ht="15" customHeight="1" s="24">
      <c r="A596" s="27" t="n">
        <v>5016105</v>
      </c>
      <c r="B596" s="27" t="n">
        <v>735844</v>
      </c>
      <c r="C596" s="27" t="inlineStr">
        <is>
          <t>Created</t>
        </is>
      </c>
      <c r="D596" s="41" t="n">
        <v>45852.90600076389</v>
      </c>
      <c r="E596" s="27" t="n">
        <v>-27.746407</v>
      </c>
      <c r="F596" s="27" t="n">
        <v>24.196286</v>
      </c>
      <c r="G596" s="27" t="inlineStr">
        <is>
          <t>Open</t>
        </is>
      </c>
      <c r="H596" s="27" t="inlineStr">
        <is>
          <t>ScannerApp</t>
        </is>
      </c>
      <c r="I596" s="27" t="inlineStr">
        <is>
          <t>07</t>
        </is>
      </c>
      <c r="J596" s="27" t="n">
        <v>2025</v>
      </c>
    </row>
    <row r="597" ht="15" customHeight="1" s="24">
      <c r="A597" s="27" t="n">
        <v>5092238</v>
      </c>
      <c r="B597" s="27" t="n">
        <v>738999</v>
      </c>
      <c r="C597" s="27" t="inlineStr">
        <is>
          <t>AtHub</t>
        </is>
      </c>
      <c r="D597" s="41" t="n">
        <v>45854.73301475694</v>
      </c>
      <c r="E597" s="27" t="n">
        <v>-23.812933</v>
      </c>
      <c r="F597" s="27" t="n">
        <v>28.243609</v>
      </c>
      <c r="G597" s="27" t="inlineStr">
        <is>
          <t>Open</t>
        </is>
      </c>
      <c r="H597" s="27" t="inlineStr">
        <is>
          <t>CourierGPS</t>
        </is>
      </c>
      <c r="I597" s="27" t="inlineStr">
        <is>
          <t>07</t>
        </is>
      </c>
      <c r="J597" s="27" t="n">
        <v>2025</v>
      </c>
    </row>
    <row r="598" ht="15" customHeight="1" s="24">
      <c r="A598" s="27" t="n">
        <v>5117846</v>
      </c>
      <c r="B598" s="27" t="n">
        <v>728118</v>
      </c>
      <c r="C598" s="27" t="inlineStr">
        <is>
          <t>InLinehaul</t>
        </is>
      </c>
      <c r="D598" s="41" t="n">
        <v>45854.76600976852</v>
      </c>
      <c r="E598" s="27" t="n">
        <v>-28.016375</v>
      </c>
      <c r="F598" s="27" t="n">
        <v>30.362086</v>
      </c>
      <c r="G598" s="27" t="inlineStr">
        <is>
          <t>Open</t>
        </is>
      </c>
      <c r="H598" s="27" t="inlineStr">
        <is>
          <t>CourierGPS</t>
        </is>
      </c>
      <c r="I598" s="27" t="inlineStr">
        <is>
          <t>07</t>
        </is>
      </c>
      <c r="J598" s="27" t="n">
        <v>2025</v>
      </c>
    </row>
    <row r="599" ht="15" customHeight="1" s="24">
      <c r="A599" s="27" t="n">
        <v>5120307</v>
      </c>
      <c r="B599" s="27" t="n">
        <v>730579</v>
      </c>
      <c r="C599" s="27" t="inlineStr">
        <is>
          <t>InLinehaul</t>
        </is>
      </c>
      <c r="D599" s="41" t="n">
        <v>45856.45282574074</v>
      </c>
      <c r="E599" s="27" t="n">
        <v>-26.173793</v>
      </c>
      <c r="F599" s="27" t="n">
        <v>25.75425</v>
      </c>
      <c r="G599" s="27" t="inlineStr">
        <is>
          <t>Open</t>
        </is>
      </c>
      <c r="H599" s="27" t="inlineStr">
        <is>
          <t>API</t>
        </is>
      </c>
      <c r="I599" s="27" t="inlineStr">
        <is>
          <t>07</t>
        </is>
      </c>
      <c r="J599" s="27" t="n">
        <v>2025</v>
      </c>
    </row>
    <row r="600" ht="15" customHeight="1" s="24">
      <c r="A600" s="27" t="n">
        <v>5101101</v>
      </c>
      <c r="B600" s="27" t="n">
        <v>747862</v>
      </c>
      <c r="C600" s="27" t="inlineStr">
        <is>
          <t>AtHub</t>
        </is>
      </c>
      <c r="D600" s="41" t="n">
        <v>45857.19733034722</v>
      </c>
      <c r="E600" s="27" t="n">
        <v>-27.599147</v>
      </c>
      <c r="F600" s="27" t="n">
        <v>29.187262</v>
      </c>
      <c r="G600" s="27" t="inlineStr">
        <is>
          <t>Open</t>
        </is>
      </c>
      <c r="H600" s="27" t="inlineStr">
        <is>
          <t>ScannerApp</t>
        </is>
      </c>
      <c r="I600" s="27" t="inlineStr">
        <is>
          <t>07</t>
        </is>
      </c>
      <c r="J600" s="27" t="n">
        <v>2025</v>
      </c>
    </row>
    <row r="601" ht="15" customHeight="1" s="24">
      <c r="A601" s="27" t="n">
        <v>5056940</v>
      </c>
      <c r="B601" s="27" t="n">
        <v>740190</v>
      </c>
      <c r="C601" s="27" t="inlineStr">
        <is>
          <t>CollectedFromRetailer</t>
        </is>
      </c>
      <c r="D601" s="41" t="n">
        <v>45857.92000001157</v>
      </c>
      <c r="E601" s="27" t="n">
        <v>-33.521819</v>
      </c>
      <c r="F601" s="27" t="n">
        <v>23.001634</v>
      </c>
      <c r="G601" s="27" t="inlineStr">
        <is>
          <t>Open</t>
        </is>
      </c>
      <c r="H601" s="27" t="inlineStr">
        <is>
          <t>ScannerApp</t>
        </is>
      </c>
      <c r="I601" s="27" t="inlineStr">
        <is>
          <t>07</t>
        </is>
      </c>
      <c r="J601" s="27" t="n">
        <v>2025</v>
      </c>
    </row>
    <row r="602" ht="15" customHeight="1" s="24">
      <c r="A602" s="27" t="n">
        <v>5100456</v>
      </c>
      <c r="B602" s="27" t="n">
        <v>747217</v>
      </c>
      <c r="C602" s="27" t="inlineStr">
        <is>
          <t>AtHub</t>
        </is>
      </c>
      <c r="D602" s="41" t="n">
        <v>45858.06551214121</v>
      </c>
      <c r="E602" s="27" t="n">
        <v>-25.764822</v>
      </c>
      <c r="F602" s="27" t="n">
        <v>28.261112</v>
      </c>
      <c r="G602" s="27" t="inlineStr">
        <is>
          <t>Open</t>
        </is>
      </c>
      <c r="H602" s="27" t="inlineStr">
        <is>
          <t>ScannerApp</t>
        </is>
      </c>
      <c r="I602" s="27" t="inlineStr">
        <is>
          <t>07</t>
        </is>
      </c>
      <c r="J602" s="27" t="n">
        <v>2025</v>
      </c>
    </row>
    <row r="603" ht="15" customHeight="1" s="24">
      <c r="A603" s="27" t="n">
        <v>5211521</v>
      </c>
      <c r="B603" s="27" t="n">
        <v>748940</v>
      </c>
      <c r="C603" s="27" t="inlineStr">
        <is>
          <t>CustomerNotified</t>
        </is>
      </c>
      <c r="D603" s="41" t="n">
        <v>45860.12380875</v>
      </c>
      <c r="E603" s="27" t="n">
        <v>-25.654547</v>
      </c>
      <c r="F603" s="27" t="n">
        <v>25.891971</v>
      </c>
      <c r="G603" s="27" t="inlineStr">
        <is>
          <t>Open</t>
        </is>
      </c>
      <c r="H603" s="27" t="inlineStr">
        <is>
          <t>ScannerApp</t>
        </is>
      </c>
      <c r="I603" s="27" t="inlineStr">
        <is>
          <t>07</t>
        </is>
      </c>
      <c r="J603" s="27" t="n">
        <v>2025</v>
      </c>
    </row>
    <row r="604" ht="15" customHeight="1" s="24">
      <c r="A604" s="27" t="n">
        <v>5067883</v>
      </c>
      <c r="B604" s="27" t="n">
        <v>751133</v>
      </c>
      <c r="C604" s="27" t="inlineStr">
        <is>
          <t>CollectedFromRetailer</t>
        </is>
      </c>
      <c r="D604" s="41" t="n">
        <v>45860.58489195602</v>
      </c>
      <c r="E604" s="27" t="n">
        <v>-34.374917</v>
      </c>
      <c r="F604" s="27" t="n">
        <v>25.108362</v>
      </c>
      <c r="G604" s="27" t="inlineStr">
        <is>
          <t>Open</t>
        </is>
      </c>
      <c r="H604" s="27" t="inlineStr">
        <is>
          <t>CourierGPS</t>
        </is>
      </c>
      <c r="I604" s="27" t="inlineStr">
        <is>
          <t>07</t>
        </is>
      </c>
      <c r="J604" s="27" t="n">
        <v>2025</v>
      </c>
    </row>
    <row r="605" ht="15" customHeight="1" s="24">
      <c r="A605" s="27" t="n">
        <v>5032166</v>
      </c>
      <c r="B605" s="27" t="n">
        <v>751905</v>
      </c>
      <c r="C605" s="27" t="inlineStr">
        <is>
          <t>Created</t>
        </is>
      </c>
      <c r="D605" s="41" t="n">
        <v>45860.66890125</v>
      </c>
      <c r="E605" s="27" t="n">
        <v>-29.576111</v>
      </c>
      <c r="F605" s="27" t="n">
        <v>19.147954</v>
      </c>
      <c r="G605" s="27" t="inlineStr">
        <is>
          <t>Open</t>
        </is>
      </c>
      <c r="H605" s="27" t="inlineStr">
        <is>
          <t>ScannerApp</t>
        </is>
      </c>
      <c r="I605" s="27" t="inlineStr">
        <is>
          <t>07</t>
        </is>
      </c>
      <c r="J605" s="27" t="n">
        <v>2025</v>
      </c>
    </row>
    <row r="606" ht="15" customHeight="1" s="24">
      <c r="A606" s="27" t="n">
        <v>5166596</v>
      </c>
      <c r="B606" s="27" t="n">
        <v>740417</v>
      </c>
      <c r="C606" s="27" t="inlineStr">
        <is>
          <t>ArrivedAtPickupPoint</t>
        </is>
      </c>
      <c r="D606" s="41" t="n">
        <v>45860.68294322916</v>
      </c>
      <c r="E606" s="27" t="n">
        <v>-25.78762</v>
      </c>
      <c r="F606" s="27" t="n">
        <v>30.365122</v>
      </c>
      <c r="G606" s="27" t="inlineStr">
        <is>
          <t>Open</t>
        </is>
      </c>
      <c r="H606" s="27" t="inlineStr">
        <is>
          <t>CourierGPS</t>
        </is>
      </c>
      <c r="I606" s="27" t="inlineStr">
        <is>
          <t>07</t>
        </is>
      </c>
      <c r="J606" s="27" t="n">
        <v>2025</v>
      </c>
    </row>
    <row r="607" ht="15" customHeight="1" s="24">
      <c r="A607" s="27" t="n">
        <v>5060385</v>
      </c>
      <c r="B607" s="27" t="n">
        <v>743635</v>
      </c>
      <c r="C607" s="27" t="inlineStr">
        <is>
          <t>CollectedFromRetailer</t>
        </is>
      </c>
      <c r="D607" s="41" t="n">
        <v>45861.85370583333</v>
      </c>
      <c r="E607" s="27" t="n">
        <v>-26.328474</v>
      </c>
      <c r="F607" s="27" t="n">
        <v>29.559007</v>
      </c>
      <c r="G607" s="27" t="inlineStr">
        <is>
          <t>Open</t>
        </is>
      </c>
      <c r="H607" s="27" t="inlineStr">
        <is>
          <t>CourierGPS</t>
        </is>
      </c>
      <c r="I607" s="27" t="inlineStr">
        <is>
          <t>07</t>
        </is>
      </c>
      <c r="J607" s="27" t="n">
        <v>2025</v>
      </c>
    </row>
    <row r="608" ht="15" customHeight="1" s="24">
      <c r="A608" s="27" t="n">
        <v>5052994</v>
      </c>
      <c r="B608" s="27" t="n">
        <v>736244</v>
      </c>
      <c r="C608" s="27" t="inlineStr">
        <is>
          <t>CollectedFromRetailer</t>
        </is>
      </c>
      <c r="D608" s="41" t="n">
        <v>45863.64452657408</v>
      </c>
      <c r="E608" s="27" t="n">
        <v>-27.367453</v>
      </c>
      <c r="F608" s="27" t="n">
        <v>28.183433</v>
      </c>
      <c r="G608" s="27" t="inlineStr">
        <is>
          <t>Open</t>
        </is>
      </c>
      <c r="H608" s="27" t="inlineStr">
        <is>
          <t>ScannerApp</t>
        </is>
      </c>
      <c r="I608" s="27" t="inlineStr">
        <is>
          <t>07</t>
        </is>
      </c>
      <c r="J608" s="27" t="n">
        <v>2025</v>
      </c>
    </row>
    <row r="609" ht="15" customHeight="1" s="24">
      <c r="A609" s="27" t="n">
        <v>5213530</v>
      </c>
      <c r="B609" s="27" t="n">
        <v>750954</v>
      </c>
      <c r="C609" s="27" t="inlineStr">
        <is>
          <t>CustomerNotified</t>
        </is>
      </c>
      <c r="D609" s="41" t="n">
        <v>45866.21944475694</v>
      </c>
      <c r="E609" s="27" t="n">
        <v>-30.793363</v>
      </c>
      <c r="F609" s="27" t="n">
        <v>31.050574</v>
      </c>
      <c r="G609" s="27" t="inlineStr">
        <is>
          <t>Open</t>
        </is>
      </c>
      <c r="H609" s="27" t="inlineStr">
        <is>
          <t>API</t>
        </is>
      </c>
      <c r="I609" s="27" t="inlineStr">
        <is>
          <t>07</t>
        </is>
      </c>
      <c r="J609" s="27" t="n">
        <v>2025</v>
      </c>
    </row>
    <row r="610" ht="15" customHeight="1" s="24">
      <c r="A610" s="27" t="n">
        <v>5173283</v>
      </c>
      <c r="B610" s="27" t="n">
        <v>747120</v>
      </c>
      <c r="C610" s="27" t="inlineStr">
        <is>
          <t>ArrivedAtPickupPoint</t>
        </is>
      </c>
      <c r="D610" s="41" t="n">
        <v>45866.59587829861</v>
      </c>
      <c r="E610" s="27" t="n">
        <v>-29.493024</v>
      </c>
      <c r="F610" s="27" t="n">
        <v>21.203471</v>
      </c>
      <c r="G610" s="27" t="inlineStr">
        <is>
          <t>Open</t>
        </is>
      </c>
      <c r="H610" s="27" t="inlineStr">
        <is>
          <t>PartnerPOS</t>
        </is>
      </c>
      <c r="I610" s="27" t="inlineStr">
        <is>
          <t>07</t>
        </is>
      </c>
      <c r="J610" s="27" t="n">
        <v>2025</v>
      </c>
    </row>
    <row r="611" ht="15" customHeight="1" s="24">
      <c r="A611" s="27" t="n">
        <v>5089820</v>
      </c>
      <c r="B611" s="27" t="n">
        <v>736581</v>
      </c>
      <c r="C611" s="27" t="inlineStr">
        <is>
          <t>AtHub</t>
        </is>
      </c>
      <c r="D611" s="41" t="n">
        <v>45867.44598506945</v>
      </c>
      <c r="E611" s="27" t="n">
        <v>-33.7705</v>
      </c>
      <c r="F611" s="27" t="n">
        <v>24.32325</v>
      </c>
      <c r="G611" s="27" t="inlineStr">
        <is>
          <t>Open</t>
        </is>
      </c>
      <c r="H611" s="27" t="inlineStr">
        <is>
          <t>CourierGPS</t>
        </is>
      </c>
      <c r="I611" s="27" t="inlineStr">
        <is>
          <t>07</t>
        </is>
      </c>
      <c r="J611" s="27" t="n">
        <v>2025</v>
      </c>
    </row>
    <row r="612" ht="15" customHeight="1" s="24">
      <c r="A612" s="27" t="n">
        <v>5017942</v>
      </c>
      <c r="B612" s="27" t="n">
        <v>737681</v>
      </c>
      <c r="C612" s="27" t="inlineStr">
        <is>
          <t>Created</t>
        </is>
      </c>
      <c r="D612" s="41" t="n">
        <v>45867.66439703704</v>
      </c>
      <c r="E612" s="27" t="n">
        <v>-29.719939</v>
      </c>
      <c r="F612" s="27" t="n">
        <v>32.09695</v>
      </c>
      <c r="G612" s="27" t="inlineStr">
        <is>
          <t>Open</t>
        </is>
      </c>
      <c r="H612" s="27" t="inlineStr">
        <is>
          <t>ScannerApp</t>
        </is>
      </c>
      <c r="I612" s="27" t="inlineStr">
        <is>
          <t>07</t>
        </is>
      </c>
      <c r="J612" s="27" t="n">
        <v>2025</v>
      </c>
    </row>
    <row r="613" ht="15" customHeight="1" s="24">
      <c r="A613" s="27" t="n">
        <v>5016662</v>
      </c>
      <c r="B613" s="27" t="n">
        <v>736401</v>
      </c>
      <c r="C613" s="27" t="inlineStr">
        <is>
          <t>Created</t>
        </is>
      </c>
      <c r="D613" s="41" t="n">
        <v>45868.1865474537</v>
      </c>
      <c r="E613" s="27" t="n">
        <v>-31.004268</v>
      </c>
      <c r="F613" s="27" t="n">
        <v>26.008144</v>
      </c>
      <c r="G613" s="27" t="inlineStr">
        <is>
          <t>Open</t>
        </is>
      </c>
      <c r="H613" s="27" t="inlineStr">
        <is>
          <t>CourierGPS</t>
        </is>
      </c>
      <c r="I613" s="27" t="inlineStr">
        <is>
          <t>07</t>
        </is>
      </c>
      <c r="J613" s="27" t="n">
        <v>2025</v>
      </c>
    </row>
    <row r="614" ht="15" customHeight="1" s="24">
      <c r="A614" s="27" t="n">
        <v>5087765</v>
      </c>
      <c r="B614" s="27" t="n">
        <v>734526</v>
      </c>
      <c r="C614" s="27" t="inlineStr">
        <is>
          <t>AtHub</t>
        </is>
      </c>
      <c r="D614" s="41" t="n">
        <v>45868.22083946759</v>
      </c>
      <c r="E614" s="27" t="n">
        <v>-28.230684</v>
      </c>
      <c r="F614" s="27" t="n">
        <v>20.515147</v>
      </c>
      <c r="G614" s="27" t="inlineStr">
        <is>
          <t>Open</t>
        </is>
      </c>
      <c r="H614" s="27" t="inlineStr">
        <is>
          <t>API</t>
        </is>
      </c>
      <c r="I614" s="27" t="inlineStr">
        <is>
          <t>07</t>
        </is>
      </c>
      <c r="J614" s="27" t="n">
        <v>2025</v>
      </c>
    </row>
    <row r="615" ht="15" customHeight="1" s="24">
      <c r="A615" s="27" t="n">
        <v>5072453</v>
      </c>
      <c r="B615" s="27" t="n">
        <v>719214</v>
      </c>
      <c r="C615" s="27" t="inlineStr">
        <is>
          <t>AtHub</t>
        </is>
      </c>
      <c r="D615" s="41" t="n">
        <v>45868.69080547454</v>
      </c>
      <c r="E615" s="27" t="n">
        <v>-33.953339</v>
      </c>
      <c r="F615" s="27" t="n">
        <v>28.677732</v>
      </c>
      <c r="G615" s="27" t="inlineStr">
        <is>
          <t>Open</t>
        </is>
      </c>
      <c r="H615" s="27" t="inlineStr">
        <is>
          <t>ScannerApp</t>
        </is>
      </c>
      <c r="I615" s="27" t="inlineStr">
        <is>
          <t>07</t>
        </is>
      </c>
      <c r="J615" s="27" t="n">
        <v>2025</v>
      </c>
    </row>
    <row r="616" ht="15" customHeight="1" s="24">
      <c r="A616" s="27" t="n">
        <v>5105066</v>
      </c>
      <c r="B616" s="27" t="n">
        <v>751827</v>
      </c>
      <c r="C616" s="27" t="inlineStr">
        <is>
          <t>AtHub</t>
        </is>
      </c>
      <c r="D616" s="41" t="n">
        <v>45868.88501538194</v>
      </c>
      <c r="E616" s="27" t="n">
        <v>-29.199003</v>
      </c>
      <c r="F616" s="27" t="n">
        <v>29.914266</v>
      </c>
      <c r="G616" s="27" t="inlineStr">
        <is>
          <t>Open</t>
        </is>
      </c>
      <c r="H616" s="27" t="inlineStr">
        <is>
          <t>API</t>
        </is>
      </c>
      <c r="I616" s="27" t="inlineStr">
        <is>
          <t>07</t>
        </is>
      </c>
      <c r="J616" s="27" t="n">
        <v>2025</v>
      </c>
    </row>
    <row r="617" ht="15" customHeight="1" s="24">
      <c r="A617" s="27" t="n">
        <v>5177282</v>
      </c>
      <c r="B617" s="27" t="n">
        <v>751128</v>
      </c>
      <c r="C617" s="27" t="inlineStr">
        <is>
          <t>ArrivedAtPickupPoint</t>
        </is>
      </c>
      <c r="D617" s="41" t="n">
        <v>45869.77918784722</v>
      </c>
      <c r="E617" s="27" t="n">
        <v>-25.696984</v>
      </c>
      <c r="F617" s="27" t="n">
        <v>26.899799</v>
      </c>
      <c r="G617" s="27" t="inlineStr">
        <is>
          <t>Open</t>
        </is>
      </c>
      <c r="H617" s="27" t="inlineStr">
        <is>
          <t>ScannerApp</t>
        </is>
      </c>
      <c r="I617" s="27" t="inlineStr">
        <is>
          <t>07</t>
        </is>
      </c>
      <c r="J617" s="27" t="n">
        <v>2025</v>
      </c>
    </row>
    <row r="618" ht="15" customHeight="1" s="24">
      <c r="A618" s="27" t="n">
        <v>5219190</v>
      </c>
      <c r="B618" s="27" t="n">
        <v>720436</v>
      </c>
      <c r="C618" s="27" t="inlineStr">
        <is>
          <t>CollectedByCustomer</t>
        </is>
      </c>
      <c r="D618" s="41" t="n">
        <v>45870.04592912037</v>
      </c>
      <c r="E618" s="27" t="n">
        <v>-28.598457</v>
      </c>
      <c r="F618" s="27" t="n">
        <v>30.700541</v>
      </c>
      <c r="G618" s="27" t="inlineStr">
        <is>
          <t>Closed</t>
        </is>
      </c>
      <c r="H618" s="27" t="inlineStr">
        <is>
          <t>PartnerPOS</t>
        </is>
      </c>
      <c r="I618" s="27" t="inlineStr">
        <is>
          <t>07</t>
        </is>
      </c>
      <c r="J618" s="27" t="n">
        <v>2025</v>
      </c>
    </row>
    <row r="619" ht="15" customHeight="1" s="24">
      <c r="A619" s="27" t="n">
        <v>5143928</v>
      </c>
      <c r="B619" s="27" t="n">
        <v>717714</v>
      </c>
      <c r="C619" s="27" t="inlineStr">
        <is>
          <t>ArrivedAtPickupPoint</t>
        </is>
      </c>
      <c r="D619" s="41" t="n">
        <v>45871.64268011574</v>
      </c>
      <c r="E619" s="27" t="n">
        <v>-31.893882</v>
      </c>
      <c r="F619" s="27" t="n">
        <v>27.496256</v>
      </c>
      <c r="G619" s="27" t="inlineStr">
        <is>
          <t>Open</t>
        </is>
      </c>
      <c r="H619" s="27" t="inlineStr">
        <is>
          <t>PartnerPOS</t>
        </is>
      </c>
      <c r="I619" s="27" t="inlineStr">
        <is>
          <t>07</t>
        </is>
      </c>
      <c r="J619" s="27" t="n">
        <v>2025</v>
      </c>
    </row>
    <row r="620" ht="15" customHeight="1" s="24">
      <c r="A620" s="27" t="n">
        <v>5233257</v>
      </c>
      <c r="B620" s="27" t="n">
        <v>735659</v>
      </c>
      <c r="C620" s="27" t="inlineStr">
        <is>
          <t>CollectedByCustomer</t>
        </is>
      </c>
      <c r="D620" s="41" t="n">
        <v>45871.82620966435</v>
      </c>
      <c r="E620" s="27" t="n">
        <v>-25.575771</v>
      </c>
      <c r="F620" s="27" t="n">
        <v>27.300225</v>
      </c>
      <c r="G620" s="27" t="inlineStr">
        <is>
          <t>Closed</t>
        </is>
      </c>
      <c r="H620" s="27" t="inlineStr">
        <is>
          <t>ScannerApp</t>
        </is>
      </c>
      <c r="I620" s="27" t="inlineStr">
        <is>
          <t>07</t>
        </is>
      </c>
      <c r="J620" s="27" t="n">
        <v>2025</v>
      </c>
    </row>
    <row r="621" ht="15" customHeight="1" s="24">
      <c r="A621" s="27" t="n">
        <v>5475558</v>
      </c>
      <c r="B621" s="27" t="n">
        <v>766701</v>
      </c>
      <c r="C621" s="27" t="inlineStr">
        <is>
          <t>CollectedByCustomer</t>
        </is>
      </c>
      <c r="D621" s="41" t="n">
        <v>45872.76286708334</v>
      </c>
      <c r="E621" s="27" t="n">
        <v>-26.298312</v>
      </c>
      <c r="F621" s="27" t="n">
        <v>27.889292</v>
      </c>
      <c r="G621" s="27" t="inlineStr">
        <is>
          <t>Closed</t>
        </is>
      </c>
      <c r="H621" s="27" t="inlineStr">
        <is>
          <t>PartnerPOS</t>
        </is>
      </c>
      <c r="I621" s="27" t="inlineStr">
        <is>
          <t>08</t>
        </is>
      </c>
      <c r="J621" s="27" t="n">
        <v>2025</v>
      </c>
    </row>
    <row r="622" ht="15" customHeight="1" s="24">
      <c r="A622" s="27" t="n">
        <v>5348739</v>
      </c>
      <c r="B622" s="27" t="n">
        <v>779842</v>
      </c>
      <c r="C622" s="27" t="inlineStr">
        <is>
          <t>AtHub</t>
        </is>
      </c>
      <c r="D622" s="41" t="n">
        <v>45875.20742331019</v>
      </c>
      <c r="E622" s="27" t="n">
        <v>-28.062598</v>
      </c>
      <c r="F622" s="27" t="n">
        <v>31.459031</v>
      </c>
      <c r="G622" s="27" t="inlineStr">
        <is>
          <t>Open</t>
        </is>
      </c>
      <c r="H622" s="27" t="inlineStr">
        <is>
          <t>ScannerApp</t>
        </is>
      </c>
      <c r="I622" s="27" t="inlineStr">
        <is>
          <t>08</t>
        </is>
      </c>
      <c r="J622" s="27" t="n">
        <v>2025</v>
      </c>
    </row>
    <row r="623" ht="15" customHeight="1" s="24">
      <c r="A623" s="27" t="n">
        <v>5393518</v>
      </c>
      <c r="B623" s="27" t="n">
        <v>754033</v>
      </c>
      <c r="C623" s="27" t="inlineStr">
        <is>
          <t>ArrivedAtPickupPoint</t>
        </is>
      </c>
      <c r="D623" s="41" t="n">
        <v>45875.60627615741</v>
      </c>
      <c r="E623" s="27" t="n">
        <v>-23.273897</v>
      </c>
      <c r="F623" s="27" t="n">
        <v>30.539292</v>
      </c>
      <c r="G623" s="27" t="inlineStr">
        <is>
          <t>Open</t>
        </is>
      </c>
      <c r="H623" s="27" t="inlineStr">
        <is>
          <t>API</t>
        </is>
      </c>
      <c r="I623" s="27" t="inlineStr">
        <is>
          <t>08</t>
        </is>
      </c>
      <c r="J623" s="27" t="n">
        <v>2025</v>
      </c>
    </row>
    <row r="624" ht="15" customHeight="1" s="24">
      <c r="A624" s="27" t="n">
        <v>5414667</v>
      </c>
      <c r="B624" s="27" t="n">
        <v>775231</v>
      </c>
      <c r="C624" s="27" t="inlineStr">
        <is>
          <t>ArrivedAtPickupPoint</t>
        </is>
      </c>
      <c r="D624" s="41" t="n">
        <v>45876.76132079861</v>
      </c>
      <c r="E624" s="27" t="n">
        <v>-30.093668</v>
      </c>
      <c r="F624" s="27" t="n">
        <v>31.104786</v>
      </c>
      <c r="G624" s="27" t="inlineStr">
        <is>
          <t>Open</t>
        </is>
      </c>
      <c r="H624" s="27" t="inlineStr">
        <is>
          <t>ScannerApp</t>
        </is>
      </c>
      <c r="I624" s="27" t="inlineStr">
        <is>
          <t>08</t>
        </is>
      </c>
      <c r="J624" s="27" t="n">
        <v>2025</v>
      </c>
    </row>
    <row r="625" ht="15" customHeight="1" s="24">
      <c r="A625" s="27" t="n">
        <v>5471471</v>
      </c>
      <c r="B625" s="27" t="n">
        <v>762305</v>
      </c>
      <c r="C625" s="27" t="inlineStr">
        <is>
          <t>CollectedByCustomer</t>
        </is>
      </c>
      <c r="D625" s="41" t="n">
        <v>45878.68429730324</v>
      </c>
      <c r="E625" s="27" t="n">
        <v>-27.103979</v>
      </c>
      <c r="F625" s="27" t="n">
        <v>29.681952</v>
      </c>
      <c r="G625" s="27" t="inlineStr">
        <is>
          <t>Closed</t>
        </is>
      </c>
      <c r="H625" s="27" t="inlineStr">
        <is>
          <t>CourierGPS</t>
        </is>
      </c>
      <c r="I625" s="27" t="inlineStr">
        <is>
          <t>08</t>
        </is>
      </c>
      <c r="J625" s="27" t="n">
        <v>2025</v>
      </c>
    </row>
    <row r="626" ht="15" customHeight="1" s="24">
      <c r="A626" s="27" t="n">
        <v>5409808</v>
      </c>
      <c r="B626" s="27" t="n">
        <v>770357</v>
      </c>
      <c r="C626" s="27" t="inlineStr">
        <is>
          <t>ArrivedAtPickupPoint</t>
        </is>
      </c>
      <c r="D626" s="41" t="n">
        <v>45881.1291843287</v>
      </c>
      <c r="E626" s="27" t="n">
        <v>-33.986267</v>
      </c>
      <c r="F626" s="27" t="n">
        <v>27.274679</v>
      </c>
      <c r="G626" s="27" t="inlineStr">
        <is>
          <t>Open</t>
        </is>
      </c>
      <c r="H626" s="27" t="inlineStr">
        <is>
          <t>PartnerPOS</t>
        </is>
      </c>
      <c r="I626" s="27" t="inlineStr">
        <is>
          <t>08</t>
        </is>
      </c>
      <c r="J626" s="27" t="n">
        <v>2025</v>
      </c>
    </row>
    <row r="627" ht="15" customHeight="1" s="24">
      <c r="A627" s="27" t="n">
        <v>5422522</v>
      </c>
      <c r="B627" s="27" t="n">
        <v>783106</v>
      </c>
      <c r="C627" s="27" t="inlineStr">
        <is>
          <t>ArrivedAtPickupPoint</t>
        </is>
      </c>
      <c r="D627" s="41" t="n">
        <v>45881.16385819444</v>
      </c>
      <c r="E627" s="27" t="n">
        <v>-31.847545</v>
      </c>
      <c r="F627" s="27" t="n">
        <v>20.061341</v>
      </c>
      <c r="G627" s="27" t="inlineStr">
        <is>
          <t>Open</t>
        </is>
      </c>
      <c r="H627" s="27" t="inlineStr">
        <is>
          <t>ScannerApp</t>
        </is>
      </c>
      <c r="I627" s="27" t="inlineStr">
        <is>
          <t>08</t>
        </is>
      </c>
      <c r="J627" s="27" t="n">
        <v>2025</v>
      </c>
    </row>
    <row r="628" ht="15" customHeight="1" s="24">
      <c r="A628" s="27" t="n">
        <v>5396008</v>
      </c>
      <c r="B628" s="27" t="n">
        <v>756528</v>
      </c>
      <c r="C628" s="27" t="inlineStr">
        <is>
          <t>ArrivedAtPickupPoint</t>
        </is>
      </c>
      <c r="D628" s="41" t="n">
        <v>45881.25190278935</v>
      </c>
      <c r="E628" s="27" t="n">
        <v>-27.029587</v>
      </c>
      <c r="F628" s="27" t="n">
        <v>29.993923</v>
      </c>
      <c r="G628" s="27" t="inlineStr">
        <is>
          <t>Open</t>
        </is>
      </c>
      <c r="H628" s="27" t="inlineStr">
        <is>
          <t>CourierGPS</t>
        </is>
      </c>
      <c r="I628" s="27" t="inlineStr">
        <is>
          <t>08</t>
        </is>
      </c>
      <c r="J628" s="27" t="n">
        <v>2025</v>
      </c>
    </row>
    <row r="629" ht="15" customHeight="1" s="24">
      <c r="A629" s="27" t="n">
        <v>5408191</v>
      </c>
      <c r="B629" s="27" t="n">
        <v>768737</v>
      </c>
      <c r="C629" s="27" t="inlineStr">
        <is>
          <t>ArrivedAtPickupPoint</t>
        </is>
      </c>
      <c r="D629" s="41" t="n">
        <v>45882.26766427083</v>
      </c>
      <c r="E629" s="27" t="n">
        <v>-23.72866</v>
      </c>
      <c r="F629" s="27" t="n">
        <v>30.144728</v>
      </c>
      <c r="G629" s="27" t="inlineStr">
        <is>
          <t>Open</t>
        </is>
      </c>
      <c r="H629" s="27" t="inlineStr">
        <is>
          <t>ScannerApp</t>
        </is>
      </c>
      <c r="I629" s="27" t="inlineStr">
        <is>
          <t>08</t>
        </is>
      </c>
      <c r="J629" s="27" t="n">
        <v>2025</v>
      </c>
    </row>
    <row r="630" ht="15" customHeight="1" s="24">
      <c r="A630" s="27" t="n">
        <v>5411973</v>
      </c>
      <c r="B630" s="27" t="n">
        <v>772530</v>
      </c>
      <c r="C630" s="27" t="inlineStr">
        <is>
          <t>ArrivedAtPickupPoint</t>
        </is>
      </c>
      <c r="D630" s="41" t="n">
        <v>45883.83245039352</v>
      </c>
      <c r="E630" s="27" t="n">
        <v>-28.801799</v>
      </c>
      <c r="F630" s="27" t="n">
        <v>30.83449</v>
      </c>
      <c r="G630" s="27" t="inlineStr">
        <is>
          <t>Open</t>
        </is>
      </c>
      <c r="H630" s="27" t="inlineStr">
        <is>
          <t>ScannerApp</t>
        </is>
      </c>
      <c r="I630" s="27" t="inlineStr">
        <is>
          <t>08</t>
        </is>
      </c>
      <c r="J630" s="27" t="n">
        <v>2025</v>
      </c>
    </row>
    <row r="631" ht="15" customHeight="1" s="24">
      <c r="A631" s="27" t="n">
        <v>5368133</v>
      </c>
      <c r="B631" s="27" t="n">
        <v>763942</v>
      </c>
      <c r="C631" s="27" t="inlineStr">
        <is>
          <t>InLinehaul</t>
        </is>
      </c>
      <c r="D631" s="41" t="n">
        <v>45884.33968633102</v>
      </c>
      <c r="E631" s="27" t="n">
        <v>-26.498821</v>
      </c>
      <c r="F631" s="27" t="n">
        <v>31.147713</v>
      </c>
      <c r="G631" s="27" t="inlineStr">
        <is>
          <t>Open</t>
        </is>
      </c>
      <c r="H631" s="27" t="inlineStr">
        <is>
          <t>ScannerApp</t>
        </is>
      </c>
      <c r="I631" s="27" t="inlineStr">
        <is>
          <t>08</t>
        </is>
      </c>
      <c r="J631" s="27" t="n">
        <v>2025</v>
      </c>
    </row>
    <row r="632" ht="15" customHeight="1" s="24">
      <c r="A632" s="27" t="n">
        <v>5437279</v>
      </c>
      <c r="B632" s="27" t="n">
        <v>762599</v>
      </c>
      <c r="C632" s="27" t="inlineStr">
        <is>
          <t>CustomerNotified</t>
        </is>
      </c>
      <c r="D632" s="41" t="n">
        <v>45885.34024480324</v>
      </c>
      <c r="E632" s="27" t="n">
        <v>-33.874623</v>
      </c>
      <c r="F632" s="27" t="n">
        <v>26.329951</v>
      </c>
      <c r="G632" s="27" t="inlineStr">
        <is>
          <t>Open</t>
        </is>
      </c>
      <c r="H632" s="27" t="inlineStr">
        <is>
          <t>ScannerApp</t>
        </is>
      </c>
      <c r="I632" s="27" t="inlineStr">
        <is>
          <t>08</t>
        </is>
      </c>
      <c r="J632" s="27" t="n">
        <v>2025</v>
      </c>
    </row>
    <row r="633" ht="15" customHeight="1" s="24">
      <c r="A633" s="27" t="n">
        <v>5272559</v>
      </c>
      <c r="B633" s="27" t="n">
        <v>774250</v>
      </c>
      <c r="C633" s="27" t="inlineStr">
        <is>
          <t>Created</t>
        </is>
      </c>
      <c r="D633" s="41" t="n">
        <v>45885.86208460648</v>
      </c>
      <c r="E633" s="27" t="n">
        <v>-29.099821</v>
      </c>
      <c r="F633" s="27" t="n">
        <v>30.780448</v>
      </c>
      <c r="G633" s="27" t="inlineStr">
        <is>
          <t>Open</t>
        </is>
      </c>
      <c r="H633" s="27" t="inlineStr">
        <is>
          <t>ScannerApp</t>
        </is>
      </c>
      <c r="I633" s="27" t="inlineStr">
        <is>
          <t>08</t>
        </is>
      </c>
      <c r="J633" s="27" t="n">
        <v>2025</v>
      </c>
    </row>
    <row r="634" ht="15" customHeight="1" s="24">
      <c r="A634" s="27" t="n">
        <v>5487019</v>
      </c>
      <c r="B634" s="27" t="n">
        <v>779090</v>
      </c>
      <c r="C634" s="27" t="inlineStr">
        <is>
          <t>CollectedByCustomer</t>
        </is>
      </c>
      <c r="D634" s="41" t="n">
        <v>45886.36383818287</v>
      </c>
      <c r="E634" s="27" t="n">
        <v>-33.566468</v>
      </c>
      <c r="F634" s="27" t="n">
        <v>24.300764</v>
      </c>
      <c r="G634" s="27" t="inlineStr">
        <is>
          <t>Closed</t>
        </is>
      </c>
      <c r="H634" s="27" t="inlineStr">
        <is>
          <t>PartnerPOS</t>
        </is>
      </c>
      <c r="I634" s="27" t="inlineStr">
        <is>
          <t>08</t>
        </is>
      </c>
      <c r="J634" s="27" t="n">
        <v>2025</v>
      </c>
    </row>
    <row r="635" ht="15" customHeight="1" s="24">
      <c r="A635" s="27" t="n">
        <v>5492812</v>
      </c>
      <c r="B635" s="27" t="n">
        <v>785398</v>
      </c>
      <c r="C635" s="27" t="inlineStr">
        <is>
          <t>CollectedByCustomer</t>
        </is>
      </c>
      <c r="D635" s="41" t="n">
        <v>45888.64820364583</v>
      </c>
      <c r="E635" s="27" t="n">
        <v>-26.390636</v>
      </c>
      <c r="F635" s="27" t="n">
        <v>27.328035</v>
      </c>
      <c r="G635" s="27" t="inlineStr">
        <is>
          <t>Closed</t>
        </is>
      </c>
      <c r="H635" s="27" t="inlineStr">
        <is>
          <t>PartnerPOS</t>
        </is>
      </c>
      <c r="I635" s="27" t="inlineStr">
        <is>
          <t>08</t>
        </is>
      </c>
      <c r="J635" s="27" t="n">
        <v>2025</v>
      </c>
    </row>
    <row r="636" ht="15" customHeight="1" s="24">
      <c r="A636" s="27" t="n">
        <v>5390320</v>
      </c>
      <c r="B636" s="27" t="n">
        <v>786129</v>
      </c>
      <c r="C636" s="27" t="inlineStr">
        <is>
          <t>InLinehaul</t>
        </is>
      </c>
      <c r="D636" s="41" t="n">
        <v>45889.26443211806</v>
      </c>
      <c r="E636" s="27" t="n">
        <v>-33.757914</v>
      </c>
      <c r="F636" s="27" t="n">
        <v>21.998269</v>
      </c>
      <c r="G636" s="27" t="inlineStr">
        <is>
          <t>Open</t>
        </is>
      </c>
      <c r="H636" s="27" t="inlineStr">
        <is>
          <t>ScannerApp</t>
        </is>
      </c>
      <c r="I636" s="27" t="inlineStr">
        <is>
          <t>08</t>
        </is>
      </c>
      <c r="J636" s="27" t="n">
        <v>2025</v>
      </c>
    </row>
    <row r="637" ht="15" customHeight="1" s="24">
      <c r="A637" s="27" t="n">
        <v>5372167</v>
      </c>
      <c r="B637" s="27" t="n">
        <v>767976</v>
      </c>
      <c r="C637" s="27" t="inlineStr">
        <is>
          <t>InLinehaul</t>
        </is>
      </c>
      <c r="D637" s="41" t="n">
        <v>45889.46308465278</v>
      </c>
      <c r="E637" s="27" t="n">
        <v>-29.258718</v>
      </c>
      <c r="F637" s="27" t="n">
        <v>30.775177</v>
      </c>
      <c r="G637" s="27" t="inlineStr">
        <is>
          <t>Open</t>
        </is>
      </c>
      <c r="H637" s="27" t="inlineStr">
        <is>
          <t>ScannerApp</t>
        </is>
      </c>
      <c r="I637" s="27" t="inlineStr">
        <is>
          <t>08</t>
        </is>
      </c>
      <c r="J637" s="27" t="n">
        <v>2025</v>
      </c>
    </row>
    <row r="638" ht="15" customHeight="1" s="24">
      <c r="A638" s="27" t="n">
        <v>5419067</v>
      </c>
      <c r="B638" s="27" t="n">
        <v>779639</v>
      </c>
      <c r="C638" s="27" t="inlineStr">
        <is>
          <t>ArrivedAtPickupPoint</t>
        </is>
      </c>
      <c r="D638" s="41" t="n">
        <v>45891.1828787037</v>
      </c>
      <c r="E638" s="27" t="n">
        <v>-24.230362</v>
      </c>
      <c r="F638" s="27" t="n">
        <v>29.04386</v>
      </c>
      <c r="G638" s="27" t="inlineStr">
        <is>
          <t>Open</t>
        </is>
      </c>
      <c r="H638" s="27" t="inlineStr">
        <is>
          <t>ScannerApp</t>
        </is>
      </c>
      <c r="I638" s="27" t="inlineStr">
        <is>
          <t>08</t>
        </is>
      </c>
      <c r="J638" s="27" t="n">
        <v>2025</v>
      </c>
    </row>
    <row r="639" ht="15" customHeight="1" s="24">
      <c r="A639" s="27" t="n">
        <v>5422677</v>
      </c>
      <c r="B639" s="27" t="n">
        <v>783261</v>
      </c>
      <c r="C639" s="27" t="inlineStr">
        <is>
          <t>ArrivedAtPickupPoint</t>
        </is>
      </c>
      <c r="D639" s="41" t="n">
        <v>45891.66955577546</v>
      </c>
      <c r="E639" s="27" t="n">
        <v>-29.876748</v>
      </c>
      <c r="F639" s="27" t="n">
        <v>27.615188</v>
      </c>
      <c r="G639" s="27" t="inlineStr">
        <is>
          <t>Open</t>
        </is>
      </c>
      <c r="H639" s="27" t="inlineStr">
        <is>
          <t>PartnerPOS</t>
        </is>
      </c>
      <c r="I639" s="27" t="inlineStr">
        <is>
          <t>08</t>
        </is>
      </c>
      <c r="J639" s="27" t="n">
        <v>2025</v>
      </c>
    </row>
    <row r="640" ht="15" customHeight="1" s="24">
      <c r="A640" s="27" t="n">
        <v>5326005</v>
      </c>
      <c r="B640" s="27" t="n">
        <v>757108</v>
      </c>
      <c r="C640" s="27" t="inlineStr">
        <is>
          <t>AtHub</t>
        </is>
      </c>
      <c r="D640" s="41" t="n">
        <v>45893.47347209491</v>
      </c>
      <c r="E640" s="27" t="n">
        <v>-32.818247</v>
      </c>
      <c r="F640" s="27" t="n">
        <v>23.626164</v>
      </c>
      <c r="G640" s="27" t="inlineStr">
        <is>
          <t>Open</t>
        </is>
      </c>
      <c r="H640" s="27" t="inlineStr">
        <is>
          <t>PartnerPOS</t>
        </is>
      </c>
      <c r="I640" s="27" t="inlineStr">
        <is>
          <t>08</t>
        </is>
      </c>
      <c r="J640" s="27" t="n">
        <v>2025</v>
      </c>
    </row>
    <row r="641" ht="15" customHeight="1" s="24">
      <c r="A641" s="27" t="n">
        <v>5485451</v>
      </c>
      <c r="B641" s="27" t="n">
        <v>777426</v>
      </c>
      <c r="C641" s="27" t="inlineStr">
        <is>
          <t>CollectedByCustomer</t>
        </is>
      </c>
      <c r="D641" s="41" t="n">
        <v>45893.48074884259</v>
      </c>
      <c r="E641" s="27" t="n">
        <v>-30.207686</v>
      </c>
      <c r="F641" s="27" t="n">
        <v>26.006118</v>
      </c>
      <c r="G641" s="27" t="inlineStr">
        <is>
          <t>Closed</t>
        </is>
      </c>
      <c r="H641" s="27" t="inlineStr">
        <is>
          <t>CourierGPS</t>
        </is>
      </c>
      <c r="I641" s="27" t="inlineStr">
        <is>
          <t>08</t>
        </is>
      </c>
      <c r="J641" s="27" t="n">
        <v>2025</v>
      </c>
    </row>
    <row r="642" ht="15" customHeight="1" s="24">
      <c r="A642" s="27" t="n">
        <v>5336964</v>
      </c>
      <c r="B642" s="27" t="n">
        <v>768067</v>
      </c>
      <c r="C642" s="27" t="inlineStr">
        <is>
          <t>AtHub</t>
        </is>
      </c>
      <c r="D642" s="41" t="n">
        <v>45893.74826731481</v>
      </c>
      <c r="E642" s="27" t="n">
        <v>-29.22881</v>
      </c>
      <c r="F642" s="27" t="n">
        <v>30.347454</v>
      </c>
      <c r="G642" s="27" t="inlineStr">
        <is>
          <t>Open</t>
        </is>
      </c>
      <c r="H642" s="27" t="inlineStr">
        <is>
          <t>ScannerApp</t>
        </is>
      </c>
      <c r="I642" s="27" t="inlineStr">
        <is>
          <t>08</t>
        </is>
      </c>
      <c r="J642" s="27" t="n">
        <v>2025</v>
      </c>
    </row>
    <row r="643" ht="15" customHeight="1" s="24">
      <c r="A643" s="27" t="n">
        <v>5352864</v>
      </c>
      <c r="B643" s="27" t="n">
        <v>783967</v>
      </c>
      <c r="C643" s="27" t="inlineStr">
        <is>
          <t>AtHub</t>
        </is>
      </c>
      <c r="D643" s="41" t="n">
        <v>45894.37423471065</v>
      </c>
      <c r="E643" s="27" t="n">
        <v>-31.275859</v>
      </c>
      <c r="F643" s="27" t="n">
        <v>30.829659</v>
      </c>
      <c r="G643" s="27" t="inlineStr">
        <is>
          <t>Open</t>
        </is>
      </c>
      <c r="H643" s="27" t="inlineStr">
        <is>
          <t>CourierGPS</t>
        </is>
      </c>
      <c r="I643" s="27" t="inlineStr">
        <is>
          <t>08</t>
        </is>
      </c>
      <c r="J643" s="27" t="n">
        <v>2025</v>
      </c>
    </row>
    <row r="644" ht="15" customHeight="1" s="24">
      <c r="A644" s="27" t="n">
        <v>5436797</v>
      </c>
      <c r="B644" s="27" t="n">
        <v>762117</v>
      </c>
      <c r="C644" s="27" t="inlineStr">
        <is>
          <t>CustomerNotified</t>
        </is>
      </c>
      <c r="D644" s="41" t="n">
        <v>45894.44856266204</v>
      </c>
      <c r="E644" s="27" t="n">
        <v>-30.472802</v>
      </c>
      <c r="F644" s="27" t="n">
        <v>30.510837</v>
      </c>
      <c r="G644" s="27" t="inlineStr">
        <is>
          <t>Open</t>
        </is>
      </c>
      <c r="H644" s="27" t="inlineStr">
        <is>
          <t>CourierGPS</t>
        </is>
      </c>
      <c r="I644" s="27" t="inlineStr">
        <is>
          <t>08</t>
        </is>
      </c>
      <c r="J644" s="27" t="n">
        <v>2025</v>
      </c>
    </row>
    <row r="645" ht="15" customHeight="1" s="24">
      <c r="A645" s="27" t="n">
        <v>5266474</v>
      </c>
      <c r="B645" s="27" t="n">
        <v>768165</v>
      </c>
      <c r="C645" s="27" t="inlineStr">
        <is>
          <t>Created</t>
        </is>
      </c>
      <c r="D645" s="41" t="n">
        <v>45897.07357385417</v>
      </c>
      <c r="E645" s="27" t="n">
        <v>-31.875431</v>
      </c>
      <c r="F645" s="27" t="n">
        <v>27.744417</v>
      </c>
      <c r="G645" s="27" t="inlineStr">
        <is>
          <t>Open</t>
        </is>
      </c>
      <c r="H645" s="27" t="inlineStr">
        <is>
          <t>API</t>
        </is>
      </c>
      <c r="I645" s="27" t="inlineStr">
        <is>
          <t>08</t>
        </is>
      </c>
      <c r="J645" s="27" t="n">
        <v>2025</v>
      </c>
    </row>
    <row r="646" ht="15" customHeight="1" s="24">
      <c r="A646" s="27" t="n">
        <v>5396512</v>
      </c>
      <c r="B646" s="27" t="n">
        <v>757032</v>
      </c>
      <c r="C646" s="27" t="inlineStr">
        <is>
          <t>ArrivedAtPickupPoint</t>
        </is>
      </c>
      <c r="D646" s="41" t="n">
        <v>45897.12731226852</v>
      </c>
      <c r="E646" s="27" t="n">
        <v>-26.219148</v>
      </c>
      <c r="F646" s="27" t="n">
        <v>29.403483</v>
      </c>
      <c r="G646" s="27" t="inlineStr">
        <is>
          <t>Open</t>
        </is>
      </c>
      <c r="H646" s="27" t="inlineStr">
        <is>
          <t>CourierGPS</t>
        </is>
      </c>
      <c r="I646" s="27" t="inlineStr">
        <is>
          <t>08</t>
        </is>
      </c>
      <c r="J646" s="27" t="n">
        <v>2025</v>
      </c>
    </row>
    <row r="647" ht="15" customHeight="1" s="24">
      <c r="A647" s="27" t="n">
        <v>5496587</v>
      </c>
      <c r="B647" s="27" t="n">
        <v>777816</v>
      </c>
      <c r="C647" s="27" t="inlineStr">
        <is>
          <t>ExpiredReturnedToSender</t>
        </is>
      </c>
      <c r="D647" s="41" t="n">
        <v>45898.4122547338</v>
      </c>
      <c r="E647" s="27" t="n">
        <v>-31.202421</v>
      </c>
      <c r="F647" s="27" t="n">
        <v>28.160306</v>
      </c>
      <c r="G647" s="27" t="inlineStr">
        <is>
          <t>RTS</t>
        </is>
      </c>
      <c r="H647" s="27" t="inlineStr">
        <is>
          <t>ScannerApp</t>
        </is>
      </c>
      <c r="I647" s="27" t="inlineStr">
        <is>
          <t>08</t>
        </is>
      </c>
      <c r="J647" s="27" t="n">
        <v>2025</v>
      </c>
    </row>
    <row r="648" ht="15" customHeight="1" s="24">
      <c r="A648" s="27" t="n">
        <v>5473358</v>
      </c>
      <c r="B648" s="27" t="n">
        <v>764333</v>
      </c>
      <c r="C648" s="27" t="inlineStr">
        <is>
          <t>CollectedByCustomer</t>
        </is>
      </c>
      <c r="D648" s="41" t="n">
        <v>45899.94240995371</v>
      </c>
      <c r="E648" s="27" t="n">
        <v>-26.572995</v>
      </c>
      <c r="F648" s="27" t="n">
        <v>28.933724</v>
      </c>
      <c r="G648" s="27" t="inlineStr">
        <is>
          <t>Closed</t>
        </is>
      </c>
      <c r="H648" s="27" t="inlineStr">
        <is>
          <t>ScannerApp</t>
        </is>
      </c>
      <c r="I648" s="27" t="inlineStr">
        <is>
          <t>08</t>
        </is>
      </c>
      <c r="J648" s="27" t="n">
        <v>2025</v>
      </c>
    </row>
    <row r="649" ht="15" customHeight="1" s="24">
      <c r="A649" s="27" t="n">
        <v>5257108</v>
      </c>
      <c r="B649" s="27" t="n">
        <v>758799</v>
      </c>
      <c r="C649" s="27" t="inlineStr">
        <is>
          <t>Created</t>
        </is>
      </c>
      <c r="D649" s="41" t="n">
        <v>45900.30129243056</v>
      </c>
      <c r="E649" s="27" t="n">
        <v>-26.010323</v>
      </c>
      <c r="F649" s="27" t="n">
        <v>29.354601</v>
      </c>
      <c r="G649" s="27" t="inlineStr">
        <is>
          <t>Open</t>
        </is>
      </c>
      <c r="H649" s="27" t="inlineStr">
        <is>
          <t>PartnerPOS</t>
        </is>
      </c>
      <c r="I649" s="27" t="inlineStr">
        <is>
          <t>08</t>
        </is>
      </c>
      <c r="J649" s="27" t="n">
        <v>2025</v>
      </c>
    </row>
    <row r="650" ht="15" customHeight="1" s="24">
      <c r="A650" s="27" t="n">
        <v>5412757</v>
      </c>
      <c r="B650" s="27" t="n">
        <v>773316</v>
      </c>
      <c r="C650" s="27" t="inlineStr">
        <is>
          <t>ArrivedAtPickupPoint</t>
        </is>
      </c>
      <c r="D650" s="41" t="n">
        <v>45901.11155181713</v>
      </c>
      <c r="E650" s="27" t="n">
        <v>-27.010498</v>
      </c>
      <c r="F650" s="27" t="n">
        <v>30.173116</v>
      </c>
      <c r="G650" s="27" t="inlineStr">
        <is>
          <t>Open</t>
        </is>
      </c>
      <c r="H650" s="27" t="inlineStr">
        <is>
          <t>PartnerPOS</t>
        </is>
      </c>
      <c r="I650" s="27" t="inlineStr">
        <is>
          <t>08</t>
        </is>
      </c>
      <c r="J650" s="27" t="n">
        <v>2025</v>
      </c>
    </row>
    <row r="651" ht="15" customHeight="1" s="24">
      <c r="A651" s="27" t="n">
        <v>5427522</v>
      </c>
      <c r="B651" s="27" t="n">
        <v>752824</v>
      </c>
      <c r="C651" s="27" t="inlineStr">
        <is>
          <t>CustomerNotified</t>
        </is>
      </c>
      <c r="D651" s="41" t="n">
        <v>45902.73723603009</v>
      </c>
      <c r="E651" s="27" t="n">
        <v>-32.965931</v>
      </c>
      <c r="F651" s="27" t="n">
        <v>19.635299</v>
      </c>
      <c r="G651" s="27" t="inlineStr">
        <is>
          <t>Open</t>
        </is>
      </c>
      <c r="H651" s="27" t="inlineStr">
        <is>
          <t>ScannerApp</t>
        </is>
      </c>
      <c r="I651" s="27" t="inlineStr">
        <is>
          <t>08</t>
        </is>
      </c>
      <c r="J651" s="27" t="n">
        <v>2025</v>
      </c>
    </row>
    <row r="652" ht="15" customHeight="1" s="24">
      <c r="A652" s="27" t="n">
        <v>5700144</v>
      </c>
      <c r="B652" s="27" t="n">
        <v>811856</v>
      </c>
      <c r="C652" s="27" t="inlineStr">
        <is>
          <t>CustomerNotified</t>
        </is>
      </c>
      <c r="D652" s="41" t="n">
        <v>45904.68323601852</v>
      </c>
      <c r="E652" s="27" t="n">
        <v>-24.466518</v>
      </c>
      <c r="F652" s="27" t="n">
        <v>30.738417</v>
      </c>
      <c r="G652" s="27" t="inlineStr">
        <is>
          <t>Open</t>
        </is>
      </c>
      <c r="H652" s="27" t="inlineStr">
        <is>
          <t>ScannerApp</t>
        </is>
      </c>
      <c r="I652" s="27" t="inlineStr">
        <is>
          <t>09</t>
        </is>
      </c>
      <c r="J652" s="27" t="n">
        <v>2025</v>
      </c>
    </row>
    <row r="653" ht="15" customHeight="1" s="24">
      <c r="A653" s="27" t="n">
        <v>5686757</v>
      </c>
      <c r="B653" s="27" t="n">
        <v>798439</v>
      </c>
      <c r="C653" s="27" t="inlineStr">
        <is>
          <t>CustomerNotified</t>
        </is>
      </c>
      <c r="D653" s="41" t="n">
        <v>45905.09971701389</v>
      </c>
      <c r="E653" s="27" t="n">
        <v>-32.955977</v>
      </c>
      <c r="F653" s="27" t="n">
        <v>22.794084</v>
      </c>
      <c r="G653" s="27" t="inlineStr">
        <is>
          <t>Open</t>
        </is>
      </c>
      <c r="H653" s="27" t="inlineStr">
        <is>
          <t>API</t>
        </is>
      </c>
      <c r="I653" s="27" t="inlineStr">
        <is>
          <t>09</t>
        </is>
      </c>
      <c r="J653" s="27" t="n">
        <v>2025</v>
      </c>
    </row>
    <row r="654" ht="15" customHeight="1" s="24">
      <c r="A654" s="27" t="n">
        <v>5516453</v>
      </c>
      <c r="B654" s="27" t="n">
        <v>807224</v>
      </c>
      <c r="C654" s="27" t="inlineStr">
        <is>
          <t>Created</t>
        </is>
      </c>
      <c r="D654" s="41" t="n">
        <v>45909.58683721065</v>
      </c>
      <c r="E654" s="27" t="n">
        <v>-25.510022</v>
      </c>
      <c r="F654" s="27" t="n">
        <v>27.456098</v>
      </c>
      <c r="G654" s="27" t="inlineStr">
        <is>
          <t>Open</t>
        </is>
      </c>
      <c r="H654" s="27" t="inlineStr">
        <is>
          <t>PartnerPOS</t>
        </is>
      </c>
      <c r="I654" s="27" t="inlineStr">
        <is>
          <t>09</t>
        </is>
      </c>
      <c r="J654" s="27" t="n">
        <v>2025</v>
      </c>
    </row>
    <row r="655" ht="15" customHeight="1" s="24">
      <c r="A655" s="27" t="n">
        <v>5516244</v>
      </c>
      <c r="B655" s="27" t="n">
        <v>807015</v>
      </c>
      <c r="C655" s="27" t="inlineStr">
        <is>
          <t>Created</t>
        </is>
      </c>
      <c r="D655" s="41" t="n">
        <v>45911.24820696759</v>
      </c>
      <c r="E655" s="27" t="n">
        <v>-29.737143</v>
      </c>
      <c r="F655" s="27" t="n">
        <v>29.806018</v>
      </c>
      <c r="G655" s="27" t="inlineStr">
        <is>
          <t>Open</t>
        </is>
      </c>
      <c r="H655" s="27" t="inlineStr">
        <is>
          <t>PartnerPOS</t>
        </is>
      </c>
      <c r="I655" s="27" t="inlineStr">
        <is>
          <t>09</t>
        </is>
      </c>
      <c r="J655" s="27" t="n">
        <v>2025</v>
      </c>
    </row>
    <row r="656" ht="15" customHeight="1" s="24">
      <c r="A656" s="27" t="n">
        <v>5511296</v>
      </c>
      <c r="B656" s="27" t="n">
        <v>802067</v>
      </c>
      <c r="C656" s="27" t="inlineStr">
        <is>
          <t>Created</t>
        </is>
      </c>
      <c r="D656" s="41" t="n">
        <v>45911.3372728125</v>
      </c>
      <c r="E656" s="27" t="n">
        <v>-34.110403</v>
      </c>
      <c r="F656" s="27" t="n">
        <v>19.986385</v>
      </c>
      <c r="G656" s="27" t="inlineStr">
        <is>
          <t>Open</t>
        </is>
      </c>
      <c r="H656" s="27" t="inlineStr">
        <is>
          <t>CourierGPS</t>
        </is>
      </c>
      <c r="I656" s="27" t="inlineStr">
        <is>
          <t>09</t>
        </is>
      </c>
      <c r="J656" s="27" t="n">
        <v>2025</v>
      </c>
    </row>
    <row r="657" ht="15" customHeight="1" s="24">
      <c r="A657" s="27" t="n">
        <v>5643259</v>
      </c>
      <c r="B657" s="27" t="n">
        <v>790685</v>
      </c>
      <c r="C657" s="27" t="inlineStr">
        <is>
          <t>ArrivedAtPickupPoint</t>
        </is>
      </c>
      <c r="D657" s="41" t="n">
        <v>45911.8092494213</v>
      </c>
      <c r="E657" s="27" t="n">
        <v>-32.496982</v>
      </c>
      <c r="F657" s="27" t="n">
        <v>28.038995</v>
      </c>
      <c r="G657" s="27" t="inlineStr">
        <is>
          <t>Open</t>
        </is>
      </c>
      <c r="H657" s="27" t="inlineStr">
        <is>
          <t>CourierGPS</t>
        </is>
      </c>
      <c r="I657" s="27" t="inlineStr">
        <is>
          <t>09</t>
        </is>
      </c>
      <c r="J657" s="27" t="n">
        <v>2025</v>
      </c>
    </row>
    <row r="658" ht="15" customHeight="1" s="24">
      <c r="A658" s="27" t="n">
        <v>5705726</v>
      </c>
      <c r="B658" s="27" t="n">
        <v>817453</v>
      </c>
      <c r="C658" s="27" t="inlineStr">
        <is>
          <t>CustomerNotified</t>
        </is>
      </c>
      <c r="D658" s="41" t="n">
        <v>45913.11852640046</v>
      </c>
      <c r="E658" s="27" t="n">
        <v>-24.580219</v>
      </c>
      <c r="F658" s="27" t="n">
        <v>30.442266</v>
      </c>
      <c r="G658" s="27" t="inlineStr">
        <is>
          <t>Open</t>
        </is>
      </c>
      <c r="H658" s="27" t="inlineStr">
        <is>
          <t>CourierGPS</t>
        </is>
      </c>
      <c r="I658" s="27" t="inlineStr">
        <is>
          <t>09</t>
        </is>
      </c>
      <c r="J658" s="27" t="n">
        <v>2025</v>
      </c>
    </row>
    <row r="659" ht="15" customHeight="1" s="24">
      <c r="A659" s="27" t="n">
        <v>5722712</v>
      </c>
      <c r="B659" s="27" t="n">
        <v>799438</v>
      </c>
      <c r="C659" s="27" t="inlineStr">
        <is>
          <t>CollectedByCustomer</t>
        </is>
      </c>
      <c r="D659" s="41" t="n">
        <v>45913.12416591435</v>
      </c>
      <c r="E659" s="27" t="n">
        <v>-27.870271</v>
      </c>
      <c r="F659" s="27" t="n">
        <v>27.494239</v>
      </c>
      <c r="G659" s="27" t="inlineStr">
        <is>
          <t>Closed</t>
        </is>
      </c>
      <c r="H659" s="27" t="inlineStr">
        <is>
          <t>PartnerPOS</t>
        </is>
      </c>
      <c r="I659" s="27" t="inlineStr">
        <is>
          <t>09</t>
        </is>
      </c>
      <c r="J659" s="27" t="n">
        <v>2025</v>
      </c>
    </row>
    <row r="660" ht="15" customHeight="1" s="24">
      <c r="A660" s="27" t="n">
        <v>5609554</v>
      </c>
      <c r="B660" s="27" t="n">
        <v>792814</v>
      </c>
      <c r="C660" s="27" t="inlineStr">
        <is>
          <t>InLinehaul</t>
        </is>
      </c>
      <c r="D660" s="41" t="n">
        <v>45914.66030636574</v>
      </c>
      <c r="E660" s="27" t="n">
        <v>-25.038344</v>
      </c>
      <c r="F660" s="27" t="n">
        <v>27.195591</v>
      </c>
      <c r="G660" s="27" t="inlineStr">
        <is>
          <t>Open</t>
        </is>
      </c>
      <c r="H660" s="27" t="inlineStr">
        <is>
          <t>ScannerApp</t>
        </is>
      </c>
      <c r="I660" s="27" t="inlineStr">
        <is>
          <t>09</t>
        </is>
      </c>
      <c r="J660" s="27" t="n">
        <v>2025</v>
      </c>
    </row>
    <row r="661" ht="15" customHeight="1" s="24">
      <c r="A661" s="27" t="n">
        <v>5647178</v>
      </c>
      <c r="B661" s="27" t="n">
        <v>794615</v>
      </c>
      <c r="C661" s="27" t="inlineStr">
        <is>
          <t>ArrivedAtPickupPoint</t>
        </is>
      </c>
      <c r="D661" s="41" t="n">
        <v>45916.10163773148</v>
      </c>
      <c r="E661" s="27" t="n">
        <v>-29.721445</v>
      </c>
      <c r="F661" s="27" t="n">
        <v>25.541201</v>
      </c>
      <c r="G661" s="27" t="inlineStr">
        <is>
          <t>Open</t>
        </is>
      </c>
      <c r="H661" s="27" t="inlineStr">
        <is>
          <t>ScannerApp</t>
        </is>
      </c>
      <c r="I661" s="27" t="inlineStr">
        <is>
          <t>09</t>
        </is>
      </c>
      <c r="J661" s="27" t="n">
        <v>2025</v>
      </c>
    </row>
    <row r="662" ht="15" customHeight="1" s="24">
      <c r="A662" s="27" t="n">
        <v>5745763</v>
      </c>
      <c r="B662" s="27" t="n">
        <v>797951</v>
      </c>
      <c r="C662" s="27" t="inlineStr">
        <is>
          <t>ExpiredReturnedToSender</t>
        </is>
      </c>
      <c r="D662" s="41" t="n">
        <v>45917.20491398148</v>
      </c>
      <c r="E662" s="27" t="n">
        <v>-26.496454</v>
      </c>
      <c r="F662" s="27" t="n">
        <v>27.204999</v>
      </c>
      <c r="G662" s="27" t="inlineStr">
        <is>
          <t>RTS</t>
        </is>
      </c>
      <c r="H662" s="27" t="inlineStr">
        <is>
          <t>ScannerApp</t>
        </is>
      </c>
      <c r="I662" s="27" t="inlineStr">
        <is>
          <t>09</t>
        </is>
      </c>
      <c r="J662" s="27" t="n">
        <v>2025</v>
      </c>
    </row>
    <row r="663" ht="15" customHeight="1" s="24">
      <c r="A663" s="27" t="n">
        <v>5636679</v>
      </c>
      <c r="B663" s="27" t="n">
        <v>819939</v>
      </c>
      <c r="C663" s="27" t="inlineStr">
        <is>
          <t>InLinehaul</t>
        </is>
      </c>
      <c r="D663" s="41" t="n">
        <v>45917.49923550926</v>
      </c>
      <c r="E663" s="27" t="n">
        <v>-29.803632</v>
      </c>
      <c r="F663" s="27" t="n">
        <v>29.279264</v>
      </c>
      <c r="G663" s="27" t="inlineStr">
        <is>
          <t>Open</t>
        </is>
      </c>
      <c r="H663" s="27" t="inlineStr">
        <is>
          <t>ScannerApp</t>
        </is>
      </c>
      <c r="I663" s="27" t="inlineStr">
        <is>
          <t>09</t>
        </is>
      </c>
      <c r="J663" s="27" t="n">
        <v>2025</v>
      </c>
    </row>
    <row r="664" ht="15" customHeight="1" s="24">
      <c r="A664" s="27" t="n">
        <v>5550744</v>
      </c>
      <c r="B664" s="27" t="n">
        <v>805678</v>
      </c>
      <c r="C664" s="27" t="inlineStr">
        <is>
          <t>CollectedFromRetailer</t>
        </is>
      </c>
      <c r="D664" s="41" t="n">
        <v>45918.12743005787</v>
      </c>
      <c r="E664" s="27" t="n">
        <v>-27.804695</v>
      </c>
      <c r="F664" s="27" t="n">
        <v>31.295019</v>
      </c>
      <c r="G664" s="27" t="inlineStr">
        <is>
          <t>Open</t>
        </is>
      </c>
      <c r="H664" s="27" t="inlineStr">
        <is>
          <t>PartnerPOS</t>
        </is>
      </c>
      <c r="I664" s="27" t="inlineStr">
        <is>
          <t>09</t>
        </is>
      </c>
      <c r="J664" s="27" t="n">
        <v>2025</v>
      </c>
    </row>
    <row r="665" ht="15" customHeight="1" s="24">
      <c r="A665" s="27" t="n">
        <v>5737770</v>
      </c>
      <c r="B665" s="27" t="n">
        <v>815744</v>
      </c>
      <c r="C665" s="27" t="inlineStr">
        <is>
          <t>CollectedByCustomer</t>
        </is>
      </c>
      <c r="D665" s="41" t="n">
        <v>45919.60356976852</v>
      </c>
      <c r="E665" s="27" t="n">
        <v>-31.368717</v>
      </c>
      <c r="F665" s="27" t="n">
        <v>25.096257</v>
      </c>
      <c r="G665" s="27" t="inlineStr">
        <is>
          <t>Closed</t>
        </is>
      </c>
      <c r="H665" s="27" t="inlineStr">
        <is>
          <t>ScannerApp</t>
        </is>
      </c>
      <c r="I665" s="27" t="inlineStr">
        <is>
          <t>09</t>
        </is>
      </c>
      <c r="J665" s="27" t="n">
        <v>2025</v>
      </c>
    </row>
    <row r="666" ht="15" customHeight="1" s="24">
      <c r="A666" s="27" t="n">
        <v>5522589</v>
      </c>
      <c r="B666" s="27" t="n">
        <v>813360</v>
      </c>
      <c r="C666" s="27" t="inlineStr">
        <is>
          <t>Created</t>
        </is>
      </c>
      <c r="D666" s="41" t="n">
        <v>45919.87305532407</v>
      </c>
      <c r="E666" s="27" t="n">
        <v>-27.708644</v>
      </c>
      <c r="F666" s="27" t="n">
        <v>29.580529</v>
      </c>
      <c r="G666" s="27" t="inlineStr">
        <is>
          <t>Open</t>
        </is>
      </c>
      <c r="H666" s="27" t="inlineStr">
        <is>
          <t>PartnerPOS</t>
        </is>
      </c>
      <c r="I666" s="27" t="inlineStr">
        <is>
          <t>09</t>
        </is>
      </c>
      <c r="J666" s="27" t="n">
        <v>2025</v>
      </c>
    </row>
    <row r="667" ht="15" customHeight="1" s="24">
      <c r="A667" s="27" t="n">
        <v>5684230</v>
      </c>
      <c r="B667" s="27" t="n">
        <v>795908</v>
      </c>
      <c r="C667" s="27" t="inlineStr">
        <is>
          <t>CustomerNotified</t>
        </is>
      </c>
      <c r="D667" s="41" t="n">
        <v>45921.56453795139</v>
      </c>
      <c r="E667" s="27" t="n">
        <v>-26.067401</v>
      </c>
      <c r="F667" s="27" t="n">
        <v>30.023863</v>
      </c>
      <c r="G667" s="27" t="inlineStr">
        <is>
          <t>Open</t>
        </is>
      </c>
      <c r="H667" s="27" t="inlineStr">
        <is>
          <t>CourierGPS</t>
        </is>
      </c>
      <c r="I667" s="27" t="inlineStr">
        <is>
          <t>09</t>
        </is>
      </c>
      <c r="J667" s="27" t="n">
        <v>2025</v>
      </c>
    </row>
    <row r="668" ht="15" customHeight="1" s="24">
      <c r="A668" s="27" t="n">
        <v>5687728</v>
      </c>
      <c r="B668" s="27" t="n">
        <v>799415</v>
      </c>
      <c r="C668" s="27" t="inlineStr">
        <is>
          <t>CustomerNotified</t>
        </is>
      </c>
      <c r="D668" s="41" t="n">
        <v>45923.56709172454</v>
      </c>
      <c r="E668" s="27" t="n">
        <v>-25.906705</v>
      </c>
      <c r="F668" s="27" t="n">
        <v>29.532254</v>
      </c>
      <c r="G668" s="27" t="inlineStr">
        <is>
          <t>Open</t>
        </is>
      </c>
      <c r="H668" s="27" t="inlineStr">
        <is>
          <t>PartnerPOS</t>
        </is>
      </c>
      <c r="I668" s="27" t="inlineStr">
        <is>
          <t>09</t>
        </is>
      </c>
      <c r="J668" s="27" t="n">
        <v>2025</v>
      </c>
    </row>
    <row r="669" ht="15" customHeight="1" s="24">
      <c r="A669" s="27" t="n">
        <v>5516343</v>
      </c>
      <c r="B669" s="27" t="n">
        <v>807114</v>
      </c>
      <c r="C669" s="27" t="inlineStr">
        <is>
          <t>Created</t>
        </is>
      </c>
      <c r="D669" s="41" t="n">
        <v>45923.83747931713</v>
      </c>
      <c r="E669" s="27" t="n">
        <v>-26.35827</v>
      </c>
      <c r="F669" s="27" t="n">
        <v>29.281466</v>
      </c>
      <c r="G669" s="27" t="inlineStr">
        <is>
          <t>Open</t>
        </is>
      </c>
      <c r="H669" s="27" t="inlineStr">
        <is>
          <t>API</t>
        </is>
      </c>
      <c r="I669" s="27" t="inlineStr">
        <is>
          <t>09</t>
        </is>
      </c>
      <c r="J669" s="27" t="n">
        <v>2025</v>
      </c>
    </row>
    <row r="670" ht="15" customHeight="1" s="24">
      <c r="A670" s="27" t="n">
        <v>5501880</v>
      </c>
      <c r="B670" s="27" t="n">
        <v>792651</v>
      </c>
      <c r="C670" s="27" t="inlineStr">
        <is>
          <t>Created</t>
        </is>
      </c>
      <c r="D670" s="41" t="n">
        <v>45924.35753585648</v>
      </c>
      <c r="E670" s="27" t="n">
        <v>-23.287115</v>
      </c>
      <c r="F670" s="27" t="n">
        <v>27.294177</v>
      </c>
      <c r="G670" s="27" t="inlineStr">
        <is>
          <t>Open</t>
        </is>
      </c>
      <c r="H670" s="27" t="inlineStr">
        <is>
          <t>ScannerApp</t>
        </is>
      </c>
      <c r="I670" s="27" t="inlineStr">
        <is>
          <t>09</t>
        </is>
      </c>
      <c r="J670" s="27" t="n">
        <v>2025</v>
      </c>
    </row>
    <row r="671" ht="15" customHeight="1" s="24">
      <c r="A671" s="27" t="n">
        <v>5651120</v>
      </c>
      <c r="B671" s="27" t="n">
        <v>798563</v>
      </c>
      <c r="C671" s="27" t="inlineStr">
        <is>
          <t>ArrivedAtPickupPoint</t>
        </is>
      </c>
      <c r="D671" s="41" t="n">
        <v>45926.03738527778</v>
      </c>
      <c r="E671" s="27" t="n">
        <v>-27.66989</v>
      </c>
      <c r="F671" s="27" t="n">
        <v>29.093122</v>
      </c>
      <c r="G671" s="27" t="inlineStr">
        <is>
          <t>Open</t>
        </is>
      </c>
      <c r="H671" s="27" t="inlineStr">
        <is>
          <t>CourierGPS</t>
        </is>
      </c>
      <c r="I671" s="27" t="inlineStr">
        <is>
          <t>09</t>
        </is>
      </c>
      <c r="J671" s="27" t="n">
        <v>2025</v>
      </c>
    </row>
    <row r="672" ht="15" customHeight="1" s="24">
      <c r="A672" s="27" t="n">
        <v>5656398</v>
      </c>
      <c r="B672" s="27" t="n">
        <v>803854</v>
      </c>
      <c r="C672" s="27" t="inlineStr">
        <is>
          <t>ArrivedAtPickupPoint</t>
        </is>
      </c>
      <c r="D672" s="41" t="n">
        <v>45927.80758006944</v>
      </c>
      <c r="E672" s="27" t="n">
        <v>-33.722387</v>
      </c>
      <c r="F672" s="27" t="n">
        <v>19.024572</v>
      </c>
      <c r="G672" s="27" t="inlineStr">
        <is>
          <t>Open</t>
        </is>
      </c>
      <c r="H672" s="27" t="inlineStr">
        <is>
          <t>PartnerPOS</t>
        </is>
      </c>
      <c r="I672" s="27" t="inlineStr">
        <is>
          <t>09</t>
        </is>
      </c>
      <c r="J672" s="27" t="n">
        <v>2025</v>
      </c>
    </row>
    <row r="673" ht="15" customHeight="1" s="24">
      <c r="A673" s="27" t="n">
        <v>5582839</v>
      </c>
      <c r="B673" s="27" t="n">
        <v>801936</v>
      </c>
      <c r="C673" s="27" t="inlineStr">
        <is>
          <t>AtHub</t>
        </is>
      </c>
      <c r="D673" s="41" t="n">
        <v>45928.08383550926</v>
      </c>
      <c r="E673" s="27" t="n">
        <v>-23.681305</v>
      </c>
      <c r="F673" s="27" t="n">
        <v>28.956215</v>
      </c>
      <c r="G673" s="27" t="inlineStr">
        <is>
          <t>Open</t>
        </is>
      </c>
      <c r="H673" s="27" t="inlineStr">
        <is>
          <t>PartnerPOS</t>
        </is>
      </c>
      <c r="I673" s="27" t="inlineStr">
        <is>
          <t>09</t>
        </is>
      </c>
      <c r="J673" s="27" t="n">
        <v>2025</v>
      </c>
    </row>
    <row r="674" ht="15" customHeight="1" s="24">
      <c r="A674" s="27" t="n">
        <v>5626980</v>
      </c>
      <c r="B674" s="27" t="n">
        <v>810240</v>
      </c>
      <c r="C674" s="27" t="inlineStr">
        <is>
          <t>InLinehaul</t>
        </is>
      </c>
      <c r="D674" s="41" t="n">
        <v>45928.70082996528</v>
      </c>
      <c r="E674" s="27" t="n">
        <v>-30.368439</v>
      </c>
      <c r="F674" s="27" t="n">
        <v>30.403014</v>
      </c>
      <c r="G674" s="27" t="inlineStr">
        <is>
          <t>Open</t>
        </is>
      </c>
      <c r="H674" s="27" t="inlineStr">
        <is>
          <t>CourierGPS</t>
        </is>
      </c>
      <c r="I674" s="27" t="inlineStr">
        <is>
          <t>09</t>
        </is>
      </c>
      <c r="J674" s="27" t="n">
        <v>2025</v>
      </c>
    </row>
    <row r="675" ht="15" customHeight="1" s="24">
      <c r="A675" s="27" t="n">
        <v>5583259</v>
      </c>
      <c r="B675" s="27" t="n">
        <v>802356</v>
      </c>
      <c r="C675" s="27" t="inlineStr">
        <is>
          <t>AtHub</t>
        </is>
      </c>
      <c r="D675" s="41" t="n">
        <v>45928.96793039352</v>
      </c>
      <c r="E675" s="27" t="n">
        <v>-25.017743</v>
      </c>
      <c r="F675" s="27" t="n">
        <v>31.397846</v>
      </c>
      <c r="G675" s="27" t="inlineStr">
        <is>
          <t>Open</t>
        </is>
      </c>
      <c r="H675" s="27" t="inlineStr">
        <is>
          <t>ScannerApp</t>
        </is>
      </c>
      <c r="I675" s="27" t="inlineStr">
        <is>
          <t>09</t>
        </is>
      </c>
      <c r="J675" s="27" t="n">
        <v>2025</v>
      </c>
    </row>
    <row r="676" ht="15" customHeight="1" s="24">
      <c r="A676" s="27" t="n">
        <v>5624927</v>
      </c>
      <c r="B676" s="27" t="n">
        <v>808187</v>
      </c>
      <c r="C676" s="27" t="inlineStr">
        <is>
          <t>InLinehaul</t>
        </is>
      </c>
      <c r="D676" s="41" t="n">
        <v>45930.47602747685</v>
      </c>
      <c r="E676" s="27" t="n">
        <v>-25.456186</v>
      </c>
      <c r="F676" s="27" t="n">
        <v>30.493796</v>
      </c>
      <c r="G676" s="27" t="inlineStr">
        <is>
          <t>Open</t>
        </is>
      </c>
      <c r="H676" s="27" t="inlineStr">
        <is>
          <t>ScannerApp</t>
        </is>
      </c>
      <c r="I676" s="27" t="inlineStr">
        <is>
          <t>09</t>
        </is>
      </c>
      <c r="J676" s="27" t="n">
        <v>2025</v>
      </c>
    </row>
    <row r="677" ht="15" customHeight="1" s="24">
      <c r="A677" s="27" t="n">
        <v>5731619</v>
      </c>
      <c r="B677" s="27" t="n">
        <v>809091</v>
      </c>
      <c r="C677" s="27" t="inlineStr">
        <is>
          <t>CollectedByCustomer</t>
        </is>
      </c>
      <c r="D677" s="41" t="n">
        <v>45931.29969461806</v>
      </c>
      <c r="E677" s="27" t="n">
        <v>-26.215718</v>
      </c>
      <c r="F677" s="27" t="n">
        <v>26.705723</v>
      </c>
      <c r="G677" s="27" t="inlineStr">
        <is>
          <t>Closed</t>
        </is>
      </c>
      <c r="H677" s="27" t="inlineStr">
        <is>
          <t>ScannerApp</t>
        </is>
      </c>
      <c r="I677" s="27" t="inlineStr">
        <is>
          <t>09</t>
        </is>
      </c>
      <c r="J677" s="27" t="n">
        <v>2025</v>
      </c>
    </row>
    <row r="678" ht="15" customHeight="1" s="24">
      <c r="A678" s="27" t="n">
        <v>5580581</v>
      </c>
      <c r="B678" s="27" t="n">
        <v>799678</v>
      </c>
      <c r="C678" s="27" t="inlineStr">
        <is>
          <t>AtHub</t>
        </is>
      </c>
      <c r="D678" s="41" t="n">
        <v>45932.32950394676</v>
      </c>
      <c r="E678" s="27" t="n">
        <v>-24.048814</v>
      </c>
      <c r="F678" s="27" t="n">
        <v>25.700093</v>
      </c>
      <c r="G678" s="27" t="inlineStr">
        <is>
          <t>Open</t>
        </is>
      </c>
      <c r="H678" s="27" t="inlineStr">
        <is>
          <t>ScannerApp</t>
        </is>
      </c>
      <c r="I678" s="27" t="inlineStr">
        <is>
          <t>09</t>
        </is>
      </c>
      <c r="J678" s="27" t="n">
        <v>2025</v>
      </c>
    </row>
    <row r="679" ht="15" customHeight="1" s="24">
      <c r="A679" s="27" t="n">
        <v>5940421</v>
      </c>
      <c r="B679" s="27" t="n">
        <v>835231</v>
      </c>
      <c r="C679" s="27" t="inlineStr">
        <is>
          <t>CustomerNotified</t>
        </is>
      </c>
      <c r="D679" s="41" t="n">
        <v>45935.05140539352</v>
      </c>
      <c r="E679" s="27" t="n">
        <v>-26.370176</v>
      </c>
      <c r="F679" s="27" t="n">
        <v>27.460985</v>
      </c>
      <c r="G679" s="27" t="inlineStr">
        <is>
          <t>Open</t>
        </is>
      </c>
      <c r="H679" s="27" t="inlineStr">
        <is>
          <t>ScannerApp</t>
        </is>
      </c>
      <c r="I679" s="27" t="inlineStr">
        <is>
          <t>10</t>
        </is>
      </c>
      <c r="J679" s="27" t="n">
        <v>2025</v>
      </c>
    </row>
    <row r="680" ht="15" customHeight="1" s="24">
      <c r="A680" s="27" t="n">
        <v>5945900</v>
      </c>
      <c r="B680" s="27" t="n">
        <v>840723</v>
      </c>
      <c r="C680" s="27" t="inlineStr">
        <is>
          <t>CustomerNotified</t>
        </is>
      </c>
      <c r="D680" s="41" t="n">
        <v>45936.23226452546</v>
      </c>
      <c r="E680" s="27" t="n">
        <v>-26.14788</v>
      </c>
      <c r="F680" s="27" t="n">
        <v>26.266483</v>
      </c>
      <c r="G680" s="27" t="inlineStr">
        <is>
          <t>Open</t>
        </is>
      </c>
      <c r="H680" s="27" t="inlineStr">
        <is>
          <t>ScannerApp</t>
        </is>
      </c>
      <c r="I680" s="27" t="inlineStr">
        <is>
          <t>10</t>
        </is>
      </c>
      <c r="J680" s="27" t="n">
        <v>2025</v>
      </c>
    </row>
    <row r="681" ht="15" customHeight="1" s="24">
      <c r="A681" s="27" t="n">
        <v>5749422</v>
      </c>
      <c r="B681" s="27" t="n">
        <v>826036</v>
      </c>
      <c r="C681" s="27" t="inlineStr">
        <is>
          <t>Created</t>
        </is>
      </c>
      <c r="D681" s="41" t="n">
        <v>45937.93387320602</v>
      </c>
      <c r="E681" s="27" t="n">
        <v>-34.012995</v>
      </c>
      <c r="F681" s="27" t="n">
        <v>19.988072</v>
      </c>
      <c r="G681" s="27" t="inlineStr">
        <is>
          <t>Open</t>
        </is>
      </c>
      <c r="H681" s="27" t="inlineStr">
        <is>
          <t>ScannerApp</t>
        </is>
      </c>
      <c r="I681" s="27" t="inlineStr">
        <is>
          <t>10</t>
        </is>
      </c>
      <c r="J681" s="27" t="n">
        <v>2025</v>
      </c>
    </row>
    <row r="682" ht="15" customHeight="1" s="24">
      <c r="A682" s="27" t="n">
        <v>5872348</v>
      </c>
      <c r="B682" s="27" t="n">
        <v>839822</v>
      </c>
      <c r="C682" s="27" t="inlineStr">
        <is>
          <t>InLinehaul</t>
        </is>
      </c>
      <c r="D682" s="41" t="n">
        <v>45940.03276385416</v>
      </c>
      <c r="E682" s="27" t="n">
        <v>-24.465589</v>
      </c>
      <c r="F682" s="27" t="n">
        <v>27.203864</v>
      </c>
      <c r="G682" s="27" t="inlineStr">
        <is>
          <t>Open</t>
        </is>
      </c>
      <c r="H682" s="27" t="inlineStr">
        <is>
          <t>CourierGPS</t>
        </is>
      </c>
      <c r="I682" s="27" t="inlineStr">
        <is>
          <t>10</t>
        </is>
      </c>
      <c r="J682" s="27" t="n">
        <v>2025</v>
      </c>
    </row>
    <row r="683" ht="15" customHeight="1" s="24">
      <c r="A683" s="27" t="n">
        <v>5844511</v>
      </c>
      <c r="B683" s="27" t="n">
        <v>848365</v>
      </c>
      <c r="C683" s="27" t="inlineStr">
        <is>
          <t>AtHub</t>
        </is>
      </c>
      <c r="D683" s="41" t="n">
        <v>45940.57557013889</v>
      </c>
      <c r="E683" s="27" t="n">
        <v>-30.283455</v>
      </c>
      <c r="F683" s="27" t="n">
        <v>28.717266</v>
      </c>
      <c r="G683" s="27" t="inlineStr">
        <is>
          <t>Open</t>
        </is>
      </c>
      <c r="H683" s="27" t="inlineStr">
        <is>
          <t>PartnerPOS</t>
        </is>
      </c>
      <c r="I683" s="27" t="inlineStr">
        <is>
          <t>10</t>
        </is>
      </c>
      <c r="J683" s="27" t="n">
        <v>2025</v>
      </c>
    </row>
    <row r="684" ht="15" customHeight="1" s="24">
      <c r="A684" s="27" t="n">
        <v>5903612</v>
      </c>
      <c r="B684" s="27" t="n">
        <v>834721</v>
      </c>
      <c r="C684" s="27" t="inlineStr">
        <is>
          <t>ArrivedAtPickupPoint</t>
        </is>
      </c>
      <c r="D684" s="41" t="n">
        <v>45940.85984927083</v>
      </c>
      <c r="E684" s="27" t="n">
        <v>-24.902708</v>
      </c>
      <c r="F684" s="27" t="n">
        <v>31.639013</v>
      </c>
      <c r="G684" s="27" t="inlineStr">
        <is>
          <t>Open</t>
        </is>
      </c>
      <c r="H684" s="27" t="inlineStr">
        <is>
          <t>ScannerApp</t>
        </is>
      </c>
      <c r="I684" s="27" t="inlineStr">
        <is>
          <t>10</t>
        </is>
      </c>
      <c r="J684" s="27" t="n">
        <v>2025</v>
      </c>
    </row>
    <row r="685" ht="15" customHeight="1" s="24">
      <c r="A685" s="27" t="n">
        <v>5969925</v>
      </c>
      <c r="B685" s="27" t="n">
        <v>828811</v>
      </c>
      <c r="C685" s="27" t="inlineStr">
        <is>
          <t>CollectedByCustomer</t>
        </is>
      </c>
      <c r="D685" s="41" t="n">
        <v>45940.90761357639</v>
      </c>
      <c r="E685" s="27" t="n">
        <v>-25.356033</v>
      </c>
      <c r="F685" s="27" t="n">
        <v>29.08375</v>
      </c>
      <c r="G685" s="27" t="inlineStr">
        <is>
          <t>Closed</t>
        </is>
      </c>
      <c r="H685" s="27" t="inlineStr">
        <is>
          <t>ScannerApp</t>
        </is>
      </c>
      <c r="I685" s="27" t="inlineStr">
        <is>
          <t>10</t>
        </is>
      </c>
      <c r="J685" s="27" t="n">
        <v>2025</v>
      </c>
    </row>
    <row r="686" ht="15" customHeight="1" s="24">
      <c r="A686" s="27" t="n">
        <v>5921677</v>
      </c>
      <c r="B686" s="27" t="n">
        <v>852835</v>
      </c>
      <c r="C686" s="27" t="inlineStr">
        <is>
          <t>ArrivedAtPickupPoint</t>
        </is>
      </c>
      <c r="D686" s="41" t="n">
        <v>45941.47026153935</v>
      </c>
      <c r="E686" s="27" t="n">
        <v>-34.420184</v>
      </c>
      <c r="F686" s="27" t="n">
        <v>18.076836</v>
      </c>
      <c r="G686" s="27" t="inlineStr">
        <is>
          <t>Open</t>
        </is>
      </c>
      <c r="H686" s="27" t="inlineStr">
        <is>
          <t>ScannerApp</t>
        </is>
      </c>
      <c r="I686" s="27" t="inlineStr">
        <is>
          <t>10</t>
        </is>
      </c>
      <c r="J686" s="27" t="n">
        <v>2025</v>
      </c>
    </row>
    <row r="687" ht="15" customHeight="1" s="24">
      <c r="A687" s="27" t="n">
        <v>5900976</v>
      </c>
      <c r="B687" s="27" t="n">
        <v>832083</v>
      </c>
      <c r="C687" s="27" t="inlineStr">
        <is>
          <t>ArrivedAtPickupPoint</t>
        </is>
      </c>
      <c r="D687" s="41" t="n">
        <v>45942.16396539352</v>
      </c>
      <c r="E687" s="27" t="n">
        <v>-33.817815</v>
      </c>
      <c r="F687" s="27" t="n">
        <v>19.518741</v>
      </c>
      <c r="G687" s="27" t="inlineStr">
        <is>
          <t>Open</t>
        </is>
      </c>
      <c r="H687" s="27" t="inlineStr">
        <is>
          <t>CourierGPS</t>
        </is>
      </c>
      <c r="I687" s="27" t="inlineStr">
        <is>
          <t>10</t>
        </is>
      </c>
      <c r="J687" s="27" t="n">
        <v>2025</v>
      </c>
    </row>
    <row r="688" ht="15" customHeight="1" s="24">
      <c r="A688" s="27" t="n">
        <v>5982880</v>
      </c>
      <c r="B688" s="27" t="n">
        <v>842861</v>
      </c>
      <c r="C688" s="27" t="inlineStr">
        <is>
          <t>CollectedByCustomer</t>
        </is>
      </c>
      <c r="D688" s="41" t="n">
        <v>45943.67992267361</v>
      </c>
      <c r="E688" s="27" t="n">
        <v>-26.259989</v>
      </c>
      <c r="F688" s="27" t="n">
        <v>28.117648</v>
      </c>
      <c r="G688" s="27" t="inlineStr">
        <is>
          <t>Closed</t>
        </is>
      </c>
      <c r="H688" s="27" t="inlineStr">
        <is>
          <t>CourierGPS</t>
        </is>
      </c>
      <c r="I688" s="27" t="inlineStr">
        <is>
          <t>10</t>
        </is>
      </c>
      <c r="J688" s="27" t="n">
        <v>2025</v>
      </c>
    </row>
    <row r="689" ht="15" customHeight="1" s="24">
      <c r="A689" s="27" t="n">
        <v>5961759</v>
      </c>
      <c r="B689" s="27" t="n">
        <v>856622</v>
      </c>
      <c r="C689" s="27" t="inlineStr">
        <is>
          <t>CustomerNotified</t>
        </is>
      </c>
      <c r="D689" s="41" t="n">
        <v>45944.78557181713</v>
      </c>
      <c r="E689" s="27" t="n">
        <v>-33.722387</v>
      </c>
      <c r="F689" s="27" t="n">
        <v>19.024572</v>
      </c>
      <c r="G689" s="27" t="inlineStr">
        <is>
          <t>Open</t>
        </is>
      </c>
      <c r="H689" s="27" t="inlineStr">
        <is>
          <t>PartnerPOS</t>
        </is>
      </c>
      <c r="I689" s="27" t="inlineStr">
        <is>
          <t>10</t>
        </is>
      </c>
      <c r="J689" s="27" t="n">
        <v>2025</v>
      </c>
    </row>
    <row r="690" ht="15" customHeight="1" s="24">
      <c r="A690" s="27" t="n">
        <v>5816030</v>
      </c>
      <c r="B690" s="27" t="n">
        <v>856264</v>
      </c>
      <c r="C690" s="27" t="inlineStr">
        <is>
          <t>CollectedFromRetailer</t>
        </is>
      </c>
      <c r="D690" s="41" t="n">
        <v>45947.35978414352</v>
      </c>
      <c r="E690" s="27" t="n">
        <v>-34.003253</v>
      </c>
      <c r="F690" s="27" t="n">
        <v>20.378691</v>
      </c>
      <c r="G690" s="27" t="inlineStr">
        <is>
          <t>Open</t>
        </is>
      </c>
      <c r="H690" s="27" t="inlineStr">
        <is>
          <t>CourierGPS</t>
        </is>
      </c>
      <c r="I690" s="27" t="inlineStr">
        <is>
          <t>10</t>
        </is>
      </c>
      <c r="J690" s="27" t="n">
        <v>2025</v>
      </c>
    </row>
    <row r="691" ht="15" customHeight="1" s="24">
      <c r="A691" s="27" t="n">
        <v>5933874</v>
      </c>
      <c r="B691" s="27" t="n">
        <v>828676</v>
      </c>
      <c r="C691" s="27" t="inlineStr">
        <is>
          <t>CustomerNotified</t>
        </is>
      </c>
      <c r="D691" s="41" t="n">
        <v>45947.69140517361</v>
      </c>
      <c r="E691" s="27" t="n">
        <v>-27.024549</v>
      </c>
      <c r="F691" s="27" t="n">
        <v>30.97601</v>
      </c>
      <c r="G691" s="27" t="inlineStr">
        <is>
          <t>Open</t>
        </is>
      </c>
      <c r="H691" s="27" t="inlineStr">
        <is>
          <t>PartnerPOS</t>
        </is>
      </c>
      <c r="I691" s="27" t="inlineStr">
        <is>
          <t>10</t>
        </is>
      </c>
      <c r="J691" s="27" t="n">
        <v>2025</v>
      </c>
    </row>
    <row r="692" ht="15" customHeight="1" s="24">
      <c r="A692" s="27" t="n">
        <v>5941668</v>
      </c>
      <c r="B692" s="27" t="n">
        <v>836479</v>
      </c>
      <c r="C692" s="27" t="inlineStr">
        <is>
          <t>CustomerNotified</t>
        </is>
      </c>
      <c r="D692" s="41" t="n">
        <v>45948.06380467593</v>
      </c>
      <c r="E692" s="27" t="n">
        <v>-30.646387</v>
      </c>
      <c r="F692" s="27" t="n">
        <v>30.930606</v>
      </c>
      <c r="G692" s="27" t="inlineStr">
        <is>
          <t>Open</t>
        </is>
      </c>
      <c r="H692" s="27" t="inlineStr">
        <is>
          <t>ScannerApp</t>
        </is>
      </c>
      <c r="I692" s="27" t="inlineStr">
        <is>
          <t>10</t>
        </is>
      </c>
      <c r="J692" s="27" t="n">
        <v>2025</v>
      </c>
    </row>
    <row r="693" ht="15" customHeight="1" s="24">
      <c r="A693" s="27" t="n">
        <v>5975530</v>
      </c>
      <c r="B693" s="27" t="n">
        <v>834900</v>
      </c>
      <c r="C693" s="27" t="inlineStr">
        <is>
          <t>CollectedByCustomer</t>
        </is>
      </c>
      <c r="D693" s="41" t="n">
        <v>45948.98945091435</v>
      </c>
      <c r="E693" s="27" t="n">
        <v>-29.963766</v>
      </c>
      <c r="F693" s="27" t="n">
        <v>31.071486</v>
      </c>
      <c r="G693" s="27" t="inlineStr">
        <is>
          <t>Closed</t>
        </is>
      </c>
      <c r="H693" s="27" t="inlineStr">
        <is>
          <t>PartnerPOS</t>
        </is>
      </c>
      <c r="I693" s="27" t="inlineStr">
        <is>
          <t>10</t>
        </is>
      </c>
      <c r="J693" s="27" t="n">
        <v>2025</v>
      </c>
    </row>
    <row r="694" ht="15" customHeight="1" s="24">
      <c r="A694" s="27" t="n">
        <v>5856713</v>
      </c>
      <c r="B694" s="27" t="n">
        <v>824187</v>
      </c>
      <c r="C694" s="27" t="inlineStr">
        <is>
          <t>InLinehaul</t>
        </is>
      </c>
      <c r="D694" s="41" t="n">
        <v>45950.04865932871</v>
      </c>
      <c r="E694" s="27" t="n">
        <v>-26.165937</v>
      </c>
      <c r="F694" s="27" t="n">
        <v>33.035162</v>
      </c>
      <c r="G694" s="27" t="inlineStr">
        <is>
          <t>Open</t>
        </is>
      </c>
      <c r="H694" s="27" t="inlineStr">
        <is>
          <t>PartnerPOS</t>
        </is>
      </c>
      <c r="I694" s="27" t="inlineStr">
        <is>
          <t>10</t>
        </is>
      </c>
      <c r="J694" s="27" t="n">
        <v>2025</v>
      </c>
    </row>
    <row r="695" ht="15" customHeight="1" s="24">
      <c r="A695" s="27" t="n">
        <v>5957473</v>
      </c>
      <c r="B695" s="27" t="n">
        <v>852328</v>
      </c>
      <c r="C695" s="27" t="inlineStr">
        <is>
          <t>CustomerNotified</t>
        </is>
      </c>
      <c r="D695" s="41" t="n">
        <v>45950.1878472338</v>
      </c>
      <c r="E695" s="27" t="n">
        <v>-28.276693</v>
      </c>
      <c r="F695" s="27" t="n">
        <v>30.798843</v>
      </c>
      <c r="G695" s="27" t="inlineStr">
        <is>
          <t>Open</t>
        </is>
      </c>
      <c r="H695" s="27" t="inlineStr">
        <is>
          <t>CourierGPS</t>
        </is>
      </c>
      <c r="I695" s="27" t="inlineStr">
        <is>
          <t>10</t>
        </is>
      </c>
      <c r="J695" s="27" t="n">
        <v>2025</v>
      </c>
    </row>
    <row r="696" ht="15" customHeight="1" s="24">
      <c r="A696" s="27" t="n">
        <v>5850831</v>
      </c>
      <c r="B696" s="27" t="n">
        <v>854685</v>
      </c>
      <c r="C696" s="27" t="inlineStr">
        <is>
          <t>AtHub</t>
        </is>
      </c>
      <c r="D696" s="41" t="n">
        <v>45950.63958158564</v>
      </c>
      <c r="E696" s="27" t="n">
        <v>-27.929151</v>
      </c>
      <c r="F696" s="27" t="n">
        <v>25.019688</v>
      </c>
      <c r="G696" s="27" t="inlineStr">
        <is>
          <t>Open</t>
        </is>
      </c>
      <c r="H696" s="27" t="inlineStr">
        <is>
          <t>ScannerApp</t>
        </is>
      </c>
      <c r="I696" s="27" t="inlineStr">
        <is>
          <t>10</t>
        </is>
      </c>
      <c r="J696" s="27" t="n">
        <v>2025</v>
      </c>
    </row>
    <row r="697" ht="15" customHeight="1" s="24">
      <c r="A697" s="27" t="n">
        <v>6000514</v>
      </c>
      <c r="B697" s="27" t="n">
        <v>852268</v>
      </c>
      <c r="C697" s="27" t="inlineStr">
        <is>
          <t>ExpiredReturnedToSender</t>
        </is>
      </c>
      <c r="D697" s="41" t="n">
        <v>45950.74182574074</v>
      </c>
      <c r="E697" s="27" t="n">
        <v>-25.413083</v>
      </c>
      <c r="F697" s="27" t="n">
        <v>31.174657</v>
      </c>
      <c r="G697" s="27" t="inlineStr">
        <is>
          <t>RTS</t>
        </is>
      </c>
      <c r="H697" s="27" t="inlineStr">
        <is>
          <t>API</t>
        </is>
      </c>
      <c r="I697" s="27" t="inlineStr">
        <is>
          <t>10</t>
        </is>
      </c>
      <c r="J697" s="27" t="n">
        <v>2025</v>
      </c>
    </row>
    <row r="698" ht="15" customHeight="1" s="24">
      <c r="A698" s="27" t="n">
        <v>5898547</v>
      </c>
      <c r="B698" s="27" t="n">
        <v>829652</v>
      </c>
      <c r="C698" s="27" t="inlineStr">
        <is>
          <t>ArrivedAtPickupPoint</t>
        </is>
      </c>
      <c r="D698" s="41" t="n">
        <v>45951.11605917824</v>
      </c>
      <c r="E698" s="27" t="n">
        <v>-32.61931</v>
      </c>
      <c r="F698" s="27" t="n">
        <v>21.21736</v>
      </c>
      <c r="G698" s="27" t="inlineStr">
        <is>
          <t>Open</t>
        </is>
      </c>
      <c r="H698" s="27" t="inlineStr">
        <is>
          <t>ScannerApp</t>
        </is>
      </c>
      <c r="I698" s="27" t="inlineStr">
        <is>
          <t>10</t>
        </is>
      </c>
      <c r="J698" s="27" t="n">
        <v>2025</v>
      </c>
    </row>
    <row r="699" ht="15" customHeight="1" s="24">
      <c r="A699" s="27" t="n">
        <v>5957068</v>
      </c>
      <c r="B699" s="27" t="n">
        <v>851923</v>
      </c>
      <c r="C699" s="27" t="inlineStr">
        <is>
          <t>CustomerNotified</t>
        </is>
      </c>
      <c r="D699" s="41" t="n">
        <v>45951.14123984954</v>
      </c>
      <c r="E699" s="27" t="n">
        <v>-30.570284</v>
      </c>
      <c r="F699" s="27" t="n">
        <v>29.96203</v>
      </c>
      <c r="G699" s="27" t="inlineStr">
        <is>
          <t>Open</t>
        </is>
      </c>
      <c r="H699" s="27" t="inlineStr">
        <is>
          <t>ScannerApp</t>
        </is>
      </c>
      <c r="I699" s="27" t="inlineStr">
        <is>
          <t>10</t>
        </is>
      </c>
      <c r="J699" s="27" t="n">
        <v>2025</v>
      </c>
    </row>
    <row r="700" ht="15" customHeight="1" s="24">
      <c r="A700" s="27" t="n">
        <v>5788679</v>
      </c>
      <c r="B700" s="27" t="n">
        <v>828913</v>
      </c>
      <c r="C700" s="27" t="inlineStr">
        <is>
          <t>CollectedFromRetailer</t>
        </is>
      </c>
      <c r="D700" s="41" t="n">
        <v>45951.26952396991</v>
      </c>
      <c r="E700" s="27" t="n">
        <v>-25.675669</v>
      </c>
      <c r="F700" s="27" t="n">
        <v>31.481518</v>
      </c>
      <c r="G700" s="27" t="inlineStr">
        <is>
          <t>Open</t>
        </is>
      </c>
      <c r="H700" s="27" t="inlineStr">
        <is>
          <t>CourierGPS</t>
        </is>
      </c>
      <c r="I700" s="27" t="inlineStr">
        <is>
          <t>10</t>
        </is>
      </c>
      <c r="J700" s="27" t="n">
        <v>2025</v>
      </c>
    </row>
    <row r="701" ht="15" customHeight="1" s="24">
      <c r="A701" s="27" t="n">
        <v>5770815</v>
      </c>
      <c r="B701" s="27" t="n">
        <v>847429</v>
      </c>
      <c r="C701" s="27" t="inlineStr">
        <is>
          <t>Created</t>
        </is>
      </c>
      <c r="D701" s="41" t="n">
        <v>45951.99153113426</v>
      </c>
      <c r="E701" s="27" t="n">
        <v>-26.467593</v>
      </c>
      <c r="F701" s="27" t="n">
        <v>28.085793</v>
      </c>
      <c r="G701" s="27" t="inlineStr">
        <is>
          <t>Open</t>
        </is>
      </c>
      <c r="H701" s="27" t="inlineStr">
        <is>
          <t>PartnerPOS</t>
        </is>
      </c>
      <c r="I701" s="27" t="inlineStr">
        <is>
          <t>10</t>
        </is>
      </c>
      <c r="J701" s="27" t="n">
        <v>2025</v>
      </c>
    </row>
    <row r="702" ht="15" customHeight="1" s="24">
      <c r="A702" s="27" t="n">
        <v>5993437</v>
      </c>
      <c r="B702" s="27" t="n">
        <v>854298</v>
      </c>
      <c r="C702" s="27" t="inlineStr">
        <is>
          <t>CollectedByCustomer</t>
        </is>
      </c>
      <c r="D702" s="41" t="n">
        <v>45958.07424356481</v>
      </c>
      <c r="E702" s="27" t="n">
        <v>-30.517938</v>
      </c>
      <c r="F702" s="27" t="n">
        <v>29.587514</v>
      </c>
      <c r="G702" s="27" t="inlineStr">
        <is>
          <t>Closed</t>
        </is>
      </c>
      <c r="H702" s="27" t="inlineStr">
        <is>
          <t>ScannerApp</t>
        </is>
      </c>
      <c r="I702" s="27" t="inlineStr">
        <is>
          <t>10</t>
        </is>
      </c>
      <c r="J702" s="27" t="n">
        <v>2025</v>
      </c>
    </row>
    <row r="703" ht="15" customHeight="1" s="24">
      <c r="A703" s="27" t="n">
        <v>5840917</v>
      </c>
      <c r="B703" s="27" t="n">
        <v>844771</v>
      </c>
      <c r="C703" s="27" t="inlineStr">
        <is>
          <t>AtHub</t>
        </is>
      </c>
      <c r="D703" s="41" t="n">
        <v>45960.61623585648</v>
      </c>
      <c r="E703" s="27" t="n">
        <v>-29.512339</v>
      </c>
      <c r="F703" s="27" t="n">
        <v>30.566833</v>
      </c>
      <c r="G703" s="27" t="inlineStr">
        <is>
          <t>Open</t>
        </is>
      </c>
      <c r="H703" s="27" t="inlineStr">
        <is>
          <t>CourierGPS</t>
        </is>
      </c>
      <c r="I703" s="27" t="inlineStr">
        <is>
          <t>10</t>
        </is>
      </c>
      <c r="J703" s="27" t="n">
        <v>2025</v>
      </c>
    </row>
    <row r="704" ht="15" customHeight="1" s="24">
      <c r="A704" s="27" t="n">
        <v>5909758</v>
      </c>
      <c r="B704" s="27" t="n">
        <v>840882</v>
      </c>
      <c r="C704" s="27" t="inlineStr">
        <is>
          <t>ArrivedAtPickupPoint</t>
        </is>
      </c>
      <c r="D704" s="41" t="n">
        <v>45961.35109689815</v>
      </c>
      <c r="E704" s="27" t="n">
        <v>-27.780556</v>
      </c>
      <c r="F704" s="27" t="n">
        <v>29.140657</v>
      </c>
      <c r="G704" s="27" t="inlineStr">
        <is>
          <t>Open</t>
        </is>
      </c>
      <c r="H704" s="27" t="inlineStr">
        <is>
          <t>PartnerPOS</t>
        </is>
      </c>
      <c r="I704" s="27" t="inlineStr">
        <is>
          <t>10</t>
        </is>
      </c>
      <c r="J704" s="27" t="n">
        <v>2025</v>
      </c>
    </row>
    <row r="705" ht="15" customHeight="1" s="24">
      <c r="A705" s="27" t="n">
        <v>5993381</v>
      </c>
      <c r="B705" s="27" t="n">
        <v>854238</v>
      </c>
      <c r="C705" s="27" t="inlineStr">
        <is>
          <t>CollectedByCustomer</t>
        </is>
      </c>
      <c r="D705" s="41" t="n">
        <v>45962.23287087963</v>
      </c>
      <c r="E705" s="27" t="n">
        <v>-31.570225</v>
      </c>
      <c r="F705" s="27" t="n">
        <v>18.533083</v>
      </c>
      <c r="G705" s="27" t="inlineStr">
        <is>
          <t>Closed</t>
        </is>
      </c>
      <c r="H705" s="27" t="inlineStr">
        <is>
          <t>ScannerApp</t>
        </is>
      </c>
      <c r="I705" s="27" t="inlineStr">
        <is>
          <t>10</t>
        </is>
      </c>
      <c r="J705" s="27" t="n">
        <v>2025</v>
      </c>
    </row>
    <row r="706" ht="15" customHeight="1" s="24">
      <c r="A706" s="27" t="n">
        <v>5922338</v>
      </c>
      <c r="B706" s="27" t="n">
        <v>853497</v>
      </c>
      <c r="C706" s="27" t="inlineStr">
        <is>
          <t>ArrivedAtPickupPoint</t>
        </is>
      </c>
      <c r="D706" s="41" t="n">
        <v>45963.00683189815</v>
      </c>
      <c r="E706" s="27" t="n">
        <v>-26.358202</v>
      </c>
      <c r="F706" s="27" t="n">
        <v>28.243937</v>
      </c>
      <c r="G706" s="27" t="inlineStr">
        <is>
          <t>Open</t>
        </is>
      </c>
      <c r="H706" s="27" t="inlineStr">
        <is>
          <t>CourierGPS</t>
        </is>
      </c>
      <c r="I706" s="27" t="inlineStr">
        <is>
          <t>10</t>
        </is>
      </c>
      <c r="J706" s="27" t="n">
        <v>2025</v>
      </c>
    </row>
    <row r="707" ht="15" customHeight="1" s="24">
      <c r="A707" s="27" t="n">
        <v>6150946</v>
      </c>
      <c r="B707" s="27" t="n">
        <v>873551</v>
      </c>
      <c r="C707" s="27" t="inlineStr">
        <is>
          <t>AtHub</t>
        </is>
      </c>
      <c r="D707" s="41" t="n">
        <v>45963.69942096065</v>
      </c>
      <c r="E707" s="27" t="n">
        <v>-26.618358</v>
      </c>
      <c r="F707" s="27" t="n">
        <v>28.819411</v>
      </c>
      <c r="G707" s="27" t="inlineStr">
        <is>
          <t>Open</t>
        </is>
      </c>
      <c r="H707" s="27" t="inlineStr">
        <is>
          <t>ScannerApp</t>
        </is>
      </c>
      <c r="I707" s="27" t="inlineStr">
        <is>
          <t>11</t>
        </is>
      </c>
      <c r="J707" s="27" t="n">
        <v>2025</v>
      </c>
    </row>
    <row r="708" ht="15" customHeight="1" s="24">
      <c r="A708" s="27" t="n">
        <v>6288075</v>
      </c>
      <c r="B708" s="27" t="n">
        <v>874087</v>
      </c>
      <c r="C708" s="27" t="inlineStr">
        <is>
          <t>ArrivedAtPickupPoint</t>
        </is>
      </c>
      <c r="D708" s="41" t="n">
        <v>45964.3519671875</v>
      </c>
      <c r="E708" s="27" t="n">
        <v>-30.599736</v>
      </c>
      <c r="F708" s="27" t="n">
        <v>30.470457</v>
      </c>
      <c r="G708" s="27" t="inlineStr">
        <is>
          <t>Open</t>
        </is>
      </c>
      <c r="H708" s="27" t="inlineStr">
        <is>
          <t>CourierGPS</t>
        </is>
      </c>
      <c r="I708" s="27" t="inlineStr">
        <is>
          <t>11</t>
        </is>
      </c>
      <c r="J708" s="27" t="n">
        <v>2025</v>
      </c>
    </row>
    <row r="709" ht="15" customHeight="1" s="24">
      <c r="A709" s="27" t="n">
        <v>6269053</v>
      </c>
      <c r="B709" s="27" t="n">
        <v>923349</v>
      </c>
      <c r="C709" s="27" t="inlineStr">
        <is>
          <t>InLinehaul</t>
        </is>
      </c>
      <c r="D709" s="41" t="n">
        <v>45964.89001490741</v>
      </c>
      <c r="E709" s="27" t="n">
        <v>-24.646947</v>
      </c>
      <c r="F709" s="27" t="n">
        <v>31.184034</v>
      </c>
      <c r="G709" s="27" t="inlineStr">
        <is>
          <t>Open</t>
        </is>
      </c>
      <c r="H709" s="27" t="inlineStr">
        <is>
          <t>CourierGPS</t>
        </is>
      </c>
      <c r="I709" s="27" t="inlineStr">
        <is>
          <t>11</t>
        </is>
      </c>
      <c r="J709" s="27" t="n">
        <v>2025</v>
      </c>
    </row>
    <row r="710" ht="15" customHeight="1" s="24">
      <c r="A710" s="27" t="n">
        <v>6016383</v>
      </c>
      <c r="B710" s="27" t="n">
        <v>875606</v>
      </c>
      <c r="C710" s="27" t="inlineStr">
        <is>
          <t>Created</t>
        </is>
      </c>
      <c r="D710" s="41" t="n">
        <v>45965.55545032407</v>
      </c>
      <c r="E710" s="27" t="n">
        <v>-32.92674</v>
      </c>
      <c r="F710" s="27" t="n">
        <v>19.311925</v>
      </c>
      <c r="G710" s="27" t="inlineStr">
        <is>
          <t>Open</t>
        </is>
      </c>
      <c r="H710" s="27" t="inlineStr">
        <is>
          <t>ScannerApp</t>
        </is>
      </c>
      <c r="I710" s="27" t="inlineStr">
        <is>
          <t>11</t>
        </is>
      </c>
      <c r="J710" s="27" t="n">
        <v>2025</v>
      </c>
    </row>
    <row r="711" ht="15" customHeight="1" s="24">
      <c r="A711" s="27" t="n">
        <v>6420468</v>
      </c>
      <c r="B711" s="27" t="n">
        <v>870858</v>
      </c>
      <c r="C711" s="27" t="inlineStr">
        <is>
          <t>CollectedByCustomer</t>
        </is>
      </c>
      <c r="D711" s="41" t="n">
        <v>45966.79697815972</v>
      </c>
      <c r="E711" s="27" t="n">
        <v>-22.622269</v>
      </c>
      <c r="F711" s="27" t="n">
        <v>29.641688</v>
      </c>
      <c r="G711" s="27" t="inlineStr">
        <is>
          <t>Closed</t>
        </is>
      </c>
      <c r="H711" s="27" t="inlineStr">
        <is>
          <t>CourierGPS</t>
        </is>
      </c>
      <c r="I711" s="27" t="inlineStr">
        <is>
          <t>11</t>
        </is>
      </c>
      <c r="J711" s="27" t="n">
        <v>2025</v>
      </c>
    </row>
    <row r="712" ht="15" customHeight="1" s="24">
      <c r="A712" s="27" t="n">
        <v>6350288</v>
      </c>
      <c r="B712" s="27" t="n">
        <v>868103</v>
      </c>
      <c r="C712" s="27" t="inlineStr">
        <is>
          <t>CustomerNotified</t>
        </is>
      </c>
      <c r="D712" s="41" t="n">
        <v>45967.4928608449</v>
      </c>
      <c r="E712" s="27" t="n">
        <v>-25.715794</v>
      </c>
      <c r="F712" s="27" t="n">
        <v>28.124157</v>
      </c>
      <c r="G712" s="27" t="inlineStr">
        <is>
          <t>Open</t>
        </is>
      </c>
      <c r="H712" s="27" t="inlineStr">
        <is>
          <t>ScannerApp</t>
        </is>
      </c>
      <c r="I712" s="27" t="inlineStr">
        <is>
          <t>11</t>
        </is>
      </c>
      <c r="J712" s="27" t="n">
        <v>2025</v>
      </c>
    </row>
    <row r="713" ht="15" customHeight="1" s="24">
      <c r="A713" s="27" t="n">
        <v>6434579</v>
      </c>
      <c r="B713" s="27" t="n">
        <v>886128</v>
      </c>
      <c r="C713" s="27" t="inlineStr">
        <is>
          <t>CollectedByCustomer</t>
        </is>
      </c>
      <c r="D713" s="41" t="n">
        <v>45968.07942084491</v>
      </c>
      <c r="E713" s="27" t="n">
        <v>-31.886742</v>
      </c>
      <c r="F713" s="27" t="n">
        <v>20.013304</v>
      </c>
      <c r="G713" s="27" t="inlineStr">
        <is>
          <t>Closed</t>
        </is>
      </c>
      <c r="H713" s="27" t="inlineStr">
        <is>
          <t>CourierGPS</t>
        </is>
      </c>
      <c r="I713" s="27" t="inlineStr">
        <is>
          <t>11</t>
        </is>
      </c>
      <c r="J713" s="27" t="n">
        <v>2025</v>
      </c>
    </row>
    <row r="714" ht="15" customHeight="1" s="24">
      <c r="A714" s="27" t="n">
        <v>6412400</v>
      </c>
      <c r="B714" s="27" t="n">
        <v>862161</v>
      </c>
      <c r="C714" s="27" t="inlineStr">
        <is>
          <t>CollectedByCustomer</t>
        </is>
      </c>
      <c r="D714" s="41" t="n">
        <v>45968.36358386574</v>
      </c>
      <c r="E714" s="27" t="n">
        <v>-27.022943</v>
      </c>
      <c r="F714" s="27" t="n">
        <v>20.36394</v>
      </c>
      <c r="G714" s="27" t="inlineStr">
        <is>
          <t>Closed</t>
        </is>
      </c>
      <c r="H714" s="27" t="inlineStr">
        <is>
          <t>CourierGPS</t>
        </is>
      </c>
      <c r="I714" s="27" t="inlineStr">
        <is>
          <t>11</t>
        </is>
      </c>
      <c r="J714" s="27" t="n">
        <v>2025</v>
      </c>
    </row>
    <row r="715" ht="15" customHeight="1" s="24">
      <c r="A715" s="27" t="n">
        <v>6350610</v>
      </c>
      <c r="B715" s="27" t="n">
        <v>868425</v>
      </c>
      <c r="C715" s="27" t="inlineStr">
        <is>
          <t>CustomerNotified</t>
        </is>
      </c>
      <c r="D715" s="41" t="n">
        <v>45968.64242082176</v>
      </c>
      <c r="E715" s="27" t="n">
        <v>-26.052619</v>
      </c>
      <c r="F715" s="27" t="n">
        <v>28.843248</v>
      </c>
      <c r="G715" s="27" t="inlineStr">
        <is>
          <t>Open</t>
        </is>
      </c>
      <c r="H715" s="27" t="inlineStr">
        <is>
          <t>API</t>
        </is>
      </c>
      <c r="I715" s="27" t="inlineStr">
        <is>
          <t>11</t>
        </is>
      </c>
      <c r="J715" s="27" t="n">
        <v>2025</v>
      </c>
    </row>
    <row r="716" ht="15" customHeight="1" s="24">
      <c r="A716" s="27" t="n">
        <v>6114463</v>
      </c>
      <c r="B716" s="27" t="n">
        <v>905377</v>
      </c>
      <c r="C716" s="27" t="inlineStr">
        <is>
          <t>CollectedFromRetailer</t>
        </is>
      </c>
      <c r="D716" s="41" t="n">
        <v>45969.43767008102</v>
      </c>
      <c r="E716" s="27" t="n">
        <v>-25.118095</v>
      </c>
      <c r="F716" s="27" t="n">
        <v>27.867666</v>
      </c>
      <c r="G716" s="27" t="inlineStr">
        <is>
          <t>Open</t>
        </is>
      </c>
      <c r="H716" s="27" t="inlineStr">
        <is>
          <t>ScannerApp</t>
        </is>
      </c>
      <c r="I716" s="27" t="inlineStr">
        <is>
          <t>11</t>
        </is>
      </c>
      <c r="J716" s="27" t="n">
        <v>2025</v>
      </c>
    </row>
    <row r="717" ht="15" customHeight="1" s="24">
      <c r="A717" s="27" t="n">
        <v>6427915</v>
      </c>
      <c r="B717" s="27" t="n">
        <v>878911</v>
      </c>
      <c r="C717" s="27" t="inlineStr">
        <is>
          <t>CollectedByCustomer</t>
        </is>
      </c>
      <c r="D717" s="41" t="n">
        <v>45970.27566060185</v>
      </c>
      <c r="E717" s="27" t="n">
        <v>-33.722387</v>
      </c>
      <c r="F717" s="27" t="n">
        <v>19.024572</v>
      </c>
      <c r="G717" s="27" t="inlineStr">
        <is>
          <t>Closed</t>
        </is>
      </c>
      <c r="H717" s="27" t="inlineStr">
        <is>
          <t>ScannerApp</t>
        </is>
      </c>
      <c r="I717" s="27" t="inlineStr">
        <is>
          <t>11</t>
        </is>
      </c>
      <c r="J717" s="27" t="n">
        <v>2025</v>
      </c>
    </row>
    <row r="718" ht="15" customHeight="1" s="24">
      <c r="A718" s="27" t="n">
        <v>6102403</v>
      </c>
      <c r="B718" s="27" t="n">
        <v>893317</v>
      </c>
      <c r="C718" s="27" t="inlineStr">
        <is>
          <t>CollectedFromRetailer</t>
        </is>
      </c>
      <c r="D718" s="41" t="n">
        <v>45970.83318700232</v>
      </c>
      <c r="E718" s="27" t="n">
        <v>-25.345674</v>
      </c>
      <c r="F718" s="27" t="n">
        <v>27.206978</v>
      </c>
      <c r="G718" s="27" t="inlineStr">
        <is>
          <t>Open</t>
        </is>
      </c>
      <c r="H718" s="27" t="inlineStr">
        <is>
          <t>API</t>
        </is>
      </c>
      <c r="I718" s="27" t="inlineStr">
        <is>
          <t>11</t>
        </is>
      </c>
      <c r="J718" s="27" t="n">
        <v>2025</v>
      </c>
    </row>
    <row r="719" ht="15" customHeight="1" s="24">
      <c r="A719" s="27" t="n">
        <v>6209838</v>
      </c>
      <c r="B719" s="27" t="n">
        <v>864134</v>
      </c>
      <c r="C719" s="27" t="inlineStr">
        <is>
          <t>InLinehaul</t>
        </is>
      </c>
      <c r="D719" s="41" t="n">
        <v>45971.1162634838</v>
      </c>
      <c r="E719" s="27" t="n">
        <v>-22.916031</v>
      </c>
      <c r="F719" s="27" t="n">
        <v>30.36044</v>
      </c>
      <c r="G719" s="27" t="inlineStr">
        <is>
          <t>Open</t>
        </is>
      </c>
      <c r="H719" s="27" t="inlineStr">
        <is>
          <t>ScannerApp</t>
        </is>
      </c>
      <c r="I719" s="27" t="inlineStr">
        <is>
          <t>11</t>
        </is>
      </c>
      <c r="J719" s="27" t="n">
        <v>2025</v>
      </c>
    </row>
    <row r="720" ht="15" customHeight="1" s="24">
      <c r="A720" s="27" t="n">
        <v>6303416</v>
      </c>
      <c r="B720" s="27" t="n">
        <v>889460</v>
      </c>
      <c r="C720" s="27" t="inlineStr">
        <is>
          <t>ArrivedAtPickupPoint</t>
        </is>
      </c>
      <c r="D720" s="41" t="n">
        <v>45971.12676310185</v>
      </c>
      <c r="E720" s="27" t="n">
        <v>-32.541814</v>
      </c>
      <c r="F720" s="27" t="n">
        <v>28.075972</v>
      </c>
      <c r="G720" s="27" t="inlineStr">
        <is>
          <t>Open</t>
        </is>
      </c>
      <c r="H720" s="27" t="inlineStr">
        <is>
          <t>PartnerPOS</t>
        </is>
      </c>
      <c r="I720" s="27" t="inlineStr">
        <is>
          <t>11</t>
        </is>
      </c>
      <c r="J720" s="27" t="n">
        <v>2025</v>
      </c>
    </row>
    <row r="721" ht="15" customHeight="1" s="24">
      <c r="A721" s="27" t="n">
        <v>6228630</v>
      </c>
      <c r="B721" s="27" t="n">
        <v>882926</v>
      </c>
      <c r="C721" s="27" t="inlineStr">
        <is>
          <t>InLinehaul</t>
        </is>
      </c>
      <c r="D721" s="41" t="n">
        <v>45971.15842678241</v>
      </c>
      <c r="E721" s="27" t="n">
        <v>-33.23325</v>
      </c>
      <c r="F721" s="27" t="n">
        <v>21.000981</v>
      </c>
      <c r="G721" s="27" t="inlineStr">
        <is>
          <t>Open</t>
        </is>
      </c>
      <c r="H721" s="27" t="inlineStr">
        <is>
          <t>ScannerApp</t>
        </is>
      </c>
      <c r="I721" s="27" t="inlineStr">
        <is>
          <t>11</t>
        </is>
      </c>
      <c r="J721" s="27" t="n">
        <v>2025</v>
      </c>
    </row>
    <row r="722" ht="15" customHeight="1" s="24">
      <c r="A722" s="27" t="n">
        <v>6396790</v>
      </c>
      <c r="B722" s="27" t="n">
        <v>914694</v>
      </c>
      <c r="C722" s="27" t="inlineStr">
        <is>
          <t>CustomerNotified</t>
        </is>
      </c>
      <c r="D722" s="41" t="n">
        <v>45971.32516365741</v>
      </c>
      <c r="E722" s="27" t="n">
        <v>-25.858028</v>
      </c>
      <c r="F722" s="27" t="n">
        <v>27.380605</v>
      </c>
      <c r="G722" s="27" t="inlineStr">
        <is>
          <t>Open</t>
        </is>
      </c>
      <c r="H722" s="27" t="inlineStr">
        <is>
          <t>PartnerPOS</t>
        </is>
      </c>
      <c r="I722" s="27" t="inlineStr">
        <is>
          <t>11</t>
        </is>
      </c>
      <c r="J722" s="27" t="n">
        <v>2025</v>
      </c>
    </row>
    <row r="723" ht="15" customHeight="1" s="24">
      <c r="A723" s="27" t="n">
        <v>6476058</v>
      </c>
      <c r="B723" s="27" t="n">
        <v>903125</v>
      </c>
      <c r="C723" s="27" t="inlineStr">
        <is>
          <t>ExpiredReturnedToSender</t>
        </is>
      </c>
      <c r="D723" s="41" t="n">
        <v>45972.22854837963</v>
      </c>
      <c r="E723" s="27" t="n">
        <v>-26.094736</v>
      </c>
      <c r="F723" s="27" t="n">
        <v>27.826986</v>
      </c>
      <c r="G723" s="27" t="inlineStr">
        <is>
          <t>RTS</t>
        </is>
      </c>
      <c r="H723" s="27" t="inlineStr">
        <is>
          <t>ScannerApp</t>
        </is>
      </c>
      <c r="I723" s="27" t="inlineStr">
        <is>
          <t>11</t>
        </is>
      </c>
      <c r="J723" s="27" t="n">
        <v>2025</v>
      </c>
    </row>
    <row r="724" ht="15" customHeight="1" s="24">
      <c r="A724" s="27" t="n">
        <v>6404953</v>
      </c>
      <c r="B724" s="27" t="n">
        <v>922872</v>
      </c>
      <c r="C724" s="27" t="inlineStr">
        <is>
          <t>CustomerNotified</t>
        </is>
      </c>
      <c r="D724" s="41" t="n">
        <v>45972.70873145833</v>
      </c>
      <c r="E724" s="27" t="n">
        <v>-31.523575</v>
      </c>
      <c r="F724" s="27" t="n">
        <v>26.353554</v>
      </c>
      <c r="G724" s="27" t="inlineStr">
        <is>
          <t>Open</t>
        </is>
      </c>
      <c r="H724" s="27" t="inlineStr">
        <is>
          <t>PartnerPOS</t>
        </is>
      </c>
      <c r="I724" s="27" t="inlineStr">
        <is>
          <t>11</t>
        </is>
      </c>
      <c r="J724" s="27" t="n">
        <v>2025</v>
      </c>
    </row>
    <row r="725" ht="15" customHeight="1" s="24">
      <c r="A725" s="27" t="n">
        <v>6027293</v>
      </c>
      <c r="B725" s="27" t="n">
        <v>886516</v>
      </c>
      <c r="C725" s="27" t="inlineStr">
        <is>
          <t>Created</t>
        </is>
      </c>
      <c r="D725" s="41" t="n">
        <v>45972.905379375</v>
      </c>
      <c r="E725" s="27" t="n">
        <v>-25.559051</v>
      </c>
      <c r="F725" s="27" t="n">
        <v>27.302251</v>
      </c>
      <c r="G725" s="27" t="inlineStr">
        <is>
          <t>Open</t>
        </is>
      </c>
      <c r="H725" s="27" t="inlineStr">
        <is>
          <t>ScannerApp</t>
        </is>
      </c>
      <c r="I725" s="27" t="inlineStr">
        <is>
          <t>11</t>
        </is>
      </c>
      <c r="J725" s="27" t="n">
        <v>2025</v>
      </c>
    </row>
    <row r="726" ht="15" customHeight="1" s="24">
      <c r="A726" s="27" t="n">
        <v>6452664</v>
      </c>
      <c r="B726" s="27" t="n">
        <v>905710</v>
      </c>
      <c r="C726" s="27" t="inlineStr">
        <is>
          <t>CollectedByCustomer</t>
        </is>
      </c>
      <c r="D726" s="41" t="n">
        <v>45973.15348060185</v>
      </c>
      <c r="E726" s="27" t="n">
        <v>-25.823567</v>
      </c>
      <c r="F726" s="27" t="n">
        <v>30.890333</v>
      </c>
      <c r="G726" s="27" t="inlineStr">
        <is>
          <t>Closed</t>
        </is>
      </c>
      <c r="H726" s="27" t="inlineStr">
        <is>
          <t>PartnerPOS</t>
        </is>
      </c>
      <c r="I726" s="27" t="inlineStr">
        <is>
          <t>11</t>
        </is>
      </c>
      <c r="J726" s="27" t="n">
        <v>2025</v>
      </c>
    </row>
    <row r="727" ht="15" customHeight="1" s="24">
      <c r="A727" s="27" t="n">
        <v>6072567</v>
      </c>
      <c r="B727" s="27" t="n">
        <v>863481</v>
      </c>
      <c r="C727" s="27" t="inlineStr">
        <is>
          <t>CollectedFromRetailer</t>
        </is>
      </c>
      <c r="D727" s="41" t="n">
        <v>45973.32073804398</v>
      </c>
      <c r="E727" s="27" t="n">
        <v>-26.59823</v>
      </c>
      <c r="F727" s="27" t="n">
        <v>28.856558</v>
      </c>
      <c r="G727" s="27" t="inlineStr">
        <is>
          <t>Open</t>
        </is>
      </c>
      <c r="H727" s="27" t="inlineStr">
        <is>
          <t>API</t>
        </is>
      </c>
      <c r="I727" s="27" t="inlineStr">
        <is>
          <t>11</t>
        </is>
      </c>
      <c r="J727" s="27" t="n">
        <v>2025</v>
      </c>
    </row>
    <row r="728" ht="15" customHeight="1" s="24">
      <c r="A728" s="27" t="n">
        <v>6058224</v>
      </c>
      <c r="B728" s="27" t="n">
        <v>917447</v>
      </c>
      <c r="C728" s="27" t="inlineStr">
        <is>
          <t>Created</t>
        </is>
      </c>
      <c r="D728" s="41" t="n">
        <v>45974.0061968287</v>
      </c>
      <c r="E728" s="27" t="n">
        <v>-27.885797</v>
      </c>
      <c r="F728" s="27" t="n">
        <v>27.42718</v>
      </c>
      <c r="G728" s="27" t="inlineStr">
        <is>
          <t>Open</t>
        </is>
      </c>
      <c r="H728" s="27" t="inlineStr">
        <is>
          <t>PartnerPOS</t>
        </is>
      </c>
      <c r="I728" s="27" t="inlineStr">
        <is>
          <t>11</t>
        </is>
      </c>
      <c r="J728" s="27" t="n">
        <v>2025</v>
      </c>
    </row>
    <row r="729" ht="15" customHeight="1" s="24">
      <c r="A729" s="27" t="n">
        <v>6259744</v>
      </c>
      <c r="B729" s="27" t="n">
        <v>914040</v>
      </c>
      <c r="C729" s="27" t="inlineStr">
        <is>
          <t>InLinehaul</t>
        </is>
      </c>
      <c r="D729" s="41" t="n">
        <v>45974.45229278935</v>
      </c>
      <c r="E729" s="27" t="n">
        <v>-25.286587</v>
      </c>
      <c r="F729" s="27" t="n">
        <v>27.698315</v>
      </c>
      <c r="G729" s="27" t="inlineStr">
        <is>
          <t>Open</t>
        </is>
      </c>
      <c r="H729" s="27" t="inlineStr">
        <is>
          <t>ScannerApp</t>
        </is>
      </c>
      <c r="I729" s="27" t="inlineStr">
        <is>
          <t>11</t>
        </is>
      </c>
      <c r="J729" s="27" t="n">
        <v>2025</v>
      </c>
    </row>
    <row r="730" ht="15" customHeight="1" s="24">
      <c r="A730" s="27" t="n">
        <v>6442536</v>
      </c>
      <c r="B730" s="27" t="n">
        <v>894779</v>
      </c>
      <c r="C730" s="27" t="inlineStr">
        <is>
          <t>CollectedByCustomer</t>
        </is>
      </c>
      <c r="D730" s="41" t="n">
        <v>45974.73460103009</v>
      </c>
      <c r="E730" s="27" t="n">
        <v>-25.369297</v>
      </c>
      <c r="F730" s="27" t="n">
        <v>29.339417</v>
      </c>
      <c r="G730" s="27" t="inlineStr">
        <is>
          <t>Closed</t>
        </is>
      </c>
      <c r="H730" s="27" t="inlineStr">
        <is>
          <t>API</t>
        </is>
      </c>
      <c r="I730" s="27" t="inlineStr">
        <is>
          <t>11</t>
        </is>
      </c>
      <c r="J730" s="27" t="n">
        <v>2025</v>
      </c>
    </row>
    <row r="731" ht="15" customHeight="1" s="24">
      <c r="A731" s="27" t="n">
        <v>6006215</v>
      </c>
      <c r="B731" s="27" t="n">
        <v>865438</v>
      </c>
      <c r="C731" s="27" t="inlineStr">
        <is>
          <t>Created</t>
        </is>
      </c>
      <c r="D731" s="41" t="n">
        <v>45975.77047991898</v>
      </c>
      <c r="E731" s="27" t="n">
        <v>-27.249304</v>
      </c>
      <c r="F731" s="27" t="n">
        <v>32.393017</v>
      </c>
      <c r="G731" s="27" t="inlineStr">
        <is>
          <t>Open</t>
        </is>
      </c>
      <c r="H731" s="27" t="inlineStr">
        <is>
          <t>PartnerPOS</t>
        </is>
      </c>
      <c r="I731" s="27" t="inlineStr">
        <is>
          <t>11</t>
        </is>
      </c>
      <c r="J731" s="27" t="n">
        <v>2025</v>
      </c>
    </row>
    <row r="732" ht="15" customHeight="1" s="24">
      <c r="A732" s="27" t="n">
        <v>6461224</v>
      </c>
      <c r="B732" s="27" t="n">
        <v>915038</v>
      </c>
      <c r="C732" s="27" t="inlineStr">
        <is>
          <t>CollectedByCustomer</t>
        </is>
      </c>
      <c r="D732" s="41" t="n">
        <v>45976.91742626157</v>
      </c>
      <c r="E732" s="27" t="n">
        <v>-32.496982</v>
      </c>
      <c r="F732" s="27" t="n">
        <v>28.038995</v>
      </c>
      <c r="G732" s="27" t="inlineStr">
        <is>
          <t>Closed</t>
        </is>
      </c>
      <c r="H732" s="27" t="inlineStr">
        <is>
          <t>PartnerPOS</t>
        </is>
      </c>
      <c r="I732" s="27" t="inlineStr">
        <is>
          <t>11</t>
        </is>
      </c>
      <c r="J732" s="27" t="n">
        <v>2025</v>
      </c>
    </row>
    <row r="733" ht="15" customHeight="1" s="24">
      <c r="A733" s="27" t="n">
        <v>6108899</v>
      </c>
      <c r="B733" s="27" t="n">
        <v>899813</v>
      </c>
      <c r="C733" s="27" t="inlineStr">
        <is>
          <t>CollectedFromRetailer</t>
        </is>
      </c>
      <c r="D733" s="41" t="n">
        <v>45977.17915439815</v>
      </c>
      <c r="E733" s="27" t="n">
        <v>-26.593115</v>
      </c>
      <c r="F733" s="27" t="n">
        <v>27.085136</v>
      </c>
      <c r="G733" s="27" t="inlineStr">
        <is>
          <t>Open</t>
        </is>
      </c>
      <c r="H733" s="27" t="inlineStr">
        <is>
          <t>PartnerPOS</t>
        </is>
      </c>
      <c r="I733" s="27" t="inlineStr">
        <is>
          <t>11</t>
        </is>
      </c>
      <c r="J733" s="27" t="n">
        <v>2025</v>
      </c>
    </row>
    <row r="734" ht="15" customHeight="1" s="24">
      <c r="A734" s="27" t="n">
        <v>6185686</v>
      </c>
      <c r="B734" s="27" t="n">
        <v>908291</v>
      </c>
      <c r="C734" s="27" t="inlineStr">
        <is>
          <t>AtHub</t>
        </is>
      </c>
      <c r="D734" s="41" t="n">
        <v>45977.4439605787</v>
      </c>
      <c r="E734" s="27" t="n">
        <v>-25.638276</v>
      </c>
      <c r="F734" s="27" t="n">
        <v>27.528134</v>
      </c>
      <c r="G734" s="27" t="inlineStr">
        <is>
          <t>Open</t>
        </is>
      </c>
      <c r="H734" s="27" t="inlineStr">
        <is>
          <t>PartnerPOS</t>
        </is>
      </c>
      <c r="I734" s="27" t="inlineStr">
        <is>
          <t>11</t>
        </is>
      </c>
      <c r="J734" s="27" t="n">
        <v>2025</v>
      </c>
    </row>
    <row r="735" ht="15" customHeight="1" s="24">
      <c r="A735" s="27" t="n">
        <v>6075210</v>
      </c>
      <c r="B735" s="27" t="n">
        <v>866124</v>
      </c>
      <c r="C735" s="27" t="inlineStr">
        <is>
          <t>CollectedFromRetailer</t>
        </is>
      </c>
      <c r="D735" s="41" t="n">
        <v>45978.36421079861</v>
      </c>
      <c r="E735" s="27" t="n">
        <v>-27.586826</v>
      </c>
      <c r="F735" s="27" t="n">
        <v>25.315225</v>
      </c>
      <c r="G735" s="27" t="inlineStr">
        <is>
          <t>Open</t>
        </is>
      </c>
      <c r="H735" s="27" t="inlineStr">
        <is>
          <t>API</t>
        </is>
      </c>
      <c r="I735" s="27" t="inlineStr">
        <is>
          <t>11</t>
        </is>
      </c>
      <c r="J735" s="27" t="n">
        <v>2025</v>
      </c>
    </row>
    <row r="736" ht="15" customHeight="1" s="24">
      <c r="A736" s="27" t="n">
        <v>6228026</v>
      </c>
      <c r="B736" s="27" t="n">
        <v>882322</v>
      </c>
      <c r="C736" s="27" t="inlineStr">
        <is>
          <t>InLinehaul</t>
        </is>
      </c>
      <c r="D736" s="41" t="n">
        <v>45978.39202489583</v>
      </c>
      <c r="E736" s="27" t="n">
        <v>-29.013022</v>
      </c>
      <c r="F736" s="27" t="n">
        <v>19.788459</v>
      </c>
      <c r="G736" s="27" t="inlineStr">
        <is>
          <t>Open</t>
        </is>
      </c>
      <c r="H736" s="27" t="inlineStr">
        <is>
          <t>CourierGPS</t>
        </is>
      </c>
      <c r="I736" s="27" t="inlineStr">
        <is>
          <t>11</t>
        </is>
      </c>
      <c r="J736" s="27" t="n">
        <v>2025</v>
      </c>
    </row>
    <row r="737" ht="15" customHeight="1" s="24">
      <c r="A737" s="27" t="n">
        <v>6445920</v>
      </c>
      <c r="B737" s="27" t="n">
        <v>898443</v>
      </c>
      <c r="C737" s="27" t="inlineStr">
        <is>
          <t>CollectedByCustomer</t>
        </is>
      </c>
      <c r="D737" s="41" t="n">
        <v>45979.10426570602</v>
      </c>
      <c r="E737" s="27" t="n">
        <v>-25.687804</v>
      </c>
      <c r="F737" s="27" t="n">
        <v>28.443819</v>
      </c>
      <c r="G737" s="27" t="inlineStr">
        <is>
          <t>Closed</t>
        </is>
      </c>
      <c r="H737" s="27" t="inlineStr">
        <is>
          <t>CourierGPS</t>
        </is>
      </c>
      <c r="I737" s="27" t="inlineStr">
        <is>
          <t>11</t>
        </is>
      </c>
      <c r="J737" s="27" t="n">
        <v>2025</v>
      </c>
    </row>
    <row r="738" ht="15" customHeight="1" s="24">
      <c r="A738" s="27" t="n">
        <v>6371898</v>
      </c>
      <c r="B738" s="27" t="n">
        <v>889761</v>
      </c>
      <c r="C738" s="27" t="inlineStr">
        <is>
          <t>CustomerNotified</t>
        </is>
      </c>
      <c r="D738" s="41" t="n">
        <v>45979.41991517361</v>
      </c>
      <c r="E738" s="27" t="n">
        <v>-24.25086</v>
      </c>
      <c r="F738" s="27" t="n">
        <v>29.584317</v>
      </c>
      <c r="G738" s="27" t="inlineStr">
        <is>
          <t>Open</t>
        </is>
      </c>
      <c r="H738" s="27" t="inlineStr">
        <is>
          <t>API</t>
        </is>
      </c>
      <c r="I738" s="27" t="inlineStr">
        <is>
          <t>11</t>
        </is>
      </c>
      <c r="J738" s="27" t="n">
        <v>2025</v>
      </c>
    </row>
    <row r="739" ht="15" customHeight="1" s="24">
      <c r="A739" s="27" t="n">
        <v>6408391</v>
      </c>
      <c r="B739" s="27" t="n">
        <v>926317</v>
      </c>
      <c r="C739" s="27" t="inlineStr">
        <is>
          <t>CustomerNotified</t>
        </is>
      </c>
      <c r="D739" s="41" t="n">
        <v>45979.49579920139</v>
      </c>
      <c r="E739" s="27" t="n">
        <v>-26.179187</v>
      </c>
      <c r="F739" s="27" t="n">
        <v>28.68368</v>
      </c>
      <c r="G739" s="27" t="inlineStr">
        <is>
          <t>Open</t>
        </is>
      </c>
      <c r="H739" s="27" t="inlineStr">
        <is>
          <t>ScannerApp</t>
        </is>
      </c>
      <c r="I739" s="27" t="inlineStr">
        <is>
          <t>11</t>
        </is>
      </c>
      <c r="J739" s="27" t="n">
        <v>2025</v>
      </c>
    </row>
    <row r="740" ht="15" customHeight="1" s="24">
      <c r="A740" s="27" t="n">
        <v>6297306</v>
      </c>
      <c r="B740" s="27" t="n">
        <v>883338</v>
      </c>
      <c r="C740" s="27" t="inlineStr">
        <is>
          <t>ArrivedAtPickupPoint</t>
        </is>
      </c>
      <c r="D740" s="41" t="n">
        <v>45979.73151105324</v>
      </c>
      <c r="E740" s="27" t="n">
        <v>-26.461738</v>
      </c>
      <c r="F740" s="27" t="n">
        <v>27.736884</v>
      </c>
      <c r="G740" s="27" t="inlineStr">
        <is>
          <t>Open</t>
        </is>
      </c>
      <c r="H740" s="27" t="inlineStr">
        <is>
          <t>ScannerApp</t>
        </is>
      </c>
      <c r="I740" s="27" t="inlineStr">
        <is>
          <t>11</t>
        </is>
      </c>
      <c r="J740" s="27" t="n">
        <v>2025</v>
      </c>
    </row>
    <row r="741" ht="15" customHeight="1" s="24">
      <c r="A741" s="27" t="n">
        <v>6134308</v>
      </c>
      <c r="B741" s="27" t="n">
        <v>925222</v>
      </c>
      <c r="C741" s="27" t="inlineStr">
        <is>
          <t>CollectedFromRetailer</t>
        </is>
      </c>
      <c r="D741" s="41" t="n">
        <v>45980.18600155092</v>
      </c>
      <c r="E741" s="27" t="n">
        <v>-25.827315</v>
      </c>
      <c r="F741" s="27" t="n">
        <v>28.139075</v>
      </c>
      <c r="G741" s="27" t="inlineStr">
        <is>
          <t>Open</t>
        </is>
      </c>
      <c r="H741" s="27" t="inlineStr">
        <is>
          <t>PartnerPOS</t>
        </is>
      </c>
      <c r="I741" s="27" t="inlineStr">
        <is>
          <t>11</t>
        </is>
      </c>
      <c r="J741" s="27" t="n">
        <v>2025</v>
      </c>
    </row>
    <row r="742" ht="15" customHeight="1" s="24">
      <c r="A742" s="27" t="n">
        <v>6087760</v>
      </c>
      <c r="B742" s="27" t="n">
        <v>878674</v>
      </c>
      <c r="C742" s="27" t="inlineStr">
        <is>
          <t>CollectedFromRetailer</t>
        </is>
      </c>
      <c r="D742" s="41" t="n">
        <v>45981.03943028935</v>
      </c>
      <c r="E742" s="27" t="n">
        <v>-24.163233</v>
      </c>
      <c r="F742" s="27" t="n">
        <v>27.769549</v>
      </c>
      <c r="G742" s="27" t="inlineStr">
        <is>
          <t>Open</t>
        </is>
      </c>
      <c r="H742" s="27" t="inlineStr">
        <is>
          <t>ScannerApp</t>
        </is>
      </c>
      <c r="I742" s="27" t="inlineStr">
        <is>
          <t>11</t>
        </is>
      </c>
      <c r="J742" s="27" t="n">
        <v>2025</v>
      </c>
    </row>
    <row r="743" ht="15" customHeight="1" s="24">
      <c r="A743" s="27" t="n">
        <v>6305467</v>
      </c>
      <c r="B743" s="27" t="n">
        <v>891517</v>
      </c>
      <c r="C743" s="27" t="inlineStr">
        <is>
          <t>ArrivedAtPickupPoint</t>
        </is>
      </c>
      <c r="D743" s="41" t="n">
        <v>45981.28135792824</v>
      </c>
      <c r="E743" s="27" t="n">
        <v>-26.624243</v>
      </c>
      <c r="F743" s="27" t="n">
        <v>27.78417</v>
      </c>
      <c r="G743" s="27" t="inlineStr">
        <is>
          <t>Open</t>
        </is>
      </c>
      <c r="H743" s="27" t="inlineStr">
        <is>
          <t>CourierGPS</t>
        </is>
      </c>
      <c r="I743" s="27" t="inlineStr">
        <is>
          <t>11</t>
        </is>
      </c>
      <c r="J743" s="27" t="n">
        <v>2025</v>
      </c>
    </row>
    <row r="744" ht="15" customHeight="1" s="24">
      <c r="A744" s="27" t="n">
        <v>6040870</v>
      </c>
      <c r="B744" s="27" t="n">
        <v>900093</v>
      </c>
      <c r="C744" s="27" t="inlineStr">
        <is>
          <t>Created</t>
        </is>
      </c>
      <c r="D744" s="41" t="n">
        <v>45981.5323796412</v>
      </c>
      <c r="E744" s="27" t="n">
        <v>-30.190761</v>
      </c>
      <c r="F744" s="27" t="n">
        <v>30.232413</v>
      </c>
      <c r="G744" s="27" t="inlineStr">
        <is>
          <t>Open</t>
        </is>
      </c>
      <c r="H744" s="27" t="inlineStr">
        <is>
          <t>ScannerApp</t>
        </is>
      </c>
      <c r="I744" s="27" t="inlineStr">
        <is>
          <t>11</t>
        </is>
      </c>
      <c r="J744" s="27" t="n">
        <v>2025</v>
      </c>
    </row>
    <row r="745" ht="15" customHeight="1" s="24">
      <c r="A745" s="27" t="n">
        <v>6004849</v>
      </c>
      <c r="B745" s="27" t="n">
        <v>864072</v>
      </c>
      <c r="C745" s="27" t="inlineStr">
        <is>
          <t>Created</t>
        </is>
      </c>
      <c r="D745" s="41" t="n">
        <v>45982.0317059838</v>
      </c>
      <c r="E745" s="27" t="n">
        <v>-31.359447</v>
      </c>
      <c r="F745" s="27" t="n">
        <v>27.330945</v>
      </c>
      <c r="G745" s="27" t="inlineStr">
        <is>
          <t>Open</t>
        </is>
      </c>
      <c r="H745" s="27" t="inlineStr">
        <is>
          <t>PartnerPOS</t>
        </is>
      </c>
      <c r="I745" s="27" t="inlineStr">
        <is>
          <t>11</t>
        </is>
      </c>
      <c r="J745" s="27" t="n">
        <v>2025</v>
      </c>
    </row>
    <row r="746" ht="15" customHeight="1" s="24">
      <c r="A746" s="27" t="n">
        <v>6010707</v>
      </c>
      <c r="B746" s="27" t="n">
        <v>869930</v>
      </c>
      <c r="C746" s="27" t="inlineStr">
        <is>
          <t>Created</t>
        </is>
      </c>
      <c r="D746" s="41" t="n">
        <v>45982.1225034838</v>
      </c>
      <c r="E746" s="27" t="n">
        <v>-32.760849</v>
      </c>
      <c r="F746" s="27" t="n">
        <v>28.058888</v>
      </c>
      <c r="G746" s="27" t="inlineStr">
        <is>
          <t>Open</t>
        </is>
      </c>
      <c r="H746" s="27" t="inlineStr">
        <is>
          <t>API</t>
        </is>
      </c>
      <c r="I746" s="27" t="inlineStr">
        <is>
          <t>11</t>
        </is>
      </c>
      <c r="J746" s="27" t="n">
        <v>2025</v>
      </c>
    </row>
    <row r="747" ht="15" customHeight="1" s="24">
      <c r="A747" s="27" t="n">
        <v>6158560</v>
      </c>
      <c r="B747" s="27" t="n">
        <v>881165</v>
      </c>
      <c r="C747" s="27" t="inlineStr">
        <is>
          <t>AtHub</t>
        </is>
      </c>
      <c r="D747" s="41" t="n">
        <v>45982.13605550926</v>
      </c>
      <c r="E747" s="27" t="n">
        <v>-29.907964</v>
      </c>
      <c r="F747" s="27" t="n">
        <v>29.871948</v>
      </c>
      <c r="G747" s="27" t="inlineStr">
        <is>
          <t>Open</t>
        </is>
      </c>
      <c r="H747" s="27" t="inlineStr">
        <is>
          <t>ScannerApp</t>
        </is>
      </c>
      <c r="I747" s="27" t="inlineStr">
        <is>
          <t>11</t>
        </is>
      </c>
      <c r="J747" s="27" t="n">
        <v>2025</v>
      </c>
    </row>
    <row r="748" ht="15" customHeight="1" s="24">
      <c r="A748" s="27" t="n">
        <v>6228741</v>
      </c>
      <c r="B748" s="27" t="n">
        <v>883037</v>
      </c>
      <c r="C748" s="27" t="inlineStr">
        <is>
          <t>InLinehaul</t>
        </is>
      </c>
      <c r="D748" s="41" t="n">
        <v>45982.1394144213</v>
      </c>
      <c r="E748" s="27" t="n">
        <v>-27.883251</v>
      </c>
      <c r="F748" s="27" t="n">
        <v>22.739183</v>
      </c>
      <c r="G748" s="27" t="inlineStr">
        <is>
          <t>Open</t>
        </is>
      </c>
      <c r="H748" s="27" t="inlineStr">
        <is>
          <t>ScannerApp</t>
        </is>
      </c>
      <c r="I748" s="27" t="inlineStr">
        <is>
          <t>11</t>
        </is>
      </c>
      <c r="J748" s="27" t="n">
        <v>2025</v>
      </c>
    </row>
    <row r="749" ht="15" customHeight="1" s="24">
      <c r="A749" s="27" t="n">
        <v>6028801</v>
      </c>
      <c r="B749" s="27" t="n">
        <v>888024</v>
      </c>
      <c r="C749" s="27" t="inlineStr">
        <is>
          <t>Created</t>
        </is>
      </c>
      <c r="D749" s="41" t="n">
        <v>45982.86542271991</v>
      </c>
      <c r="E749" s="27" t="n">
        <v>-25.572815</v>
      </c>
      <c r="F749" s="27" t="n">
        <v>28.573564</v>
      </c>
      <c r="G749" s="27" t="inlineStr">
        <is>
          <t>Open</t>
        </is>
      </c>
      <c r="H749" s="27" t="inlineStr">
        <is>
          <t>ScannerApp</t>
        </is>
      </c>
      <c r="I749" s="27" t="inlineStr">
        <is>
          <t>11</t>
        </is>
      </c>
      <c r="J749" s="27" t="n">
        <v>2025</v>
      </c>
    </row>
    <row r="750" ht="15" customHeight="1" s="24">
      <c r="A750" s="27" t="n">
        <v>6007286</v>
      </c>
      <c r="B750" s="27" t="n">
        <v>866509</v>
      </c>
      <c r="C750" s="27" t="inlineStr">
        <is>
          <t>Created</t>
        </is>
      </c>
      <c r="D750" s="41" t="n">
        <v>45982.89152138889</v>
      </c>
      <c r="E750" s="27" t="n">
        <v>-26.455653</v>
      </c>
      <c r="F750" s="27" t="n">
        <v>27.35432</v>
      </c>
      <c r="G750" s="27" t="inlineStr">
        <is>
          <t>Open</t>
        </is>
      </c>
      <c r="H750" s="27" t="inlineStr">
        <is>
          <t>CourierGPS</t>
        </is>
      </c>
      <c r="I750" s="27" t="inlineStr">
        <is>
          <t>11</t>
        </is>
      </c>
      <c r="J750" s="27" t="n">
        <v>2025</v>
      </c>
    </row>
    <row r="751" ht="15" customHeight="1" s="24">
      <c r="A751" s="27" t="n">
        <v>6187574</v>
      </c>
      <c r="B751" s="27" t="n">
        <v>910179</v>
      </c>
      <c r="C751" s="27" t="inlineStr">
        <is>
          <t>AtHub</t>
        </is>
      </c>
      <c r="D751" s="41" t="n">
        <v>45983.11342302083</v>
      </c>
      <c r="E751" s="27" t="n">
        <v>-27.541317</v>
      </c>
      <c r="F751" s="27" t="n">
        <v>28.659421</v>
      </c>
      <c r="G751" s="27" t="inlineStr">
        <is>
          <t>Open</t>
        </is>
      </c>
      <c r="H751" s="27" t="inlineStr">
        <is>
          <t>PartnerPOS</t>
        </is>
      </c>
      <c r="I751" s="27" t="inlineStr">
        <is>
          <t>11</t>
        </is>
      </c>
      <c r="J751" s="27" t="n">
        <v>2025</v>
      </c>
    </row>
    <row r="752" ht="15" customHeight="1" s="24">
      <c r="A752" s="27" t="n">
        <v>6190210</v>
      </c>
      <c r="B752" s="27" t="n">
        <v>912815</v>
      </c>
      <c r="C752" s="27" t="inlineStr">
        <is>
          <t>AtHub</t>
        </is>
      </c>
      <c r="D752" s="41" t="n">
        <v>45983.86693627315</v>
      </c>
      <c r="E752" s="27" t="n">
        <v>-30.292257</v>
      </c>
      <c r="F752" s="27" t="n">
        <v>31.025109</v>
      </c>
      <c r="G752" s="27" t="inlineStr">
        <is>
          <t>Open</t>
        </is>
      </c>
      <c r="H752" s="27" t="inlineStr">
        <is>
          <t>ScannerApp</t>
        </is>
      </c>
      <c r="I752" s="27" t="inlineStr">
        <is>
          <t>11</t>
        </is>
      </c>
      <c r="J752" s="27" t="n">
        <v>2025</v>
      </c>
    </row>
    <row r="753" ht="15" customHeight="1" s="24">
      <c r="A753" s="27" t="n">
        <v>6247094</v>
      </c>
      <c r="B753" s="27" t="n">
        <v>901390</v>
      </c>
      <c r="C753" s="27" t="inlineStr">
        <is>
          <t>InLinehaul</t>
        </is>
      </c>
      <c r="D753" s="41" t="n">
        <v>45984.20490344908</v>
      </c>
      <c r="E753" s="27" t="n">
        <v>-32.1544</v>
      </c>
      <c r="F753" s="27" t="n">
        <v>22.316071</v>
      </c>
      <c r="G753" s="27" t="inlineStr">
        <is>
          <t>Open</t>
        </is>
      </c>
      <c r="H753" s="27" t="inlineStr">
        <is>
          <t>PartnerPOS</t>
        </is>
      </c>
      <c r="I753" s="27" t="inlineStr">
        <is>
          <t>11</t>
        </is>
      </c>
      <c r="J753" s="27" t="n">
        <v>2025</v>
      </c>
    </row>
    <row r="754" ht="15" customHeight="1" s="24">
      <c r="A754" s="27" t="n">
        <v>6263094</v>
      </c>
      <c r="B754" s="27" t="n">
        <v>917390</v>
      </c>
      <c r="C754" s="27" t="inlineStr">
        <is>
          <t>InLinehaul</t>
        </is>
      </c>
      <c r="D754" s="41" t="n">
        <v>45986.23596336805</v>
      </c>
      <c r="E754" s="27" t="n">
        <v>-33.084995</v>
      </c>
      <c r="F754" s="27" t="n">
        <v>23.481243</v>
      </c>
      <c r="G754" s="27" t="inlineStr">
        <is>
          <t>Open</t>
        </is>
      </c>
      <c r="H754" s="27" t="inlineStr">
        <is>
          <t>PartnerPOS</t>
        </is>
      </c>
      <c r="I754" s="27" t="inlineStr">
        <is>
          <t>11</t>
        </is>
      </c>
      <c r="J754" s="27" t="n">
        <v>2025</v>
      </c>
    </row>
    <row r="755" ht="15" customHeight="1" s="24">
      <c r="A755" s="27" t="n">
        <v>6432065</v>
      </c>
      <c r="B755" s="27" t="n">
        <v>883398</v>
      </c>
      <c r="C755" s="27" t="inlineStr">
        <is>
          <t>CollectedByCustomer</t>
        </is>
      </c>
      <c r="D755" s="41" t="n">
        <v>45986.60907012731</v>
      </c>
      <c r="E755" s="27" t="n">
        <v>-25.56342</v>
      </c>
      <c r="F755" s="27" t="n">
        <v>24.401136</v>
      </c>
      <c r="G755" s="27" t="inlineStr">
        <is>
          <t>Closed</t>
        </is>
      </c>
      <c r="H755" s="27" t="inlineStr">
        <is>
          <t>CourierGPS</t>
        </is>
      </c>
      <c r="I755" s="27" t="inlineStr">
        <is>
          <t>11</t>
        </is>
      </c>
      <c r="J755" s="27" t="n">
        <v>2025</v>
      </c>
    </row>
    <row r="756" ht="15" customHeight="1" s="24">
      <c r="A756" s="27" t="n">
        <v>6113642</v>
      </c>
      <c r="B756" s="27" t="n">
        <v>904556</v>
      </c>
      <c r="C756" s="27" t="inlineStr">
        <is>
          <t>CollectedFromRetailer</t>
        </is>
      </c>
      <c r="D756" s="41" t="n">
        <v>45986.61628627315</v>
      </c>
      <c r="E756" s="27" t="n">
        <v>-31.087554</v>
      </c>
      <c r="F756" s="27" t="n">
        <v>27.415462</v>
      </c>
      <c r="G756" s="27" t="inlineStr">
        <is>
          <t>Open</t>
        </is>
      </c>
      <c r="H756" s="27" t="inlineStr">
        <is>
          <t>PartnerPOS</t>
        </is>
      </c>
      <c r="I756" s="27" t="inlineStr">
        <is>
          <t>11</t>
        </is>
      </c>
      <c r="J756" s="27" t="n">
        <v>2025</v>
      </c>
    </row>
    <row r="757" ht="15" customHeight="1" s="24">
      <c r="A757" s="27" t="n">
        <v>6467901</v>
      </c>
      <c r="B757" s="27" t="n">
        <v>922264</v>
      </c>
      <c r="C757" s="27" t="inlineStr">
        <is>
          <t>CollectedByCustomer</t>
        </is>
      </c>
      <c r="D757" s="41" t="n">
        <v>45988.03767880787</v>
      </c>
      <c r="E757" s="27" t="n">
        <v>-26.706247</v>
      </c>
      <c r="F757" s="27" t="n">
        <v>26.562504</v>
      </c>
      <c r="G757" s="27" t="inlineStr">
        <is>
          <t>Closed</t>
        </is>
      </c>
      <c r="H757" s="27" t="inlineStr">
        <is>
          <t>ScannerApp</t>
        </is>
      </c>
      <c r="I757" s="27" t="inlineStr">
        <is>
          <t>11</t>
        </is>
      </c>
      <c r="J757" s="27" t="n">
        <v>2025</v>
      </c>
    </row>
    <row r="758" ht="15" customHeight="1" s="24">
      <c r="A758" s="27" t="n">
        <v>6205085</v>
      </c>
      <c r="B758" s="27" t="n">
        <v>927690</v>
      </c>
      <c r="C758" s="27" t="inlineStr">
        <is>
          <t>AtHub</t>
        </is>
      </c>
      <c r="D758" s="41" t="n">
        <v>45988.50325778935</v>
      </c>
      <c r="E758" s="27" t="n">
        <v>-25.790308</v>
      </c>
      <c r="F758" s="27" t="n">
        <v>26.922375</v>
      </c>
      <c r="G758" s="27" t="inlineStr">
        <is>
          <t>Open</t>
        </is>
      </c>
      <c r="H758" s="27" t="inlineStr">
        <is>
          <t>ScannerApp</t>
        </is>
      </c>
      <c r="I758" s="27" t="inlineStr">
        <is>
          <t>11</t>
        </is>
      </c>
      <c r="J758" s="27" t="n">
        <v>2025</v>
      </c>
    </row>
    <row r="759" ht="15" customHeight="1" s="24">
      <c r="A759" s="27" t="n">
        <v>6052225</v>
      </c>
      <c r="B759" s="27" t="n">
        <v>911448</v>
      </c>
      <c r="C759" s="27" t="inlineStr">
        <is>
          <t>Created</t>
        </is>
      </c>
      <c r="D759" s="41" t="n">
        <v>45988.68921792824</v>
      </c>
      <c r="E759" s="27" t="n">
        <v>-25.337811</v>
      </c>
      <c r="F759" s="27" t="n">
        <v>28.339907</v>
      </c>
      <c r="G759" s="27" t="inlineStr">
        <is>
          <t>Open</t>
        </is>
      </c>
      <c r="H759" s="27" t="inlineStr">
        <is>
          <t>ScannerApp</t>
        </is>
      </c>
      <c r="I759" s="27" t="inlineStr">
        <is>
          <t>11</t>
        </is>
      </c>
      <c r="J759" s="27" t="n">
        <v>2025</v>
      </c>
    </row>
    <row r="760" ht="15" customHeight="1" s="24">
      <c r="A760" s="27" t="n">
        <v>6065790</v>
      </c>
      <c r="B760" s="27" t="n">
        <v>925013</v>
      </c>
      <c r="C760" s="27" t="inlineStr">
        <is>
          <t>Created</t>
        </is>
      </c>
      <c r="D760" s="41" t="n">
        <v>45988.8916234375</v>
      </c>
      <c r="E760" s="27" t="n">
        <v>-24.829276</v>
      </c>
      <c r="F760" s="27" t="n">
        <v>26.543176</v>
      </c>
      <c r="G760" s="27" t="inlineStr">
        <is>
          <t>Open</t>
        </is>
      </c>
      <c r="H760" s="27" t="inlineStr">
        <is>
          <t>API</t>
        </is>
      </c>
      <c r="I760" s="27" t="inlineStr">
        <is>
          <t>11</t>
        </is>
      </c>
      <c r="J760" s="27" t="n">
        <v>2025</v>
      </c>
    </row>
    <row r="761" ht="15" customHeight="1" s="24">
      <c r="A761" s="27" t="n">
        <v>6027100</v>
      </c>
      <c r="B761" s="27" t="n">
        <v>886323</v>
      </c>
      <c r="C761" s="27" t="inlineStr">
        <is>
          <t>Created</t>
        </is>
      </c>
      <c r="D761" s="41" t="n">
        <v>45989.28461045139</v>
      </c>
      <c r="E761" s="27" t="n">
        <v>-31.892376</v>
      </c>
      <c r="F761" s="27" t="n">
        <v>23.017959</v>
      </c>
      <c r="G761" s="27" t="inlineStr">
        <is>
          <t>Open</t>
        </is>
      </c>
      <c r="H761" s="27" t="inlineStr">
        <is>
          <t>PartnerPOS</t>
        </is>
      </c>
      <c r="I761" s="27" t="inlineStr">
        <is>
          <t>11</t>
        </is>
      </c>
      <c r="J761" s="27" t="n">
        <v>2025</v>
      </c>
    </row>
    <row r="762" ht="15" customHeight="1" s="24">
      <c r="A762" s="27" t="n">
        <v>6122456</v>
      </c>
      <c r="B762" s="27" t="n">
        <v>913370</v>
      </c>
      <c r="C762" s="27" t="inlineStr">
        <is>
          <t>CollectedFromRetailer</t>
        </is>
      </c>
      <c r="D762" s="41" t="n">
        <v>45990.09549877315</v>
      </c>
      <c r="E762" s="27" t="n">
        <v>-26.549264</v>
      </c>
      <c r="F762" s="27" t="n">
        <v>28.527658</v>
      </c>
      <c r="G762" s="27" t="inlineStr">
        <is>
          <t>Open</t>
        </is>
      </c>
      <c r="H762" s="27" t="inlineStr">
        <is>
          <t>CourierGPS</t>
        </is>
      </c>
      <c r="I762" s="27" t="inlineStr">
        <is>
          <t>11</t>
        </is>
      </c>
      <c r="J762" s="27" t="n">
        <v>2025</v>
      </c>
    </row>
    <row r="763" ht="15" customHeight="1" s="24">
      <c r="A763" s="27" t="n">
        <v>6001526</v>
      </c>
      <c r="B763" s="27" t="n">
        <v>860749</v>
      </c>
      <c r="C763" s="27" t="inlineStr">
        <is>
          <t>Created</t>
        </is>
      </c>
      <c r="D763" s="41" t="n">
        <v>45990.47322591435</v>
      </c>
      <c r="E763" s="27" t="n">
        <v>-30.490672</v>
      </c>
      <c r="F763" s="27" t="n">
        <v>29.077523</v>
      </c>
      <c r="G763" s="27" t="inlineStr">
        <is>
          <t>Open</t>
        </is>
      </c>
      <c r="H763" s="27" t="inlineStr">
        <is>
          <t>PartnerPOS</t>
        </is>
      </c>
      <c r="I763" s="27" t="inlineStr">
        <is>
          <t>11</t>
        </is>
      </c>
      <c r="J763" s="27" t="n">
        <v>2025</v>
      </c>
    </row>
    <row r="764" ht="15" customHeight="1" s="24">
      <c r="A764" s="27" t="n">
        <v>6029626</v>
      </c>
      <c r="B764" s="27" t="n">
        <v>888849</v>
      </c>
      <c r="C764" s="27" t="inlineStr">
        <is>
          <t>Created</t>
        </is>
      </c>
      <c r="D764" s="41" t="n">
        <v>45990.51438298611</v>
      </c>
      <c r="E764" s="27" t="n">
        <v>-30.302409</v>
      </c>
      <c r="F764" s="27" t="n">
        <v>27.472288</v>
      </c>
      <c r="G764" s="27" t="inlineStr">
        <is>
          <t>Open</t>
        </is>
      </c>
      <c r="H764" s="27" t="inlineStr">
        <is>
          <t>ScannerApp</t>
        </is>
      </c>
      <c r="I764" s="27" t="inlineStr">
        <is>
          <t>11</t>
        </is>
      </c>
      <c r="J764" s="27" t="n">
        <v>2025</v>
      </c>
    </row>
    <row r="765" ht="15" customHeight="1" s="24">
      <c r="A765" s="27" t="n">
        <v>6255978</v>
      </c>
      <c r="B765" s="27" t="n">
        <v>910274</v>
      </c>
      <c r="C765" s="27" t="inlineStr">
        <is>
          <t>InLinehaul</t>
        </is>
      </c>
      <c r="D765" s="41" t="n">
        <v>45991.102170625</v>
      </c>
      <c r="E765" s="27" t="n">
        <v>-25.161912</v>
      </c>
      <c r="F765" s="27" t="n">
        <v>28.223326</v>
      </c>
      <c r="G765" s="27" t="inlineStr">
        <is>
          <t>Open</t>
        </is>
      </c>
      <c r="H765" s="27" t="inlineStr">
        <is>
          <t>ScannerApp</t>
        </is>
      </c>
      <c r="I765" s="27" t="inlineStr">
        <is>
          <t>11</t>
        </is>
      </c>
      <c r="J765" s="27" t="n">
        <v>2025</v>
      </c>
    </row>
    <row r="766" ht="15" customHeight="1" s="24">
      <c r="A766" s="27" t="n">
        <v>6203503</v>
      </c>
      <c r="B766" s="27" t="n">
        <v>926108</v>
      </c>
      <c r="C766" s="27" t="inlineStr">
        <is>
          <t>AtHub</t>
        </is>
      </c>
      <c r="D766" s="41" t="n">
        <v>45991.53763827546</v>
      </c>
      <c r="E766" s="27" t="n">
        <v>-32.477376</v>
      </c>
      <c r="F766" s="27" t="n">
        <v>28.062714</v>
      </c>
      <c r="G766" s="27" t="inlineStr">
        <is>
          <t>Open</t>
        </is>
      </c>
      <c r="H766" s="27" t="inlineStr">
        <is>
          <t>ScannerApp</t>
        </is>
      </c>
      <c r="I766" s="27" t="inlineStr">
        <is>
          <t>11</t>
        </is>
      </c>
      <c r="J766" s="27" t="n">
        <v>2025</v>
      </c>
    </row>
    <row r="767" ht="15" customHeight="1" s="24">
      <c r="A767" s="27" t="n">
        <v>6248913</v>
      </c>
      <c r="B767" s="27" t="n">
        <v>903209</v>
      </c>
      <c r="C767" s="27" t="inlineStr">
        <is>
          <t>InLinehaul</t>
        </is>
      </c>
      <c r="D767" s="41" t="n">
        <v>45991.8530628588</v>
      </c>
      <c r="E767" s="27" t="n">
        <v>-24.685622</v>
      </c>
      <c r="F767" s="27" t="n">
        <v>27.486927</v>
      </c>
      <c r="G767" s="27" t="inlineStr">
        <is>
          <t>Open</t>
        </is>
      </c>
      <c r="H767" s="27" t="inlineStr">
        <is>
          <t>CourierGPS</t>
        </is>
      </c>
      <c r="I767" s="27" t="inlineStr">
        <is>
          <t>11</t>
        </is>
      </c>
      <c r="J767" s="27" t="n">
        <v>2025</v>
      </c>
    </row>
    <row r="768" ht="15" customHeight="1" s="24">
      <c r="A768" s="27" t="n">
        <v>6315410</v>
      </c>
      <c r="B768" s="27" t="n">
        <v>901476</v>
      </c>
      <c r="C768" s="27" t="inlineStr">
        <is>
          <t>ArrivedAtPickupPoint</t>
        </is>
      </c>
      <c r="D768" s="41" t="n">
        <v>45992.21220233796</v>
      </c>
      <c r="E768" s="27" t="n">
        <v>-26.620124</v>
      </c>
      <c r="F768" s="27" t="n">
        <v>27.975741</v>
      </c>
      <c r="G768" s="27" t="inlineStr">
        <is>
          <t>Open</t>
        </is>
      </c>
      <c r="H768" s="27" t="inlineStr">
        <is>
          <t>CourierGPS</t>
        </is>
      </c>
      <c r="I768" s="27" t="inlineStr">
        <is>
          <t>11</t>
        </is>
      </c>
      <c r="J768" s="27" t="n">
        <v>2025</v>
      </c>
    </row>
    <row r="769" ht="15" customHeight="1" s="24">
      <c r="A769" s="27" t="n">
        <v>6411376</v>
      </c>
      <c r="B769" s="27" t="n">
        <v>861043</v>
      </c>
      <c r="C769" s="27" t="inlineStr">
        <is>
          <t>CollectedByCustomer</t>
        </is>
      </c>
      <c r="D769" s="41" t="n">
        <v>45992.49688858796</v>
      </c>
      <c r="E769" s="27" t="n">
        <v>-26.594092</v>
      </c>
      <c r="F769" s="27" t="n">
        <v>24.802847</v>
      </c>
      <c r="G769" s="27" t="inlineStr">
        <is>
          <t>Closed</t>
        </is>
      </c>
      <c r="H769" s="27" t="inlineStr">
        <is>
          <t>ScannerApp</t>
        </is>
      </c>
      <c r="I769" s="27" t="inlineStr">
        <is>
          <t>11</t>
        </is>
      </c>
      <c r="J769" s="27" t="n">
        <v>2025</v>
      </c>
    </row>
    <row r="770" ht="15" customHeight="1" s="24">
      <c r="A770" s="27" t="n">
        <v>6559138</v>
      </c>
      <c r="B770" s="27" t="n">
        <v>955762</v>
      </c>
      <c r="C770" s="27" t="inlineStr">
        <is>
          <t>CollectedFromRetailer</t>
        </is>
      </c>
      <c r="D770" s="41" t="n">
        <v>45994.52907708333</v>
      </c>
      <c r="E770" s="27" t="n">
        <v>-30.24041</v>
      </c>
      <c r="F770" s="27" t="n">
        <v>30.990992</v>
      </c>
      <c r="G770" s="27" t="inlineStr">
        <is>
          <t>Open</t>
        </is>
      </c>
      <c r="H770" s="27" t="inlineStr">
        <is>
          <t>CourierGPS</t>
        </is>
      </c>
      <c r="I770" s="27" t="inlineStr">
        <is>
          <t>12</t>
        </is>
      </c>
      <c r="J770" s="27" t="n">
        <v>2025</v>
      </c>
    </row>
    <row r="771" ht="15" customHeight="1" s="24">
      <c r="A771" s="27" t="n">
        <v>6742748</v>
      </c>
      <c r="B771" s="27" t="n">
        <v>976470</v>
      </c>
      <c r="C771" s="27" t="inlineStr">
        <is>
          <t>ArrivedAtPickupPoint</t>
        </is>
      </c>
      <c r="D771" s="41" t="n">
        <v>45995.82556020833</v>
      </c>
      <c r="E771" s="27" t="n">
        <v>-24.853542</v>
      </c>
      <c r="F771" s="27" t="n">
        <v>29.360013</v>
      </c>
      <c r="G771" s="27" t="inlineStr">
        <is>
          <t>Open</t>
        </is>
      </c>
      <c r="H771" s="27" t="inlineStr">
        <is>
          <t>CourierGPS</t>
        </is>
      </c>
      <c r="I771" s="27" t="inlineStr">
        <is>
          <t>12</t>
        </is>
      </c>
      <c r="J771" s="27" t="n">
        <v>2025</v>
      </c>
    </row>
    <row r="772" ht="15" customHeight="1" s="24">
      <c r="A772" s="27" t="n">
        <v>6768382</v>
      </c>
      <c r="B772" s="27" t="n">
        <v>947822</v>
      </c>
      <c r="C772" s="27" t="inlineStr">
        <is>
          <t>CustomerNotified</t>
        </is>
      </c>
      <c r="D772" s="41" t="n">
        <v>45996.61147913194</v>
      </c>
      <c r="E772" s="27" t="n">
        <v>-23.326762</v>
      </c>
      <c r="F772" s="27" t="n">
        <v>27.44533</v>
      </c>
      <c r="G772" s="27" t="inlineStr">
        <is>
          <t>Open</t>
        </is>
      </c>
      <c r="H772" s="27" t="inlineStr">
        <is>
          <t>PartnerPOS</t>
        </is>
      </c>
      <c r="I772" s="27" t="inlineStr">
        <is>
          <t>12</t>
        </is>
      </c>
      <c r="J772" s="27" t="n">
        <v>2025</v>
      </c>
    </row>
    <row r="773" ht="15" customHeight="1" s="24">
      <c r="A773" s="27" t="n">
        <v>6704343</v>
      </c>
      <c r="B773" s="27" t="n">
        <v>938003</v>
      </c>
      <c r="C773" s="27" t="inlineStr">
        <is>
          <t>ArrivedAtPickupPoint</t>
        </is>
      </c>
      <c r="D773" s="41" t="n">
        <v>45996.65517222222</v>
      </c>
      <c r="E773" s="27" t="n">
        <v>-28.364109</v>
      </c>
      <c r="F773" s="27" t="n">
        <v>28.586961</v>
      </c>
      <c r="G773" s="27" t="inlineStr">
        <is>
          <t>Open</t>
        </is>
      </c>
      <c r="H773" s="27" t="inlineStr">
        <is>
          <t>ScannerApp</t>
        </is>
      </c>
      <c r="I773" s="27" t="inlineStr">
        <is>
          <t>12</t>
        </is>
      </c>
      <c r="J773" s="27" t="n">
        <v>2025</v>
      </c>
    </row>
    <row r="774" ht="15" customHeight="1" s="24">
      <c r="A774" s="27" t="n">
        <v>6531824</v>
      </c>
      <c r="B774" s="27" t="n">
        <v>982775</v>
      </c>
      <c r="C774" s="27" t="inlineStr">
        <is>
          <t>Created</t>
        </is>
      </c>
      <c r="D774" s="41" t="n">
        <v>45997.5608075463</v>
      </c>
      <c r="E774" s="27" t="n">
        <v>-29.409069</v>
      </c>
      <c r="F774" s="27" t="n">
        <v>25.328179</v>
      </c>
      <c r="G774" s="27" t="inlineStr">
        <is>
          <t>Open</t>
        </is>
      </c>
      <c r="H774" s="27" t="inlineStr">
        <is>
          <t>CourierGPS</t>
        </is>
      </c>
      <c r="I774" s="27" t="inlineStr">
        <is>
          <t>12</t>
        </is>
      </c>
      <c r="J774" s="27" t="n">
        <v>2025</v>
      </c>
    </row>
    <row r="775" ht="15" customHeight="1" s="24">
      <c r="A775" s="27" t="n">
        <v>6479920</v>
      </c>
      <c r="B775" s="27" t="n">
        <v>930871</v>
      </c>
      <c r="C775" s="27" t="inlineStr">
        <is>
          <t>Created</t>
        </is>
      </c>
      <c r="D775" s="41" t="n">
        <v>45998.41967168982</v>
      </c>
      <c r="E775" s="27" t="n">
        <v>-31.137687</v>
      </c>
      <c r="F775" s="27" t="n">
        <v>26.351214</v>
      </c>
      <c r="G775" s="27" t="inlineStr">
        <is>
          <t>Open</t>
        </is>
      </c>
      <c r="H775" s="27" t="inlineStr">
        <is>
          <t>ScannerApp</t>
        </is>
      </c>
      <c r="I775" s="27" t="inlineStr">
        <is>
          <t>12</t>
        </is>
      </c>
      <c r="J775" s="27" t="n">
        <v>2025</v>
      </c>
    </row>
    <row r="776" ht="15" customHeight="1" s="24">
      <c r="A776" s="27" t="n">
        <v>6731294</v>
      </c>
      <c r="B776" s="27" t="n">
        <v>965000</v>
      </c>
      <c r="C776" s="27" t="inlineStr">
        <is>
          <t>ArrivedAtPickupPoint</t>
        </is>
      </c>
      <c r="D776" s="41" t="n">
        <v>45999.07338366898</v>
      </c>
      <c r="E776" s="27" t="n">
        <v>-27.267402</v>
      </c>
      <c r="F776" s="27" t="n">
        <v>30.275772</v>
      </c>
      <c r="G776" s="27" t="inlineStr">
        <is>
          <t>Open</t>
        </is>
      </c>
      <c r="H776" s="27" t="inlineStr">
        <is>
          <t>CourierGPS</t>
        </is>
      </c>
      <c r="I776" s="27" t="inlineStr">
        <is>
          <t>12</t>
        </is>
      </c>
      <c r="J776" s="27" t="n">
        <v>2025</v>
      </c>
    </row>
    <row r="777" ht="15" customHeight="1" s="24">
      <c r="A777" s="27" t="n">
        <v>6817418</v>
      </c>
      <c r="B777" s="27" t="n">
        <v>943732</v>
      </c>
      <c r="C777" s="27" t="inlineStr">
        <is>
          <t>CollectedByCustomer</t>
        </is>
      </c>
      <c r="D777" s="41" t="n">
        <v>45999.28555243056</v>
      </c>
      <c r="E777" s="27" t="n">
        <v>-26.313217</v>
      </c>
      <c r="F777" s="27" t="n">
        <v>27.759555</v>
      </c>
      <c r="G777" s="27" t="inlineStr">
        <is>
          <t>Closed</t>
        </is>
      </c>
      <c r="H777" s="27" t="inlineStr">
        <is>
          <t>PartnerPOS</t>
        </is>
      </c>
      <c r="I777" s="27" t="inlineStr">
        <is>
          <t>12</t>
        </is>
      </c>
      <c r="J777" s="27" t="n">
        <v>2025</v>
      </c>
    </row>
    <row r="778" ht="15" customHeight="1" s="24">
      <c r="A778" s="27" t="n">
        <v>6714030</v>
      </c>
      <c r="B778" s="27" t="n">
        <v>947706</v>
      </c>
      <c r="C778" s="27" t="inlineStr">
        <is>
          <t>ArrivedAtPickupPoint</t>
        </is>
      </c>
      <c r="D778" s="41" t="n">
        <v>45999.78567174768</v>
      </c>
      <c r="E778" s="27" t="n">
        <v>-25.495789</v>
      </c>
      <c r="F778" s="27" t="n">
        <v>27.952091</v>
      </c>
      <c r="G778" s="27" t="inlineStr">
        <is>
          <t>Open</t>
        </is>
      </c>
      <c r="H778" s="27" t="inlineStr">
        <is>
          <t>PartnerPOS</t>
        </is>
      </c>
      <c r="I778" s="27" t="inlineStr">
        <is>
          <t>12</t>
        </is>
      </c>
      <c r="J778" s="27" t="n">
        <v>2025</v>
      </c>
    </row>
    <row r="779" ht="15" customHeight="1" s="24">
      <c r="A779" s="27" t="n">
        <v>6712453</v>
      </c>
      <c r="B779" s="27" t="n">
        <v>946127</v>
      </c>
      <c r="C779" s="27" t="inlineStr">
        <is>
          <t>ArrivedAtPickupPoint</t>
        </is>
      </c>
      <c r="D779" s="41" t="n">
        <v>46000.77219658565</v>
      </c>
      <c r="E779" s="27" t="n">
        <v>-24.83059</v>
      </c>
      <c r="F779" s="27" t="n">
        <v>30.209974</v>
      </c>
      <c r="G779" s="27" t="inlineStr">
        <is>
          <t>Open</t>
        </is>
      </c>
      <c r="H779" s="27" t="inlineStr">
        <is>
          <t>CourierGPS</t>
        </is>
      </c>
      <c r="I779" s="27" t="inlineStr">
        <is>
          <t>12</t>
        </is>
      </c>
      <c r="J779" s="27" t="n">
        <v>2025</v>
      </c>
    </row>
    <row r="780" ht="15" customHeight="1" s="24">
      <c r="A780" s="27" t="n">
        <v>6499886</v>
      </c>
      <c r="B780" s="27" t="n">
        <v>950837</v>
      </c>
      <c r="C780" s="27" t="inlineStr">
        <is>
          <t>Created</t>
        </is>
      </c>
      <c r="D780" s="41" t="n">
        <v>46001.98927940972</v>
      </c>
      <c r="E780" s="27" t="n">
        <v>-25.63974</v>
      </c>
      <c r="F780" s="27" t="n">
        <v>30.246613</v>
      </c>
      <c r="G780" s="27" t="inlineStr">
        <is>
          <t>Open</t>
        </is>
      </c>
      <c r="H780" s="27" t="inlineStr">
        <is>
          <t>API</t>
        </is>
      </c>
      <c r="I780" s="27" t="inlineStr">
        <is>
          <t>12</t>
        </is>
      </c>
      <c r="J780" s="27" t="n">
        <v>2025</v>
      </c>
    </row>
    <row r="781" ht="15" customHeight="1" s="24">
      <c r="A781" s="27" t="n">
        <v>6579646</v>
      </c>
      <c r="B781" s="27" t="n">
        <v>976270</v>
      </c>
      <c r="C781" s="27" t="inlineStr">
        <is>
          <t>CollectedFromRetailer</t>
        </is>
      </c>
      <c r="D781" s="41" t="n">
        <v>46002.59214958333</v>
      </c>
      <c r="E781" s="27" t="n">
        <v>-27.222704</v>
      </c>
      <c r="F781" s="27" t="n">
        <v>27.739201</v>
      </c>
      <c r="G781" s="27" t="inlineStr">
        <is>
          <t>Open</t>
        </is>
      </c>
      <c r="H781" s="27" t="inlineStr">
        <is>
          <t>ScannerApp</t>
        </is>
      </c>
      <c r="I781" s="27" t="inlineStr">
        <is>
          <t>12</t>
        </is>
      </c>
      <c r="J781" s="27" t="n">
        <v>2025</v>
      </c>
    </row>
    <row r="782" ht="15" customHeight="1" s="24">
      <c r="A782" s="27" t="n">
        <v>6812610</v>
      </c>
      <c r="B782" s="27" t="n">
        <v>938507</v>
      </c>
      <c r="C782" s="27" t="inlineStr">
        <is>
          <t>CollectedByCustomer</t>
        </is>
      </c>
      <c r="D782" s="41" t="n">
        <v>46004.47082608796</v>
      </c>
      <c r="E782" s="27" t="n">
        <v>-33.163196</v>
      </c>
      <c r="F782" s="27" t="n">
        <v>29.469425</v>
      </c>
      <c r="G782" s="27" t="inlineStr">
        <is>
          <t>Closed</t>
        </is>
      </c>
      <c r="H782" s="27" t="inlineStr">
        <is>
          <t>CourierGPS</t>
        </is>
      </c>
      <c r="I782" s="27" t="inlineStr">
        <is>
          <t>12</t>
        </is>
      </c>
      <c r="J782" s="27" t="n">
        <v>2025</v>
      </c>
    </row>
    <row r="783" ht="15" customHeight="1" s="24">
      <c r="A783" s="27" t="n">
        <v>6816919</v>
      </c>
      <c r="B783" s="27" t="n">
        <v>943199</v>
      </c>
      <c r="C783" s="27" t="inlineStr">
        <is>
          <t>CollectedByCustomer</t>
        </is>
      </c>
      <c r="D783" s="41" t="n">
        <v>46005.08360945602</v>
      </c>
      <c r="E783" s="27" t="n">
        <v>-26.576378</v>
      </c>
      <c r="F783" s="27" t="n">
        <v>24.649867</v>
      </c>
      <c r="G783" s="27" t="inlineStr">
        <is>
          <t>Closed</t>
        </is>
      </c>
      <c r="H783" s="27" t="inlineStr">
        <is>
          <t>CourierGPS</t>
        </is>
      </c>
      <c r="I783" s="27" t="inlineStr">
        <is>
          <t>12</t>
        </is>
      </c>
      <c r="J783" s="27" t="n">
        <v>2025</v>
      </c>
    </row>
    <row r="784" ht="15" customHeight="1" s="24">
      <c r="A784" s="27" t="n">
        <v>6649743</v>
      </c>
      <c r="B784" s="27" t="n">
        <v>937713</v>
      </c>
      <c r="C784" s="27" t="inlineStr">
        <is>
          <t>InLinehaul</t>
        </is>
      </c>
      <c r="D784" s="41" t="n">
        <v>46005.45833542824</v>
      </c>
      <c r="E784" s="27" t="n">
        <v>-29.073812</v>
      </c>
      <c r="F784" s="27" t="n">
        <v>29.261182</v>
      </c>
      <c r="G784" s="27" t="inlineStr">
        <is>
          <t>Open</t>
        </is>
      </c>
      <c r="H784" s="27" t="inlineStr">
        <is>
          <t>CourierGPS</t>
        </is>
      </c>
      <c r="I784" s="27" t="inlineStr">
        <is>
          <t>12</t>
        </is>
      </c>
      <c r="J784" s="27" t="n">
        <v>2025</v>
      </c>
    </row>
    <row r="785" ht="15" customHeight="1" s="24">
      <c r="A785" s="27" t="n">
        <v>6562517</v>
      </c>
      <c r="B785" s="27" t="n">
        <v>959141</v>
      </c>
      <c r="C785" s="27" t="inlineStr">
        <is>
          <t>CollectedFromRetailer</t>
        </is>
      </c>
      <c r="D785" s="41" t="n">
        <v>46005.61455478009</v>
      </c>
      <c r="E785" s="27" t="n">
        <v>-33.787829</v>
      </c>
      <c r="F785" s="27" t="n">
        <v>27.518692</v>
      </c>
      <c r="G785" s="27" t="inlineStr">
        <is>
          <t>Open</t>
        </is>
      </c>
      <c r="H785" s="27" t="inlineStr">
        <is>
          <t>ScannerApp</t>
        </is>
      </c>
      <c r="I785" s="27" t="inlineStr">
        <is>
          <t>12</t>
        </is>
      </c>
      <c r="J785" s="27" t="n">
        <v>2025</v>
      </c>
    </row>
    <row r="786" ht="15" customHeight="1" s="24">
      <c r="A786" s="27" t="n">
        <v>6547357</v>
      </c>
      <c r="B786" s="27" t="n">
        <v>943981</v>
      </c>
      <c r="C786" s="27" t="inlineStr">
        <is>
          <t>CollectedFromRetailer</t>
        </is>
      </c>
      <c r="D786" s="41" t="n">
        <v>46006.6689741088</v>
      </c>
      <c r="E786" s="27" t="n">
        <v>-31.684739</v>
      </c>
      <c r="F786" s="27" t="n">
        <v>20.086562</v>
      </c>
      <c r="G786" s="27" t="inlineStr">
        <is>
          <t>Open</t>
        </is>
      </c>
      <c r="H786" s="27" t="inlineStr">
        <is>
          <t>PartnerPOS</t>
        </is>
      </c>
      <c r="I786" s="27" t="inlineStr">
        <is>
          <t>12</t>
        </is>
      </c>
      <c r="J786" s="27" t="n">
        <v>2025</v>
      </c>
    </row>
    <row r="787" ht="15" customHeight="1" s="24">
      <c r="A787" s="27" t="n">
        <v>6698961</v>
      </c>
      <c r="B787" s="27" t="n">
        <v>932612</v>
      </c>
      <c r="C787" s="27" t="inlineStr">
        <is>
          <t>ArrivedAtPickupPoint</t>
        </is>
      </c>
      <c r="D787" s="41" t="n">
        <v>46006.8582062963</v>
      </c>
      <c r="E787" s="27" t="n">
        <v>-25.135232</v>
      </c>
      <c r="F787" s="27" t="n">
        <v>31.837998</v>
      </c>
      <c r="G787" s="27" t="inlineStr">
        <is>
          <t>Open</t>
        </is>
      </c>
      <c r="H787" s="27" t="inlineStr">
        <is>
          <t>PartnerPOS</t>
        </is>
      </c>
      <c r="I787" s="27" t="inlineStr">
        <is>
          <t>12</t>
        </is>
      </c>
      <c r="J787" s="27" t="n">
        <v>2025</v>
      </c>
    </row>
    <row r="788" ht="15" customHeight="1" s="24">
      <c r="A788" s="27" t="n">
        <v>6841535</v>
      </c>
      <c r="B788" s="27" t="n">
        <v>969854</v>
      </c>
      <c r="C788" s="27" t="inlineStr">
        <is>
          <t>CollectedByCustomer</t>
        </is>
      </c>
      <c r="D788" s="41" t="n">
        <v>46007.03968875</v>
      </c>
      <c r="E788" s="27" t="n">
        <v>-29.898522</v>
      </c>
      <c r="F788" s="27" t="n">
        <v>31.588609</v>
      </c>
      <c r="G788" s="27" t="inlineStr">
        <is>
          <t>Closed</t>
        </is>
      </c>
      <c r="H788" s="27" t="inlineStr">
        <is>
          <t>PartnerPOS</t>
        </is>
      </c>
      <c r="I788" s="27" t="inlineStr">
        <is>
          <t>12</t>
        </is>
      </c>
      <c r="J788" s="27" t="n">
        <v>2025</v>
      </c>
    </row>
    <row r="789" ht="15" customHeight="1" s="24">
      <c r="A789" s="27" t="n">
        <v>6553457</v>
      </c>
      <c r="B789" s="27" t="n">
        <v>950081</v>
      </c>
      <c r="C789" s="27" t="inlineStr">
        <is>
          <t>CollectedFromRetailer</t>
        </is>
      </c>
      <c r="D789" s="41" t="n">
        <v>46009.17538511574</v>
      </c>
      <c r="E789" s="27" t="n">
        <v>-28.107969</v>
      </c>
      <c r="F789" s="27" t="n">
        <v>31.055276</v>
      </c>
      <c r="G789" s="27" t="inlineStr">
        <is>
          <t>Open</t>
        </is>
      </c>
      <c r="H789" s="27" t="inlineStr">
        <is>
          <t>CourierGPS</t>
        </is>
      </c>
      <c r="I789" s="27" t="inlineStr">
        <is>
          <t>12</t>
        </is>
      </c>
      <c r="J789" s="27" t="n">
        <v>2025</v>
      </c>
    </row>
    <row r="790" ht="15" customHeight="1" s="24">
      <c r="A790" s="27" t="n">
        <v>6636227</v>
      </c>
      <c r="B790" s="27" t="n">
        <v>978524</v>
      </c>
      <c r="C790" s="27" t="inlineStr">
        <is>
          <t>AtHub</t>
        </is>
      </c>
      <c r="D790" s="41" t="n">
        <v>46010.26018497685</v>
      </c>
      <c r="E790" s="27" t="n">
        <v>-33.613218</v>
      </c>
      <c r="F790" s="27" t="n">
        <v>18.779013</v>
      </c>
      <c r="G790" s="27" t="inlineStr">
        <is>
          <t>Open</t>
        </is>
      </c>
      <c r="H790" s="27" t="inlineStr">
        <is>
          <t>CourierGPS</t>
        </is>
      </c>
      <c r="I790" s="27" t="inlineStr">
        <is>
          <t>12</t>
        </is>
      </c>
      <c r="J790" s="27" t="n">
        <v>2025</v>
      </c>
    </row>
    <row r="791" ht="15" customHeight="1" s="24">
      <c r="A791" s="27" t="n">
        <v>6759851</v>
      </c>
      <c r="B791" s="27" t="n">
        <v>939278</v>
      </c>
      <c r="C791" s="27" t="inlineStr">
        <is>
          <t>CustomerNotified</t>
        </is>
      </c>
      <c r="D791" s="41" t="n">
        <v>46010.43248508102</v>
      </c>
      <c r="E791" s="27" t="n">
        <v>-30.217424</v>
      </c>
      <c r="F791" s="27" t="n">
        <v>31.261359</v>
      </c>
      <c r="G791" s="27" t="inlineStr">
        <is>
          <t>Open</t>
        </is>
      </c>
      <c r="H791" s="27" t="inlineStr">
        <is>
          <t>ScannerApp</t>
        </is>
      </c>
      <c r="I791" s="27" t="inlineStr">
        <is>
          <t>12</t>
        </is>
      </c>
      <c r="J791" s="27" t="n">
        <v>2025</v>
      </c>
    </row>
    <row r="792" ht="15" customHeight="1" s="24">
      <c r="A792" s="27" t="n">
        <v>6652777</v>
      </c>
      <c r="B792" s="27" t="n">
        <v>940747</v>
      </c>
      <c r="C792" s="27" t="inlineStr">
        <is>
          <t>InLinehaul</t>
        </is>
      </c>
      <c r="D792" s="41" t="n">
        <v>46010.59854028935</v>
      </c>
      <c r="E792" s="27" t="n">
        <v>-30.567519</v>
      </c>
      <c r="F792" s="27" t="n">
        <v>23.206192</v>
      </c>
      <c r="G792" s="27" t="inlineStr">
        <is>
          <t>Open</t>
        </is>
      </c>
      <c r="H792" s="27" t="inlineStr">
        <is>
          <t>API</t>
        </is>
      </c>
      <c r="I792" s="27" t="inlineStr">
        <is>
          <t>12</t>
        </is>
      </c>
      <c r="J792" s="27" t="n">
        <v>2025</v>
      </c>
    </row>
    <row r="793" ht="15" customHeight="1" s="24">
      <c r="A793" s="27" t="n">
        <v>6715303</v>
      </c>
      <c r="B793" s="27" t="n">
        <v>948984</v>
      </c>
      <c r="C793" s="27" t="inlineStr">
        <is>
          <t>ArrivedAtPickupPoint</t>
        </is>
      </c>
      <c r="D793" s="41" t="n">
        <v>46010.60031974537</v>
      </c>
      <c r="E793" s="27" t="n">
        <v>-30.793363</v>
      </c>
      <c r="F793" s="27" t="n">
        <v>31.050574</v>
      </c>
      <c r="G793" s="27" t="inlineStr">
        <is>
          <t>Open</t>
        </is>
      </c>
      <c r="H793" s="27" t="inlineStr">
        <is>
          <t>API</t>
        </is>
      </c>
      <c r="I793" s="27" t="inlineStr">
        <is>
          <t>12</t>
        </is>
      </c>
      <c r="J793" s="27" t="n">
        <v>2025</v>
      </c>
    </row>
    <row r="794" ht="15" customHeight="1" s="24">
      <c r="A794" s="27" t="n">
        <v>6719469</v>
      </c>
      <c r="B794" s="27" t="n">
        <v>953159</v>
      </c>
      <c r="C794" s="27" t="inlineStr">
        <is>
          <t>ArrivedAtPickupPoint</t>
        </is>
      </c>
      <c r="D794" s="41" t="n">
        <v>46012.02336065972</v>
      </c>
      <c r="E794" s="27" t="n">
        <v>-31.753373</v>
      </c>
      <c r="F794" s="27" t="n">
        <v>27.828009</v>
      </c>
      <c r="G794" s="27" t="inlineStr">
        <is>
          <t>Open</t>
        </is>
      </c>
      <c r="H794" s="27" t="inlineStr">
        <is>
          <t>CourierGPS</t>
        </is>
      </c>
      <c r="I794" s="27" t="inlineStr">
        <is>
          <t>12</t>
        </is>
      </c>
      <c r="J794" s="27" t="n">
        <v>2025</v>
      </c>
    </row>
    <row r="795" ht="15" customHeight="1" s="24">
      <c r="A795" s="27" t="n">
        <v>6667487</v>
      </c>
      <c r="B795" s="27" t="n">
        <v>955457</v>
      </c>
      <c r="C795" s="27" t="inlineStr">
        <is>
          <t>InLinehaul</t>
        </is>
      </c>
      <c r="D795" s="41" t="n">
        <v>46012.26458393518</v>
      </c>
      <c r="E795" s="27" t="n">
        <v>-29.072887</v>
      </c>
      <c r="F795" s="27" t="n">
        <v>25.937351</v>
      </c>
      <c r="G795" s="27" t="inlineStr">
        <is>
          <t>Open</t>
        </is>
      </c>
      <c r="H795" s="27" t="inlineStr">
        <is>
          <t>CourierGPS</t>
        </is>
      </c>
      <c r="I795" s="27" t="inlineStr">
        <is>
          <t>12</t>
        </is>
      </c>
      <c r="J795" s="27" t="n">
        <v>2025</v>
      </c>
    </row>
    <row r="796" ht="15" customHeight="1" s="24">
      <c r="A796" s="27" t="n">
        <v>6661028</v>
      </c>
      <c r="B796" s="27" t="n">
        <v>948998</v>
      </c>
      <c r="C796" s="27" t="inlineStr">
        <is>
          <t>InLinehaul</t>
        </is>
      </c>
      <c r="D796" s="41" t="n">
        <v>46012.98804685185</v>
      </c>
      <c r="E796" s="27" t="n">
        <v>-26.615951</v>
      </c>
      <c r="F796" s="27" t="n">
        <v>26.268325</v>
      </c>
      <c r="G796" s="27" t="inlineStr">
        <is>
          <t>Open</t>
        </is>
      </c>
      <c r="H796" s="27" t="inlineStr">
        <is>
          <t>CourierGPS</t>
        </is>
      </c>
      <c r="I796" s="27" t="inlineStr">
        <is>
          <t>12</t>
        </is>
      </c>
      <c r="J796" s="27" t="n">
        <v>2025</v>
      </c>
    </row>
    <row r="797" ht="15" customHeight="1" s="24">
      <c r="A797" s="27" t="n">
        <v>6556077</v>
      </c>
      <c r="B797" s="27" t="n">
        <v>952701</v>
      </c>
      <c r="C797" s="27" t="inlineStr">
        <is>
          <t>CollectedFromRetailer</t>
        </is>
      </c>
      <c r="D797" s="41" t="n">
        <v>46014.12487103009</v>
      </c>
      <c r="E797" s="27" t="n">
        <v>-29.37692</v>
      </c>
      <c r="F797" s="27" t="n">
        <v>30.508827</v>
      </c>
      <c r="G797" s="27" t="inlineStr">
        <is>
          <t>Open</t>
        </is>
      </c>
      <c r="H797" s="27" t="inlineStr">
        <is>
          <t>ScannerApp</t>
        </is>
      </c>
      <c r="I797" s="27" t="inlineStr">
        <is>
          <t>12</t>
        </is>
      </c>
      <c r="J797" s="27" t="n">
        <v>2025</v>
      </c>
    </row>
    <row r="798" ht="15" customHeight="1" s="24">
      <c r="A798" s="27" t="n">
        <v>6491787</v>
      </c>
      <c r="B798" s="27" t="n">
        <v>942738</v>
      </c>
      <c r="C798" s="27" t="inlineStr">
        <is>
          <t>Created</t>
        </is>
      </c>
      <c r="D798" s="41" t="n">
        <v>46014.63030292824</v>
      </c>
      <c r="E798" s="27" t="n">
        <v>-26.889143</v>
      </c>
      <c r="F798" s="27" t="n">
        <v>32.25168</v>
      </c>
      <c r="G798" s="27" t="inlineStr">
        <is>
          <t>Open</t>
        </is>
      </c>
      <c r="H798" s="27" t="inlineStr">
        <is>
          <t>ScannerApp</t>
        </is>
      </c>
      <c r="I798" s="27" t="inlineStr">
        <is>
          <t>12</t>
        </is>
      </c>
      <c r="J798" s="27" t="n">
        <v>2025</v>
      </c>
    </row>
    <row r="799" ht="15" customHeight="1" s="24">
      <c r="A799" s="27" t="n">
        <v>6763248</v>
      </c>
      <c r="B799" s="27" t="n">
        <v>942678</v>
      </c>
      <c r="C799" s="27" t="inlineStr">
        <is>
          <t>CustomerNotified</t>
        </is>
      </c>
      <c r="D799" s="41" t="n">
        <v>46014.79763828704</v>
      </c>
      <c r="E799" s="27" t="n">
        <v>-28.08919</v>
      </c>
      <c r="F799" s="27" t="n">
        <v>22.188484</v>
      </c>
      <c r="G799" s="27" t="inlineStr">
        <is>
          <t>Open</t>
        </is>
      </c>
      <c r="H799" s="27" t="inlineStr">
        <is>
          <t>PartnerPOS</t>
        </is>
      </c>
      <c r="I799" s="27" t="inlineStr">
        <is>
          <t>12</t>
        </is>
      </c>
      <c r="J799" s="27" t="n">
        <v>2025</v>
      </c>
    </row>
    <row r="800" ht="15" customHeight="1" s="24">
      <c r="A800" s="27" t="n">
        <v>6610273</v>
      </c>
      <c r="B800" s="27" t="n">
        <v>952570</v>
      </c>
      <c r="C800" s="27" t="inlineStr">
        <is>
          <t>AtHub</t>
        </is>
      </c>
      <c r="D800" s="41" t="n">
        <v>46014.83144461805</v>
      </c>
      <c r="E800" s="27" t="n">
        <v>-30.817347</v>
      </c>
      <c r="F800" s="27" t="n">
        <v>29.654306</v>
      </c>
      <c r="G800" s="27" t="inlineStr">
        <is>
          <t>Open</t>
        </is>
      </c>
      <c r="H800" s="27" t="inlineStr">
        <is>
          <t>PartnerPOS</t>
        </is>
      </c>
      <c r="I800" s="27" t="inlineStr">
        <is>
          <t>12</t>
        </is>
      </c>
      <c r="J800" s="27" t="n">
        <v>2025</v>
      </c>
    </row>
    <row r="801" ht="15" customHeight="1" s="24">
      <c r="A801" s="27" t="n">
        <v>6618635</v>
      </c>
      <c r="B801" s="27" t="n">
        <v>960932</v>
      </c>
      <c r="C801" s="27" t="inlineStr">
        <is>
          <t>AtHub</t>
        </is>
      </c>
      <c r="D801" s="41" t="n">
        <v>46015.05983929398</v>
      </c>
      <c r="E801" s="27" t="n">
        <v>-30.822467</v>
      </c>
      <c r="F801" s="27" t="n">
        <v>27.756179</v>
      </c>
      <c r="G801" s="27" t="inlineStr">
        <is>
          <t>Open</t>
        </is>
      </c>
      <c r="H801" s="27" t="inlineStr">
        <is>
          <t>CourierGPS</t>
        </is>
      </c>
      <c r="I801" s="27" t="inlineStr">
        <is>
          <t>12</t>
        </is>
      </c>
      <c r="J801" s="27" t="n">
        <v>2025</v>
      </c>
    </row>
    <row r="802" ht="15" customHeight="1" s="24">
      <c r="A802" s="27" t="n">
        <v>6685995</v>
      </c>
      <c r="B802" s="27" t="n">
        <v>973965</v>
      </c>
      <c r="C802" s="27" t="inlineStr">
        <is>
          <t>InLinehaul</t>
        </is>
      </c>
      <c r="D802" s="41" t="n">
        <v>46015.43781109954</v>
      </c>
      <c r="E802" s="27" t="n">
        <v>-26.764986</v>
      </c>
      <c r="F802" s="27" t="n">
        <v>29.803789</v>
      </c>
      <c r="G802" s="27" t="inlineStr">
        <is>
          <t>Open</t>
        </is>
      </c>
      <c r="H802" s="27" t="inlineStr">
        <is>
          <t>CourierGPS</t>
        </is>
      </c>
      <c r="I802" s="27" t="inlineStr">
        <is>
          <t>12</t>
        </is>
      </c>
      <c r="J802" s="27" t="n">
        <v>2025</v>
      </c>
    </row>
    <row r="803" ht="15" customHeight="1" s="24">
      <c r="A803" s="27" t="n">
        <v>6552785</v>
      </c>
      <c r="B803" s="27" t="n">
        <v>949409</v>
      </c>
      <c r="C803" s="27" t="inlineStr">
        <is>
          <t>CollectedFromRetailer</t>
        </is>
      </c>
      <c r="D803" s="41" t="n">
        <v>46015.84883914352</v>
      </c>
      <c r="E803" s="27" t="n">
        <v>-30.734016</v>
      </c>
      <c r="F803" s="27" t="n">
        <v>21.00118</v>
      </c>
      <c r="G803" s="27" t="inlineStr">
        <is>
          <t>Open</t>
        </is>
      </c>
      <c r="H803" s="27" t="inlineStr">
        <is>
          <t>ScannerApp</t>
        </is>
      </c>
      <c r="I803" s="27" t="inlineStr">
        <is>
          <t>12</t>
        </is>
      </c>
      <c r="J803" s="27" t="n">
        <v>2025</v>
      </c>
    </row>
    <row r="804" ht="15" customHeight="1" s="24">
      <c r="A804" s="27" t="n">
        <v>6484074</v>
      </c>
      <c r="B804" s="27" t="n">
        <v>935025</v>
      </c>
      <c r="C804" s="27" t="inlineStr">
        <is>
          <t>Created</t>
        </is>
      </c>
      <c r="D804" s="41" t="n">
        <v>46017.91050626157</v>
      </c>
      <c r="E804" s="27" t="n">
        <v>-29.352224</v>
      </c>
      <c r="F804" s="27" t="n">
        <v>21.387554</v>
      </c>
      <c r="G804" s="27" t="inlineStr">
        <is>
          <t>Open</t>
        </is>
      </c>
      <c r="H804" s="27" t="inlineStr">
        <is>
          <t>PartnerPOS</t>
        </is>
      </c>
      <c r="I804" s="27" t="inlineStr">
        <is>
          <t>12</t>
        </is>
      </c>
      <c r="J804" s="27" t="n">
        <v>2025</v>
      </c>
    </row>
    <row r="805" ht="15" customHeight="1" s="24">
      <c r="A805" s="27" t="n">
        <v>6683054</v>
      </c>
      <c r="B805" s="27" t="n">
        <v>971024</v>
      </c>
      <c r="C805" s="27" t="inlineStr">
        <is>
          <t>InLinehaul</t>
        </is>
      </c>
      <c r="D805" s="41" t="n">
        <v>46018.61238539352</v>
      </c>
      <c r="E805" s="27" t="n">
        <v>-30.395241</v>
      </c>
      <c r="F805" s="27" t="n">
        <v>25.85537</v>
      </c>
      <c r="G805" s="27" t="inlineStr">
        <is>
          <t>Open</t>
        </is>
      </c>
      <c r="H805" s="27" t="inlineStr">
        <is>
          <t>ScannerApp</t>
        </is>
      </c>
      <c r="I805" s="27" t="inlineStr">
        <is>
          <t>12</t>
        </is>
      </c>
      <c r="J805" s="27" t="n">
        <v>2025</v>
      </c>
    </row>
    <row r="806" ht="15" customHeight="1" s="24">
      <c r="A806" s="27" t="n">
        <v>6614161</v>
      </c>
      <c r="B806" s="27" t="n">
        <v>956458</v>
      </c>
      <c r="C806" s="27" t="inlineStr">
        <is>
          <t>AtHub</t>
        </is>
      </c>
      <c r="D806" s="41" t="n">
        <v>46019.17009195602</v>
      </c>
      <c r="E806" s="27" t="n">
        <v>-29.207089</v>
      </c>
      <c r="F806" s="27" t="n">
        <v>30.089231</v>
      </c>
      <c r="G806" s="27" t="inlineStr">
        <is>
          <t>Open</t>
        </is>
      </c>
      <c r="H806" s="27" t="inlineStr">
        <is>
          <t>ScannerApp</t>
        </is>
      </c>
      <c r="I806" s="27" t="inlineStr">
        <is>
          <t>12</t>
        </is>
      </c>
      <c r="J806" s="27" t="n">
        <v>2025</v>
      </c>
    </row>
    <row r="807" ht="15" customHeight="1" s="24">
      <c r="A807" s="27" t="n">
        <v>6505739</v>
      </c>
      <c r="B807" s="27" t="n">
        <v>956690</v>
      </c>
      <c r="C807" s="27" t="inlineStr">
        <is>
          <t>Created</t>
        </is>
      </c>
      <c r="D807" s="41" t="n">
        <v>46020.03084983796</v>
      </c>
      <c r="E807" s="27" t="n">
        <v>-24.09483</v>
      </c>
      <c r="F807" s="27" t="n">
        <v>28.754265</v>
      </c>
      <c r="G807" s="27" t="inlineStr">
        <is>
          <t>Open</t>
        </is>
      </c>
      <c r="H807" s="27" t="inlineStr">
        <is>
          <t>CourierGPS</t>
        </is>
      </c>
      <c r="I807" s="27" t="inlineStr">
        <is>
          <t>12</t>
        </is>
      </c>
      <c r="J807" s="27" t="n">
        <v>2025</v>
      </c>
    </row>
    <row r="808" ht="15" customHeight="1" s="24">
      <c r="A808" s="27" t="n">
        <v>6726252</v>
      </c>
      <c r="B808" s="27" t="n">
        <v>959950</v>
      </c>
      <c r="C808" s="27" t="inlineStr">
        <is>
          <t>ArrivedAtPickupPoint</t>
        </is>
      </c>
      <c r="D808" s="41" t="n">
        <v>46021.8622402662</v>
      </c>
      <c r="E808" s="27" t="n">
        <v>-26.638506</v>
      </c>
      <c r="F808" s="27" t="n">
        <v>28.073793</v>
      </c>
      <c r="G808" s="27" t="inlineStr">
        <is>
          <t>Open</t>
        </is>
      </c>
      <c r="H808" s="27" t="inlineStr">
        <is>
          <t>CourierGPS</t>
        </is>
      </c>
      <c r="I808" s="27" t="inlineStr">
        <is>
          <t>12</t>
        </is>
      </c>
      <c r="J808" s="27" t="n">
        <v>2025</v>
      </c>
    </row>
    <row r="809" ht="15" customHeight="1" s="24">
      <c r="A809" s="27" t="n">
        <v>6626803</v>
      </c>
      <c r="B809" s="27" t="n">
        <v>969100</v>
      </c>
      <c r="C809" s="27" t="inlineStr">
        <is>
          <t>AtHub</t>
        </is>
      </c>
      <c r="D809" s="41" t="n">
        <v>46022.13219351852</v>
      </c>
      <c r="E809" s="27" t="n">
        <v>-30.071942</v>
      </c>
      <c r="F809" s="27" t="n">
        <v>30.503645</v>
      </c>
      <c r="G809" s="27" t="inlineStr">
        <is>
          <t>Open</t>
        </is>
      </c>
      <c r="H809" s="27" t="inlineStr">
        <is>
          <t>ScannerApp</t>
        </is>
      </c>
      <c r="I809" s="27" t="inlineStr">
        <is>
          <t>12</t>
        </is>
      </c>
      <c r="J809" s="27" t="n">
        <v>2025</v>
      </c>
    </row>
    <row r="810" ht="15" customHeight="1" s="24">
      <c r="A810" s="27" t="n">
        <v>6591314</v>
      </c>
      <c r="B810" s="27" t="n">
        <v>933611</v>
      </c>
      <c r="C810" s="27" t="inlineStr">
        <is>
          <t>AtHub</t>
        </is>
      </c>
      <c r="D810" s="41" t="n">
        <v>46023.12696609954</v>
      </c>
      <c r="E810" s="27" t="n">
        <v>-29.674155</v>
      </c>
      <c r="F810" s="27" t="n">
        <v>30.902775</v>
      </c>
      <c r="G810" s="27" t="inlineStr">
        <is>
          <t>Open</t>
        </is>
      </c>
      <c r="H810" s="27" t="inlineStr">
        <is>
          <t>ScannerApp</t>
        </is>
      </c>
      <c r="I810" s="27" t="inlineStr">
        <is>
          <t>12</t>
        </is>
      </c>
      <c r="J810" s="27" t="n">
        <v>2025</v>
      </c>
    </row>
    <row r="811" ht="15" customHeight="1" s="24">
      <c r="A811" s="27" t="n">
        <v>6747436</v>
      </c>
      <c r="B811" s="27" t="n">
        <v>981165</v>
      </c>
      <c r="C811" s="27" t="inlineStr">
        <is>
          <t>ArrivedAtPickupPoint</t>
        </is>
      </c>
      <c r="D811" s="41" t="n">
        <v>46023.19032611111</v>
      </c>
      <c r="E811" s="27" t="n">
        <v>-26.79327</v>
      </c>
      <c r="F811" s="27" t="n">
        <v>29.567161</v>
      </c>
      <c r="G811" s="27" t="inlineStr">
        <is>
          <t>Open</t>
        </is>
      </c>
      <c r="H811" s="27" t="inlineStr">
        <is>
          <t>ScannerApp</t>
        </is>
      </c>
      <c r="I811" s="27" t="inlineStr">
        <is>
          <t>12</t>
        </is>
      </c>
      <c r="J811" s="27" t="n">
        <v>2025</v>
      </c>
    </row>
    <row r="812" ht="15" customHeight="1" s="24">
      <c r="A812" s="27" t="n">
        <v>6811515</v>
      </c>
      <c r="B812" s="27" t="n">
        <v>937323</v>
      </c>
      <c r="C812" s="27" t="inlineStr">
        <is>
          <t>CollectedByCustomer</t>
        </is>
      </c>
      <c r="D812" s="41" t="n">
        <v>46024.25295618056</v>
      </c>
      <c r="E812" s="27" t="n">
        <v>-26.554365</v>
      </c>
      <c r="F812" s="27" t="n">
        <v>28.321116</v>
      </c>
      <c r="G812" s="27" t="inlineStr">
        <is>
          <t>Closed</t>
        </is>
      </c>
      <c r="H812" s="27" t="inlineStr">
        <is>
          <t>CourierGPS</t>
        </is>
      </c>
      <c r="I812" s="27" t="inlineStr">
        <is>
          <t>12</t>
        </is>
      </c>
      <c r="J812" s="27" t="n">
        <v>2025</v>
      </c>
    </row>
    <row r="813" ht="15" customHeight="1" s="24">
      <c r="A813" s="27" t="n">
        <v>6771690</v>
      </c>
      <c r="B813" s="27" t="n">
        <v>951138</v>
      </c>
      <c r="C813" s="27" t="inlineStr">
        <is>
          <t>CustomerNotified</t>
        </is>
      </c>
      <c r="D813" s="41" t="n">
        <v>46024.88615605324</v>
      </c>
      <c r="E813" s="27" t="n">
        <v>-25.072915</v>
      </c>
      <c r="F813" s="27" t="n">
        <v>27.078304</v>
      </c>
      <c r="G813" s="27" t="inlineStr">
        <is>
          <t>Open</t>
        </is>
      </c>
      <c r="H813" s="27" t="inlineStr">
        <is>
          <t>ScannerApp</t>
        </is>
      </c>
      <c r="I813" s="27" t="inlineStr">
        <is>
          <t>12</t>
        </is>
      </c>
      <c r="J813" s="27" t="n">
        <v>2025</v>
      </c>
    </row>
    <row r="814" ht="15" customHeight="1" s="24">
      <c r="A814" s="27" t="n">
        <v>6946274</v>
      </c>
      <c r="B814" s="27" t="n">
        <v>992709</v>
      </c>
      <c r="C814" s="27" t="inlineStr">
        <is>
          <t>InLinehaul</t>
        </is>
      </c>
      <c r="D814" s="41" t="n">
        <v>46028.29345688657</v>
      </c>
      <c r="E814" s="27" t="n">
        <v>-26.733636</v>
      </c>
      <c r="F814" s="27" t="n">
        <v>29.418865</v>
      </c>
      <c r="G814" s="27" t="inlineStr">
        <is>
          <t>Open</t>
        </is>
      </c>
      <c r="H814" s="27" t="inlineStr">
        <is>
          <t>ScannerApp</t>
        </is>
      </c>
      <c r="I814" s="27" t="inlineStr">
        <is>
          <t>01</t>
        </is>
      </c>
      <c r="J814" s="27" t="n">
        <v>2026</v>
      </c>
    </row>
    <row r="815" ht="15" customHeight="1" s="24">
      <c r="A815" s="27" t="n">
        <v>6894946</v>
      </c>
      <c r="B815" s="27" t="n">
        <v>994593</v>
      </c>
      <c r="C815" s="27" t="inlineStr">
        <is>
          <t>CollectedFromRetailer</t>
        </is>
      </c>
      <c r="D815" s="41" t="n">
        <v>46028.44704216435</v>
      </c>
      <c r="E815" s="27" t="n">
        <v>-28.214231</v>
      </c>
      <c r="F815" s="27" t="n">
        <v>29.567474</v>
      </c>
      <c r="G815" s="27" t="inlineStr">
        <is>
          <t>Open</t>
        </is>
      </c>
      <c r="H815" s="27" t="inlineStr">
        <is>
          <t>ScannerApp</t>
        </is>
      </c>
      <c r="I815" s="27" t="inlineStr">
        <is>
          <t>01</t>
        </is>
      </c>
      <c r="J815" s="27" t="n">
        <v>2026</v>
      </c>
    </row>
    <row r="816" ht="15" customHeight="1" s="24">
      <c r="A816" s="27" t="n">
        <v>7005299</v>
      </c>
      <c r="B816" s="27" t="n">
        <v>998594</v>
      </c>
      <c r="C816" s="27" t="inlineStr">
        <is>
          <t>CustomerNotified</t>
        </is>
      </c>
      <c r="D816" s="41" t="n">
        <v>46028.91963491898</v>
      </c>
      <c r="E816" s="27" t="n">
        <v>-25.199781</v>
      </c>
      <c r="F816" s="27" t="n">
        <v>27.36196</v>
      </c>
      <c r="G816" s="27" t="inlineStr">
        <is>
          <t>Open</t>
        </is>
      </c>
      <c r="H816" s="27" t="inlineStr">
        <is>
          <t>ScannerApp</t>
        </is>
      </c>
      <c r="I816" s="27" t="inlineStr">
        <is>
          <t>01</t>
        </is>
      </c>
      <c r="J816" s="27" t="n">
        <v>2026</v>
      </c>
    </row>
    <row r="817" ht="15" customHeight="1" s="24">
      <c r="A817" s="27" t="n">
        <v>6997833</v>
      </c>
      <c r="B817" s="27" t="n">
        <v>991116</v>
      </c>
      <c r="C817" s="27" t="inlineStr">
        <is>
          <t>CustomerNotified</t>
        </is>
      </c>
      <c r="D817" s="41" t="n">
        <v>46032.00530841435</v>
      </c>
      <c r="E817" s="27" t="n">
        <v>-27.417606</v>
      </c>
      <c r="F817" s="27" t="n">
        <v>31.104501</v>
      </c>
      <c r="G817" s="27" t="inlineStr">
        <is>
          <t>Open</t>
        </is>
      </c>
      <c r="H817" s="27" t="inlineStr">
        <is>
          <t>ScannerApp</t>
        </is>
      </c>
      <c r="I817" s="27" t="inlineStr">
        <is>
          <t>01</t>
        </is>
      </c>
      <c r="J817" s="27" t="n">
        <v>2026</v>
      </c>
    </row>
    <row r="818" ht="15" customHeight="1" s="24">
      <c r="A818" s="27" t="n">
        <v>6877849</v>
      </c>
      <c r="B818" s="27" t="n">
        <v>1004102</v>
      </c>
      <c r="C818" s="27" t="inlineStr">
        <is>
          <t>Created</t>
        </is>
      </c>
      <c r="D818" s="41" t="n">
        <v>46032.23128988426</v>
      </c>
      <c r="E818" s="27" t="n">
        <v>-29.989577</v>
      </c>
      <c r="F818" s="27" t="n">
        <v>28.88476</v>
      </c>
      <c r="G818" s="27" t="inlineStr">
        <is>
          <t>Open</t>
        </is>
      </c>
      <c r="H818" s="27" t="inlineStr">
        <is>
          <t>API</t>
        </is>
      </c>
      <c r="I818" s="27" t="inlineStr">
        <is>
          <t>01</t>
        </is>
      </c>
      <c r="J818" s="27" t="n">
        <v>2026</v>
      </c>
    </row>
    <row r="819" ht="15" customHeight="1" s="24">
      <c r="A819" s="27" t="n">
        <v>6974629</v>
      </c>
      <c r="B819" s="27" t="n">
        <v>994474</v>
      </c>
      <c r="C819" s="27" t="inlineStr">
        <is>
          <t>ArrivedAtPickupPoint</t>
        </is>
      </c>
      <c r="D819" s="41" t="n">
        <v>46034.13398121528</v>
      </c>
      <c r="E819" s="27" t="n">
        <v>-26.05819</v>
      </c>
      <c r="F819" s="27" t="n">
        <v>28.158361</v>
      </c>
      <c r="G819" s="27" t="inlineStr">
        <is>
          <t>Open</t>
        </is>
      </c>
      <c r="H819" s="27" t="inlineStr">
        <is>
          <t>PartnerPOS</t>
        </is>
      </c>
      <c r="I819" s="27" t="inlineStr">
        <is>
          <t>01</t>
        </is>
      </c>
      <c r="J819" s="27" t="n">
        <v>2026</v>
      </c>
    </row>
    <row r="820" ht="15" customHeight="1" s="24">
      <c r="A820" s="27" t="n">
        <v>6874753</v>
      </c>
      <c r="B820" s="27" t="n">
        <v>1001006</v>
      </c>
      <c r="C820" s="27" t="inlineStr">
        <is>
          <t>Created</t>
        </is>
      </c>
      <c r="D820" s="41" t="n">
        <v>46037.66291377315</v>
      </c>
      <c r="E820" s="27" t="n">
        <v>-32.854337</v>
      </c>
      <c r="F820" s="27" t="n">
        <v>20.001608</v>
      </c>
      <c r="G820" s="27" t="inlineStr">
        <is>
          <t>Open</t>
        </is>
      </c>
      <c r="H820" s="27" t="inlineStr">
        <is>
          <t>ScannerApp</t>
        </is>
      </c>
      <c r="I820" s="27" t="inlineStr">
        <is>
          <t>01</t>
        </is>
      </c>
      <c r="J820" s="27" t="n">
        <v>2026</v>
      </c>
    </row>
    <row r="821" ht="15" customHeight="1" s="24">
      <c r="A821" s="27" t="n">
        <v>7037539</v>
      </c>
      <c r="B821" s="27" t="n">
        <v>1006002</v>
      </c>
      <c r="C821" s="27" t="inlineStr">
        <is>
          <t>CollectedByCustomer</t>
        </is>
      </c>
      <c r="D821" s="41" t="n">
        <v>46038.52572716435</v>
      </c>
      <c r="E821" s="27" t="n">
        <v>-25.56441</v>
      </c>
      <c r="F821" s="27" t="n">
        <v>28.0765</v>
      </c>
      <c r="G821" s="27" t="inlineStr">
        <is>
          <t>Closed</t>
        </is>
      </c>
      <c r="H821" s="27" t="inlineStr">
        <is>
          <t>ScannerApp</t>
        </is>
      </c>
      <c r="I821" s="27" t="inlineStr">
        <is>
          <t>01</t>
        </is>
      </c>
      <c r="J821" s="27" t="n">
        <v>2026</v>
      </c>
    </row>
    <row r="822" ht="15" customHeight="1" s="24">
      <c r="A822" s="27" t="n">
        <v>6884307</v>
      </c>
      <c r="B822" s="27" t="n">
        <v>983954</v>
      </c>
      <c r="C822" s="27" t="inlineStr">
        <is>
          <t>CollectedFromRetailer</t>
        </is>
      </c>
      <c r="D822" s="41" t="n">
        <v>46039.45632711805</v>
      </c>
      <c r="E822" s="27" t="n">
        <v>-28.813062</v>
      </c>
      <c r="F822" s="27" t="n">
        <v>22.463428</v>
      </c>
      <c r="G822" s="27" t="inlineStr">
        <is>
          <t>Open</t>
        </is>
      </c>
      <c r="H822" s="27" t="inlineStr">
        <is>
          <t>ScannerApp</t>
        </is>
      </c>
      <c r="I822" s="27" t="inlineStr">
        <is>
          <t>01</t>
        </is>
      </c>
      <c r="J822" s="27" t="n">
        <v>2026</v>
      </c>
    </row>
    <row r="823" ht="15" customHeight="1" s="24">
      <c r="A823" s="27" t="n">
        <v>6871464</v>
      </c>
      <c r="B823" s="27" t="n">
        <v>997717</v>
      </c>
      <c r="C823" s="27" t="inlineStr">
        <is>
          <t>Created</t>
        </is>
      </c>
      <c r="D823" s="41" t="n">
        <v>46040.5993668287</v>
      </c>
      <c r="E823" s="27" t="n">
        <v>-25.95658</v>
      </c>
      <c r="F823" s="27" t="n">
        <v>28.183768</v>
      </c>
      <c r="G823" s="27" t="inlineStr">
        <is>
          <t>Open</t>
        </is>
      </c>
      <c r="H823" s="27" t="inlineStr">
        <is>
          <t>ScannerApp</t>
        </is>
      </c>
      <c r="I823" s="27" t="inlineStr">
        <is>
          <t>01</t>
        </is>
      </c>
      <c r="J823" s="27" t="n">
        <v>2026</v>
      </c>
    </row>
    <row r="824" ht="15" customHeight="1" s="24">
      <c r="A824" s="27" t="n">
        <v>7004130</v>
      </c>
      <c r="B824" s="27" t="n">
        <v>997423</v>
      </c>
      <c r="C824" s="27" t="inlineStr">
        <is>
          <t>CustomerNotified</t>
        </is>
      </c>
      <c r="D824" s="41" t="n">
        <v>46040.82885957176</v>
      </c>
      <c r="E824" s="27" t="n">
        <v>-25.21867</v>
      </c>
      <c r="F824" s="27" t="n">
        <v>27.439482</v>
      </c>
      <c r="G824" s="27" t="inlineStr">
        <is>
          <t>Open</t>
        </is>
      </c>
      <c r="H824" s="27" t="inlineStr">
        <is>
          <t>CourierGPS</t>
        </is>
      </c>
      <c r="I824" s="27" t="inlineStr">
        <is>
          <t>01</t>
        </is>
      </c>
      <c r="J824" s="27" t="n">
        <v>2026</v>
      </c>
    </row>
    <row r="825" ht="15" customHeight="1" s="24">
      <c r="A825" s="27" t="n">
        <v>6892581</v>
      </c>
      <c r="B825" s="27" t="n">
        <v>992228</v>
      </c>
      <c r="C825" s="27" t="inlineStr">
        <is>
          <t>CollectedFromRetailer</t>
        </is>
      </c>
      <c r="D825" s="41" t="n">
        <v>46042.01230758102</v>
      </c>
      <c r="E825" s="27" t="n">
        <v>-26.864847</v>
      </c>
      <c r="F825" s="27" t="n">
        <v>31.953528</v>
      </c>
      <c r="G825" s="27" t="inlineStr">
        <is>
          <t>Open</t>
        </is>
      </c>
      <c r="H825" s="27" t="inlineStr">
        <is>
          <t>PartnerPOS</t>
        </is>
      </c>
      <c r="I825" s="27" t="inlineStr">
        <is>
          <t>01</t>
        </is>
      </c>
      <c r="J825" s="27" t="n">
        <v>2026</v>
      </c>
    </row>
    <row r="826" ht="15" customHeight="1" s="24">
      <c r="A826" s="27" t="n">
        <v>6919616</v>
      </c>
      <c r="B826" s="27" t="n">
        <v>992657</v>
      </c>
      <c r="C826" s="27" t="inlineStr">
        <is>
          <t>AtHub</t>
        </is>
      </c>
      <c r="D826" s="41" t="n">
        <v>46044.37083486111</v>
      </c>
      <c r="E826" s="27" t="n">
        <v>-26.42836</v>
      </c>
      <c r="F826" s="27" t="n">
        <v>31.774183</v>
      </c>
      <c r="G826" s="27" t="inlineStr">
        <is>
          <t>Open</t>
        </is>
      </c>
      <c r="H826" s="27" t="inlineStr">
        <is>
          <t>API</t>
        </is>
      </c>
      <c r="I826" s="27" t="inlineStr">
        <is>
          <t>01</t>
        </is>
      </c>
      <c r="J826" s="27" t="n">
        <v>2026</v>
      </c>
    </row>
    <row r="827" ht="15" customHeight="1" s="24">
      <c r="A827" s="27" t="n">
        <v>6903672</v>
      </c>
      <c r="B827" s="27" t="n">
        <v>1003319</v>
      </c>
      <c r="C827" s="27" t="inlineStr">
        <is>
          <t>CollectedFromRetailer</t>
        </is>
      </c>
      <c r="D827" s="41" t="n">
        <v>46044.40142944444</v>
      </c>
      <c r="E827" s="27" t="n">
        <v>-29.416423</v>
      </c>
      <c r="F827" s="27" t="n">
        <v>18.936864</v>
      </c>
      <c r="G827" s="27" t="inlineStr">
        <is>
          <t>Open</t>
        </is>
      </c>
      <c r="H827" s="27" t="inlineStr">
        <is>
          <t>API</t>
        </is>
      </c>
      <c r="I827" s="27" t="inlineStr">
        <is>
          <t>01</t>
        </is>
      </c>
      <c r="J827" s="27" t="n">
        <v>2026</v>
      </c>
    </row>
    <row r="828" ht="15" customHeight="1" s="24">
      <c r="A828" s="27" t="n">
        <v>7041663</v>
      </c>
      <c r="B828" s="27" t="n">
        <v>999439</v>
      </c>
      <c r="C828" s="27" t="inlineStr">
        <is>
          <t>ExpiredReturnedToSender</t>
        </is>
      </c>
      <c r="D828" s="41" t="n">
        <v>46045.51008622685</v>
      </c>
      <c r="E828" s="27" t="n">
        <v>-32.16485</v>
      </c>
      <c r="F828" s="27" t="n">
        <v>27.949616</v>
      </c>
      <c r="G828" s="27" t="inlineStr">
        <is>
          <t>RTS</t>
        </is>
      </c>
      <c r="H828" s="27" t="inlineStr">
        <is>
          <t>ScannerApp</t>
        </is>
      </c>
      <c r="I828" s="27" t="inlineStr">
        <is>
          <t>01</t>
        </is>
      </c>
      <c r="J828" s="27" t="n">
        <v>2026</v>
      </c>
    </row>
    <row r="829" ht="15" customHeight="1" s="24">
      <c r="A829" s="27" t="n">
        <v>6881284</v>
      </c>
      <c r="B829" s="27" t="n">
        <v>1007537</v>
      </c>
      <c r="C829" s="27" t="inlineStr">
        <is>
          <t>Created</t>
        </is>
      </c>
      <c r="D829" s="41" t="n">
        <v>46045.57105146991</v>
      </c>
      <c r="E829" s="27" t="n">
        <v>-31.636974</v>
      </c>
      <c r="F829" s="27" t="n">
        <v>28.599626</v>
      </c>
      <c r="G829" s="27" t="inlineStr">
        <is>
          <t>Open</t>
        </is>
      </c>
      <c r="H829" s="27" t="inlineStr">
        <is>
          <t>ScannerApp</t>
        </is>
      </c>
      <c r="I829" s="27" t="inlineStr">
        <is>
          <t>01</t>
        </is>
      </c>
      <c r="J829" s="27" t="n">
        <v>2026</v>
      </c>
    </row>
    <row r="830" ht="15" customHeight="1" s="24">
      <c r="A830" s="27" t="n">
        <v>6859225</v>
      </c>
      <c r="B830" s="27" t="n">
        <v>985478</v>
      </c>
      <c r="C830" s="27" t="inlineStr">
        <is>
          <t>Created</t>
        </is>
      </c>
      <c r="D830" s="41" t="n">
        <v>46046.69997958333</v>
      </c>
      <c r="E830" s="27" t="n">
        <v>-28.155881</v>
      </c>
      <c r="F830" s="27" t="n">
        <v>29.710875</v>
      </c>
      <c r="G830" s="27" t="inlineStr">
        <is>
          <t>Open</t>
        </is>
      </c>
      <c r="H830" s="27" t="inlineStr">
        <is>
          <t>CourierGPS</t>
        </is>
      </c>
      <c r="I830" s="27" t="inlineStr">
        <is>
          <t>01</t>
        </is>
      </c>
      <c r="J830" s="27" t="n">
        <v>2026</v>
      </c>
    </row>
    <row r="831" ht="15" customHeight="1" s="24">
      <c r="A831" s="27" t="n">
        <v>7013679</v>
      </c>
      <c r="B831" s="27" t="n">
        <v>1006995</v>
      </c>
      <c r="C831" s="27" t="inlineStr">
        <is>
          <t>CustomerNotified</t>
        </is>
      </c>
      <c r="D831" s="41" t="n">
        <v>46047.69466629629</v>
      </c>
      <c r="E831" s="27" t="n">
        <v>-25.711414</v>
      </c>
      <c r="F831" s="27" t="n">
        <v>29.141218</v>
      </c>
      <c r="G831" s="27" t="inlineStr">
        <is>
          <t>Open</t>
        </is>
      </c>
      <c r="H831" s="27" t="inlineStr">
        <is>
          <t>CourierGPS</t>
        </is>
      </c>
      <c r="I831" s="27" t="inlineStr">
        <is>
          <t>01</t>
        </is>
      </c>
      <c r="J831" s="27" t="n">
        <v>2026</v>
      </c>
    </row>
    <row r="832" ht="15" customHeight="1" s="24">
      <c r="A832" s="27" t="n">
        <v>6997272</v>
      </c>
      <c r="B832" s="27" t="n">
        <v>990554</v>
      </c>
      <c r="C832" s="27" t="inlineStr">
        <is>
          <t>CustomerNotified</t>
        </is>
      </c>
      <c r="D832" s="41" t="n">
        <v>46049.17202592592</v>
      </c>
      <c r="E832" s="27" t="n">
        <v>-23.241549</v>
      </c>
      <c r="F832" s="27" t="n">
        <v>30.577349</v>
      </c>
      <c r="G832" s="27" t="inlineStr">
        <is>
          <t>Open</t>
        </is>
      </c>
      <c r="H832" s="27" t="inlineStr">
        <is>
          <t>ScannerApp</t>
        </is>
      </c>
      <c r="I832" s="27" t="inlineStr">
        <is>
          <t>01</t>
        </is>
      </c>
      <c r="J832" s="27" t="n">
        <v>2026</v>
      </c>
    </row>
    <row r="833" ht="15" customHeight="1" s="24">
      <c r="A833" s="27" t="n">
        <v>6885422</v>
      </c>
      <c r="B833" s="27" t="n">
        <v>985069</v>
      </c>
      <c r="C833" s="27" t="inlineStr">
        <is>
          <t>CollectedFromRetailer</t>
        </is>
      </c>
      <c r="D833" s="41" t="n">
        <v>46049.34373914352</v>
      </c>
      <c r="E833" s="27" t="n">
        <v>-26.030704</v>
      </c>
      <c r="F833" s="27" t="n">
        <v>25.915196</v>
      </c>
      <c r="G833" s="27" t="inlineStr">
        <is>
          <t>Open</t>
        </is>
      </c>
      <c r="H833" s="27" t="inlineStr">
        <is>
          <t>ScannerApp</t>
        </is>
      </c>
      <c r="I833" s="27" t="inlineStr">
        <is>
          <t>01</t>
        </is>
      </c>
      <c r="J833" s="27" t="n">
        <v>2026</v>
      </c>
    </row>
    <row r="834" ht="15" customHeight="1" s="24">
      <c r="A834" s="27" t="n">
        <v>6916534</v>
      </c>
      <c r="B834" s="27" t="n">
        <v>989575</v>
      </c>
      <c r="C834" s="27" t="inlineStr">
        <is>
          <t>AtHub</t>
        </is>
      </c>
      <c r="D834" s="41" t="n">
        <v>46050.93699449074</v>
      </c>
      <c r="E834" s="27" t="n">
        <v>-25.85364</v>
      </c>
      <c r="F834" s="27" t="n">
        <v>27.513071</v>
      </c>
      <c r="G834" s="27" t="inlineStr">
        <is>
          <t>Open</t>
        </is>
      </c>
      <c r="H834" s="27" t="inlineStr">
        <is>
          <t>ScannerApp</t>
        </is>
      </c>
      <c r="I834" s="27" t="inlineStr">
        <is>
          <t>01</t>
        </is>
      </c>
      <c r="J834" s="27" t="n">
        <v>2026</v>
      </c>
    </row>
    <row r="835" ht="15" customHeight="1" s="24">
      <c r="A835" s="27" t="n">
        <v>6856793</v>
      </c>
      <c r="B835" s="27" t="n">
        <v>983046</v>
      </c>
      <c r="C835" s="27" t="inlineStr">
        <is>
          <t>Created</t>
        </is>
      </c>
      <c r="D835" s="41" t="n">
        <v>46051.47663957176</v>
      </c>
      <c r="E835" s="27" t="n">
        <v>-24.265724</v>
      </c>
      <c r="F835" s="27" t="n">
        <v>30.626542</v>
      </c>
      <c r="G835" s="27" t="inlineStr">
        <is>
          <t>Open</t>
        </is>
      </c>
      <c r="H835" s="27" t="inlineStr">
        <is>
          <t>ScannerApp</t>
        </is>
      </c>
      <c r="I835" s="27" t="inlineStr">
        <is>
          <t>01</t>
        </is>
      </c>
      <c r="J835" s="27" t="n">
        <v>2026</v>
      </c>
    </row>
    <row r="836" ht="15" customHeight="1" s="24">
      <c r="A836" s="27" t="n">
        <v>6950017</v>
      </c>
      <c r="B836" s="27" t="n">
        <v>996452</v>
      </c>
      <c r="C836" s="27" t="inlineStr">
        <is>
          <t>InLinehaul</t>
        </is>
      </c>
      <c r="D836" s="41" t="n">
        <v>46053.19235261574</v>
      </c>
      <c r="E836" s="27" t="n">
        <v>-26.153482</v>
      </c>
      <c r="F836" s="27" t="n">
        <v>28.744774</v>
      </c>
      <c r="G836" s="27" t="inlineStr">
        <is>
          <t>Open</t>
        </is>
      </c>
      <c r="H836" s="27" t="inlineStr">
        <is>
          <t>ScannerApp</t>
        </is>
      </c>
      <c r="I836" s="27" t="inlineStr">
        <is>
          <t>01</t>
        </is>
      </c>
      <c r="J836" s="27" t="n">
        <v>2026</v>
      </c>
    </row>
    <row r="837" ht="15" customHeight="1" s="24">
      <c r="A837" s="27" t="n">
        <v>7021195</v>
      </c>
      <c r="B837" s="27" t="n">
        <v>988300</v>
      </c>
      <c r="C837" s="27" t="inlineStr">
        <is>
          <t>CollectedByCustomer</t>
        </is>
      </c>
      <c r="D837" s="41" t="n">
        <v>46054.8380740162</v>
      </c>
      <c r="E837" s="27" t="n">
        <v>-29.741792</v>
      </c>
      <c r="F837" s="27" t="n">
        <v>31.651111</v>
      </c>
      <c r="G837" s="27" t="inlineStr">
        <is>
          <t>Closed</t>
        </is>
      </c>
      <c r="H837" s="27" t="inlineStr">
        <is>
          <t>API</t>
        </is>
      </c>
      <c r="I837" s="27" t="inlineStr">
        <is>
          <t>01</t>
        </is>
      </c>
      <c r="J837" s="27" t="n">
        <v>2026</v>
      </c>
    </row>
    <row r="838" ht="15" customHeight="1" s="24">
      <c r="A838" s="27" t="n">
        <v>7063077</v>
      </c>
      <c r="B838" s="27" t="n">
        <v>1030284</v>
      </c>
      <c r="C838" s="27" t="inlineStr">
        <is>
          <t>Created</t>
        </is>
      </c>
      <c r="D838" s="41" t="n">
        <v>46055.47575931713</v>
      </c>
      <c r="E838" s="27" t="n">
        <v>-27.234444</v>
      </c>
      <c r="F838" s="27" t="n">
        <v>30.62404</v>
      </c>
      <c r="G838" s="27" t="inlineStr">
        <is>
          <t>Open</t>
        </is>
      </c>
      <c r="H838" s="27" t="inlineStr">
        <is>
          <t>PartnerPOS</t>
        </is>
      </c>
      <c r="I838" s="27" t="inlineStr">
        <is>
          <t>02</t>
        </is>
      </c>
      <c r="J838" s="27" t="n">
        <v>2026</v>
      </c>
    </row>
    <row r="839" ht="15" customHeight="1" s="24">
      <c r="A839" s="27" t="n">
        <v>7099696</v>
      </c>
      <c r="B839" s="27" t="n">
        <v>1036061</v>
      </c>
      <c r="C839" s="27" t="inlineStr">
        <is>
          <t>CollectedFromRetailer</t>
        </is>
      </c>
      <c r="D839" s="41" t="n">
        <v>46055.64280778935</v>
      </c>
      <c r="E839" s="27" t="n">
        <v>-35.57805</v>
      </c>
      <c r="F839" s="27" t="n">
        <v>18.914641</v>
      </c>
      <c r="G839" s="27" t="inlineStr">
        <is>
          <t>Open</t>
        </is>
      </c>
      <c r="H839" s="27" t="inlineStr">
        <is>
          <t>ScannerApp</t>
        </is>
      </c>
      <c r="I839" s="27" t="inlineStr">
        <is>
          <t>02</t>
        </is>
      </c>
      <c r="J839" s="27" t="n">
        <v>2026</v>
      </c>
    </row>
    <row r="840" ht="15" customHeight="1" s="24">
      <c r="A840" s="27" t="n">
        <v>7187875</v>
      </c>
      <c r="B840" s="27" t="n">
        <v>1031764</v>
      </c>
      <c r="C840" s="27" t="inlineStr">
        <is>
          <t>ArrivedAtPickupPoint</t>
        </is>
      </c>
      <c r="D840" s="41" t="n">
        <v>46057.1268509375</v>
      </c>
      <c r="E840" s="27" t="n">
        <v>-29.977328</v>
      </c>
      <c r="F840" s="27" t="n">
        <v>29.645043</v>
      </c>
      <c r="G840" s="27" t="inlineStr">
        <is>
          <t>Open</t>
        </is>
      </c>
      <c r="H840" s="27" t="inlineStr">
        <is>
          <t>CourierGPS</t>
        </is>
      </c>
      <c r="I840" s="27" t="inlineStr">
        <is>
          <t>02</t>
        </is>
      </c>
      <c r="J840" s="27" t="n">
        <v>2026</v>
      </c>
    </row>
    <row r="841" ht="15" customHeight="1" s="24">
      <c r="A841" s="27" t="n">
        <v>7122998</v>
      </c>
      <c r="B841" s="27" t="n">
        <v>1028521</v>
      </c>
      <c r="C841" s="27" t="inlineStr">
        <is>
          <t>AtHub</t>
        </is>
      </c>
      <c r="D841" s="41" t="n">
        <v>46057.17113017361</v>
      </c>
      <c r="E841" s="27" t="n">
        <v>-30.152703</v>
      </c>
      <c r="F841" s="27" t="n">
        <v>25.048528</v>
      </c>
      <c r="G841" s="27" t="inlineStr">
        <is>
          <t>Open</t>
        </is>
      </c>
      <c r="H841" s="27" t="inlineStr">
        <is>
          <t>API</t>
        </is>
      </c>
      <c r="I841" s="27" t="inlineStr">
        <is>
          <t>02</t>
        </is>
      </c>
      <c r="J841" s="27" t="n">
        <v>2026</v>
      </c>
    </row>
    <row r="842" ht="15" customHeight="1" s="24">
      <c r="A842" s="27" t="n">
        <v>7241060</v>
      </c>
      <c r="B842" s="27" t="n">
        <v>1024510</v>
      </c>
      <c r="C842" s="27" t="inlineStr">
        <is>
          <t>CollectedByCustomer</t>
        </is>
      </c>
      <c r="D842" s="41" t="n">
        <v>46057.59052721065</v>
      </c>
      <c r="E842" s="27" t="n">
        <v>-26.554365</v>
      </c>
      <c r="F842" s="27" t="n">
        <v>28.321116</v>
      </c>
      <c r="G842" s="27" t="inlineStr">
        <is>
          <t>Closed</t>
        </is>
      </c>
      <c r="H842" s="27" t="inlineStr">
        <is>
          <t>PartnerPOS</t>
        </is>
      </c>
      <c r="I842" s="27" t="inlineStr">
        <is>
          <t>02</t>
        </is>
      </c>
      <c r="J842" s="27" t="n">
        <v>2026</v>
      </c>
    </row>
    <row r="843" ht="15" customHeight="1" s="24">
      <c r="A843" s="27" t="n">
        <v>7139581</v>
      </c>
      <c r="B843" s="27" t="n">
        <v>1014262</v>
      </c>
      <c r="C843" s="27" t="inlineStr">
        <is>
          <t>InLinehaul</t>
        </is>
      </c>
      <c r="D843" s="41" t="n">
        <v>46058.18219822917</v>
      </c>
      <c r="E843" s="27" t="n">
        <v>-28.241143</v>
      </c>
      <c r="F843" s="27" t="n">
        <v>29.722981</v>
      </c>
      <c r="G843" s="27" t="inlineStr">
        <is>
          <t>Open</t>
        </is>
      </c>
      <c r="H843" s="27" t="inlineStr">
        <is>
          <t>API</t>
        </is>
      </c>
      <c r="I843" s="27" t="inlineStr">
        <is>
          <t>02</t>
        </is>
      </c>
      <c r="J843" s="27" t="n">
        <v>2026</v>
      </c>
    </row>
    <row r="844" ht="15" customHeight="1" s="24">
      <c r="A844" s="27" t="n">
        <v>7087932</v>
      </c>
      <c r="B844" s="27" t="n">
        <v>1024297</v>
      </c>
      <c r="C844" s="27" t="inlineStr">
        <is>
          <t>CollectedFromRetailer</t>
        </is>
      </c>
      <c r="D844" s="41" t="n">
        <v>46058.68499387732</v>
      </c>
      <c r="E844" s="27" t="n">
        <v>-25.647553</v>
      </c>
      <c r="F844" s="27" t="n">
        <v>26.307646</v>
      </c>
      <c r="G844" s="27" t="inlineStr">
        <is>
          <t>Open</t>
        </is>
      </c>
      <c r="H844" s="27" t="inlineStr">
        <is>
          <t>ScannerApp</t>
        </is>
      </c>
      <c r="I844" s="27" t="inlineStr">
        <is>
          <t>02</t>
        </is>
      </c>
      <c r="J844" s="27" t="n">
        <v>2026</v>
      </c>
    </row>
    <row r="845" ht="15" customHeight="1" s="24">
      <c r="A845" s="27" t="n">
        <v>7221856</v>
      </c>
      <c r="B845" s="27" t="n">
        <v>1034982</v>
      </c>
      <c r="C845" s="27" t="inlineStr">
        <is>
          <t>CustomerNotified</t>
        </is>
      </c>
      <c r="D845" s="41" t="n">
        <v>46060.62929020834</v>
      </c>
      <c r="E845" s="27" t="n">
        <v>-25.369297</v>
      </c>
      <c r="F845" s="27" t="n">
        <v>29.339417</v>
      </c>
      <c r="G845" s="27" t="inlineStr">
        <is>
          <t>Open</t>
        </is>
      </c>
      <c r="H845" s="27" t="inlineStr">
        <is>
          <t>ScannerApp</t>
        </is>
      </c>
      <c r="I845" s="27" t="inlineStr">
        <is>
          <t>02</t>
        </is>
      </c>
      <c r="J845" s="27" t="n">
        <v>2026</v>
      </c>
    </row>
    <row r="846" ht="15" customHeight="1" s="24">
      <c r="A846" s="27" t="n">
        <v>7113048</v>
      </c>
      <c r="B846" s="27" t="n">
        <v>1018571</v>
      </c>
      <c r="C846" s="27" t="inlineStr">
        <is>
          <t>AtHub</t>
        </is>
      </c>
      <c r="D846" s="41" t="n">
        <v>46063.77156306713</v>
      </c>
      <c r="E846" s="27" t="n">
        <v>-32.55542</v>
      </c>
      <c r="F846" s="27" t="n">
        <v>27.803689</v>
      </c>
      <c r="G846" s="27" t="inlineStr">
        <is>
          <t>Open</t>
        </is>
      </c>
      <c r="H846" s="27" t="inlineStr">
        <is>
          <t>PartnerPOS</t>
        </is>
      </c>
      <c r="I846" s="27" t="inlineStr">
        <is>
          <t>02</t>
        </is>
      </c>
      <c r="J846" s="27" t="n">
        <v>2026</v>
      </c>
    </row>
    <row r="847" ht="15" customHeight="1" s="24">
      <c r="A847" s="27" t="n">
        <v>7180643</v>
      </c>
      <c r="B847" s="27" t="n">
        <v>1024517</v>
      </c>
      <c r="C847" s="27" t="inlineStr">
        <is>
          <t>ArrivedAtPickupPoint</t>
        </is>
      </c>
      <c r="D847" s="41" t="n">
        <v>46065.85153646991</v>
      </c>
      <c r="E847" s="27" t="n">
        <v>-30.988234</v>
      </c>
      <c r="F847" s="27" t="n">
        <v>29.190806</v>
      </c>
      <c r="G847" s="27" t="inlineStr">
        <is>
          <t>Open</t>
        </is>
      </c>
      <c r="H847" s="27" t="inlineStr">
        <is>
          <t>PartnerPOS</t>
        </is>
      </c>
      <c r="I847" s="27" t="inlineStr">
        <is>
          <t>02</t>
        </is>
      </c>
      <c r="J847" s="27" t="n">
        <v>2026</v>
      </c>
    </row>
    <row r="848" ht="15" customHeight="1" s="24">
      <c r="A848" s="27" t="n">
        <v>7154287</v>
      </c>
      <c r="B848" s="27" t="n">
        <v>1028968</v>
      </c>
      <c r="C848" s="27" t="inlineStr">
        <is>
          <t>InLinehaul</t>
        </is>
      </c>
      <c r="D848" s="41" t="n">
        <v>46066.74554464121</v>
      </c>
      <c r="E848" s="27" t="n">
        <v>-33.453844</v>
      </c>
      <c r="F848" s="27" t="n">
        <v>23.288815</v>
      </c>
      <c r="G848" s="27" t="inlineStr">
        <is>
          <t>Open</t>
        </is>
      </c>
      <c r="H848" s="27" t="inlineStr">
        <is>
          <t>ScannerApp</t>
        </is>
      </c>
      <c r="I848" s="27" t="inlineStr">
        <is>
          <t>02</t>
        </is>
      </c>
      <c r="J848" s="27" t="n">
        <v>2026</v>
      </c>
    </row>
    <row r="849" ht="15" customHeight="1" s="24">
      <c r="A849" s="27" t="n">
        <v>7254760</v>
      </c>
      <c r="B849" s="27" t="n">
        <v>1039369</v>
      </c>
      <c r="C849" s="27" t="inlineStr">
        <is>
          <t>CollectedByCustomer</t>
        </is>
      </c>
      <c r="D849" s="41" t="n">
        <v>46069.27565039352</v>
      </c>
      <c r="E849" s="27" t="n">
        <v>-25.003955</v>
      </c>
      <c r="F849" s="27" t="n">
        <v>31.208222</v>
      </c>
      <c r="G849" s="27" t="inlineStr">
        <is>
          <t>Closed</t>
        </is>
      </c>
      <c r="H849" s="27" t="inlineStr">
        <is>
          <t>ScannerApp</t>
        </is>
      </c>
      <c r="I849" s="27" t="inlineStr">
        <is>
          <t>02</t>
        </is>
      </c>
      <c r="J849" s="27" t="n">
        <v>2026</v>
      </c>
    </row>
    <row r="850" ht="15" customHeight="1" s="24">
      <c r="A850" s="27" t="n">
        <v>7121555</v>
      </c>
      <c r="B850" s="27" t="n">
        <v>1027078</v>
      </c>
      <c r="C850" s="27" t="inlineStr">
        <is>
          <t>AtHub</t>
        </is>
      </c>
      <c r="D850" s="41" t="n">
        <v>46071.39339351852</v>
      </c>
      <c r="E850" s="27" t="n">
        <v>-28.842538</v>
      </c>
      <c r="F850" s="27" t="n">
        <v>21.338858</v>
      </c>
      <c r="G850" s="27" t="inlineStr">
        <is>
          <t>Open</t>
        </is>
      </c>
      <c r="H850" s="27" t="inlineStr">
        <is>
          <t>ScannerApp</t>
        </is>
      </c>
      <c r="I850" s="27" t="inlineStr">
        <is>
          <t>02</t>
        </is>
      </c>
      <c r="J850" s="27" t="n">
        <v>2026</v>
      </c>
    </row>
    <row r="851" ht="15" customHeight="1" s="24">
      <c r="A851" s="27" t="n">
        <v>7184709</v>
      </c>
      <c r="B851" s="27" t="n">
        <v>1028590</v>
      </c>
      <c r="C851" s="27" t="inlineStr">
        <is>
          <t>ArrivedAtPickupPoint</t>
        </is>
      </c>
      <c r="D851" s="41" t="n">
        <v>46073.39722642361</v>
      </c>
      <c r="E851" s="27" t="n">
        <v>-33.478592</v>
      </c>
      <c r="F851" s="27" t="n">
        <v>26.733806</v>
      </c>
      <c r="G851" s="27" t="inlineStr">
        <is>
          <t>Open</t>
        </is>
      </c>
      <c r="H851" s="27" t="inlineStr">
        <is>
          <t>CourierGPS</t>
        </is>
      </c>
      <c r="I851" s="27" t="inlineStr">
        <is>
          <t>02</t>
        </is>
      </c>
      <c r="J851" s="27" t="n">
        <v>2026</v>
      </c>
    </row>
    <row r="852" ht="15" customHeight="1" s="24">
      <c r="A852" s="27" t="n">
        <v>7120917</v>
      </c>
      <c r="B852" s="27" t="n">
        <v>1026440</v>
      </c>
      <c r="C852" s="27" t="inlineStr">
        <is>
          <t>AtHub</t>
        </is>
      </c>
      <c r="D852" s="41" t="n">
        <v>46074.82758450232</v>
      </c>
      <c r="E852" s="27" t="n">
        <v>-33.42524</v>
      </c>
      <c r="F852" s="27" t="n">
        <v>17.129469</v>
      </c>
      <c r="G852" s="27" t="inlineStr">
        <is>
          <t>Open</t>
        </is>
      </c>
      <c r="H852" s="27" t="inlineStr">
        <is>
          <t>ScannerApp</t>
        </is>
      </c>
      <c r="I852" s="27" t="inlineStr">
        <is>
          <t>02</t>
        </is>
      </c>
      <c r="J852" s="27" t="n">
        <v>2026</v>
      </c>
    </row>
    <row r="853" ht="15" customHeight="1" s="24">
      <c r="A853" s="27" t="n">
        <v>7190009</v>
      </c>
      <c r="B853" s="27" t="n">
        <v>1033904</v>
      </c>
      <c r="C853" s="27" t="inlineStr">
        <is>
          <t>ArrivedAtPickupPoint</t>
        </is>
      </c>
      <c r="D853" s="41" t="n">
        <v>46075.10050577547</v>
      </c>
      <c r="E853" s="27" t="n">
        <v>-26.575688</v>
      </c>
      <c r="F853" s="27" t="n">
        <v>28.91577</v>
      </c>
      <c r="G853" s="27" t="inlineStr">
        <is>
          <t>Open</t>
        </is>
      </c>
      <c r="H853" s="27" t="inlineStr">
        <is>
          <t>PartnerPOS</t>
        </is>
      </c>
      <c r="I853" s="27" t="inlineStr">
        <is>
          <t>02</t>
        </is>
      </c>
      <c r="J853" s="27" t="n">
        <v>2026</v>
      </c>
    </row>
    <row r="854" ht="15" customHeight="1" s="24">
      <c r="A854" s="27" t="n">
        <v>7065827</v>
      </c>
      <c r="B854" s="27" t="n">
        <v>1033034</v>
      </c>
      <c r="C854" s="27" t="inlineStr">
        <is>
          <t>Created</t>
        </is>
      </c>
      <c r="D854" s="41" t="n">
        <v>46076.10702819444</v>
      </c>
      <c r="E854" s="27" t="n">
        <v>-28.772515</v>
      </c>
      <c r="F854" s="27" t="n">
        <v>29.655769</v>
      </c>
      <c r="G854" s="27" t="inlineStr">
        <is>
          <t>Open</t>
        </is>
      </c>
      <c r="H854" s="27" t="inlineStr">
        <is>
          <t>PartnerPOS</t>
        </is>
      </c>
      <c r="I854" s="27" t="inlineStr">
        <is>
          <t>02</t>
        </is>
      </c>
      <c r="J854" s="27" t="n">
        <v>2026</v>
      </c>
    </row>
    <row r="855" ht="15" customHeight="1" s="24">
      <c r="A855" s="27" t="n">
        <v>7233004</v>
      </c>
      <c r="B855" s="27" t="n">
        <v>1015789</v>
      </c>
      <c r="C855" s="27" t="inlineStr">
        <is>
          <t>CollectedByCustomer</t>
        </is>
      </c>
      <c r="D855" s="41" t="n">
        <v>46076.26528373842</v>
      </c>
      <c r="E855" s="27" t="n">
        <v>-22.565349</v>
      </c>
      <c r="F855" s="27" t="n">
        <v>30.435862</v>
      </c>
      <c r="G855" s="27" t="inlineStr">
        <is>
          <t>Closed</t>
        </is>
      </c>
      <c r="H855" s="27" t="inlineStr">
        <is>
          <t>ScannerApp</t>
        </is>
      </c>
      <c r="I855" s="27" t="inlineStr">
        <is>
          <t>02</t>
        </is>
      </c>
      <c r="J855" s="27" t="n">
        <v>2026</v>
      </c>
    </row>
    <row r="856" ht="15" customHeight="1" s="24">
      <c r="A856" s="27" t="n">
        <v>7151187</v>
      </c>
      <c r="B856" s="27" t="n">
        <v>1025868</v>
      </c>
      <c r="C856" s="27" t="inlineStr">
        <is>
          <t>InLinehaul</t>
        </is>
      </c>
      <c r="D856" s="41" t="n">
        <v>46076.68914199074</v>
      </c>
      <c r="E856" s="27" t="n">
        <v>-25.54296</v>
      </c>
      <c r="F856" s="27" t="n">
        <v>30.991486</v>
      </c>
      <c r="G856" s="27" t="inlineStr">
        <is>
          <t>Open</t>
        </is>
      </c>
      <c r="H856" s="27" t="inlineStr">
        <is>
          <t>ScannerApp</t>
        </is>
      </c>
      <c r="I856" s="27" t="inlineStr">
        <is>
          <t>02</t>
        </is>
      </c>
      <c r="J856" s="27" t="n">
        <v>2026</v>
      </c>
    </row>
    <row r="857" ht="15" customHeight="1" s="24">
      <c r="A857" s="27" t="n">
        <v>7079020</v>
      </c>
      <c r="B857" s="27" t="n">
        <v>1015385</v>
      </c>
      <c r="C857" s="27" t="inlineStr">
        <is>
          <t>CollectedFromRetailer</t>
        </is>
      </c>
      <c r="D857" s="41" t="n">
        <v>46077.77842385416</v>
      </c>
      <c r="E857" s="27" t="n">
        <v>-25.911858</v>
      </c>
      <c r="F857" s="27" t="n">
        <v>28.441319</v>
      </c>
      <c r="G857" s="27" t="inlineStr">
        <is>
          <t>Open</t>
        </is>
      </c>
      <c r="H857" s="27" t="inlineStr">
        <is>
          <t>PartnerPOS</t>
        </is>
      </c>
      <c r="I857" s="27" t="inlineStr">
        <is>
          <t>02</t>
        </is>
      </c>
      <c r="J857" s="27" t="n">
        <v>2026</v>
      </c>
    </row>
    <row r="858" ht="15" customHeight="1" s="24">
      <c r="A858" s="27" t="n">
        <v>7219074</v>
      </c>
      <c r="B858" s="27" t="n">
        <v>1032193</v>
      </c>
      <c r="C858" s="27" t="inlineStr">
        <is>
          <t>CustomerNotified</t>
        </is>
      </c>
      <c r="D858" s="41" t="n">
        <v>46077.93890815973</v>
      </c>
      <c r="E858" s="27" t="n">
        <v>-31.644327</v>
      </c>
      <c r="F858" s="27" t="n">
        <v>25.284882</v>
      </c>
      <c r="G858" s="27" t="inlineStr">
        <is>
          <t>Open</t>
        </is>
      </c>
      <c r="H858" s="27" t="inlineStr">
        <is>
          <t>ScannerApp</t>
        </is>
      </c>
      <c r="I858" s="27" t="inlineStr">
        <is>
          <t>02</t>
        </is>
      </c>
      <c r="J858" s="27" t="n">
        <v>2026</v>
      </c>
    </row>
    <row r="859" ht="15" customHeight="1" s="24">
      <c r="A859" s="27" t="n">
        <v>7115959</v>
      </c>
      <c r="B859" s="27" t="n">
        <v>1021482</v>
      </c>
      <c r="C859" s="27" t="inlineStr">
        <is>
          <t>AtHub</t>
        </is>
      </c>
      <c r="D859" s="41" t="n">
        <v>46078.3437616088</v>
      </c>
      <c r="E859" s="27" t="n">
        <v>-26.995817</v>
      </c>
      <c r="F859" s="27" t="n">
        <v>30.434135</v>
      </c>
      <c r="G859" s="27" t="inlineStr">
        <is>
          <t>Open</t>
        </is>
      </c>
      <c r="H859" s="27" t="inlineStr">
        <is>
          <t>ScannerApp</t>
        </is>
      </c>
      <c r="I859" s="27" t="inlineStr">
        <is>
          <t>02</t>
        </is>
      </c>
      <c r="J859" s="27" t="n">
        <v>2026</v>
      </c>
    </row>
    <row r="860" ht="15" customHeight="1" s="24">
      <c r="A860" s="27" t="n">
        <v>7124941</v>
      </c>
      <c r="B860" s="27" t="n">
        <v>1030464</v>
      </c>
      <c r="C860" s="27" t="inlineStr">
        <is>
          <t>AtHub</t>
        </is>
      </c>
      <c r="D860" s="41" t="n">
        <v>46078.36627171296</v>
      </c>
      <c r="E860" s="27" t="n">
        <v>-29.054728</v>
      </c>
      <c r="F860" s="27" t="n">
        <v>30.463864</v>
      </c>
      <c r="G860" s="27" t="inlineStr">
        <is>
          <t>Open</t>
        </is>
      </c>
      <c r="H860" s="27" t="inlineStr">
        <is>
          <t>CourierGPS</t>
        </is>
      </c>
      <c r="I860" s="27" t="inlineStr">
        <is>
          <t>02</t>
        </is>
      </c>
      <c r="J860" s="27" t="n">
        <v>2026</v>
      </c>
    </row>
    <row r="861" ht="15" customHeight="1" s="24">
      <c r="A861" s="27" t="n">
        <v>7189449</v>
      </c>
      <c r="B861" s="27" t="n">
        <v>1033344</v>
      </c>
      <c r="C861" s="27" t="inlineStr">
        <is>
          <t>ArrivedAtPickupPoint</t>
        </is>
      </c>
      <c r="D861" s="41" t="n">
        <v>46078.7421229051</v>
      </c>
      <c r="E861" s="27" t="n">
        <v>-32.511251</v>
      </c>
      <c r="F861" s="27" t="n">
        <v>19.602622</v>
      </c>
      <c r="G861" s="27" t="inlineStr">
        <is>
          <t>Open</t>
        </is>
      </c>
      <c r="H861" s="27" t="inlineStr">
        <is>
          <t>CourierGPS</t>
        </is>
      </c>
      <c r="I861" s="27" t="inlineStr">
        <is>
          <t>02</t>
        </is>
      </c>
      <c r="J861" s="27" t="n">
        <v>2026</v>
      </c>
    </row>
    <row r="862" ht="15" customHeight="1" s="24">
      <c r="A862" s="27" t="n">
        <v>7059859</v>
      </c>
      <c r="B862" s="27" t="n">
        <v>1027066</v>
      </c>
      <c r="C862" s="27" t="inlineStr">
        <is>
          <t>Created</t>
        </is>
      </c>
      <c r="D862" s="41" t="n">
        <v>46079.97407837963</v>
      </c>
      <c r="E862" s="27" t="n">
        <v>-27.421007</v>
      </c>
      <c r="F862" s="27" t="n">
        <v>30.151877</v>
      </c>
      <c r="G862" s="27" t="inlineStr">
        <is>
          <t>Open</t>
        </is>
      </c>
      <c r="H862" s="27" t="inlineStr">
        <is>
          <t>ScannerApp</t>
        </is>
      </c>
      <c r="I862" s="27" t="inlineStr">
        <is>
          <t>02</t>
        </is>
      </c>
      <c r="J862" s="27" t="n">
        <v>2026</v>
      </c>
    </row>
    <row r="863" ht="15" customHeight="1" s="24">
      <c r="A863" s="27" t="n">
        <v>7192624</v>
      </c>
      <c r="B863" s="27" t="n">
        <v>1036524</v>
      </c>
      <c r="C863" s="27" t="inlineStr">
        <is>
          <t>ArrivedAtPickupPoint</t>
        </is>
      </c>
      <c r="D863" s="41" t="n">
        <v>46082.53178881945</v>
      </c>
      <c r="E863" s="27" t="n">
        <v>-26.341193</v>
      </c>
      <c r="F863" s="27" t="n">
        <v>28.222485</v>
      </c>
      <c r="G863" s="27" t="inlineStr">
        <is>
          <t>Open</t>
        </is>
      </c>
      <c r="H863" s="27" t="inlineStr">
        <is>
          <t>PartnerPOS</t>
        </is>
      </c>
      <c r="I863" s="27" t="inlineStr">
        <is>
          <t>02</t>
        </is>
      </c>
      <c r="J863" s="27" t="n">
        <v>2026</v>
      </c>
    </row>
    <row r="864" ht="15" customHeight="1" s="24">
      <c r="A864" s="27" t="n">
        <v>7224881</v>
      </c>
      <c r="B864" s="27" t="n">
        <v>1038015</v>
      </c>
      <c r="C864" s="27" t="inlineStr">
        <is>
          <t>CustomerNotified</t>
        </is>
      </c>
      <c r="D864" s="41" t="n">
        <v>46082.92413712963</v>
      </c>
      <c r="E864" s="27" t="n">
        <v>-24.428888</v>
      </c>
      <c r="F864" s="27" t="n">
        <v>27.580403</v>
      </c>
      <c r="G864" s="27" t="inlineStr">
        <is>
          <t>Open</t>
        </is>
      </c>
      <c r="H864" s="27" t="inlineStr">
        <is>
          <t>CourierGPS</t>
        </is>
      </c>
      <c r="I864" s="27" t="inlineStr">
        <is>
          <t>02</t>
        </is>
      </c>
      <c r="J864" s="27" t="n">
        <v>2026</v>
      </c>
    </row>
    <row r="865" ht="15" customHeight="1" s="24">
      <c r="A865" s="27" t="n">
        <v>7305211</v>
      </c>
      <c r="B865" s="27" t="n">
        <v>1049032</v>
      </c>
      <c r="C865" s="27" t="inlineStr">
        <is>
          <t>CollectedFromRetailer</t>
        </is>
      </c>
      <c r="D865" s="41" t="n">
        <v>46084.13896846065</v>
      </c>
      <c r="E865" s="27" t="n">
        <v>-30.979792</v>
      </c>
      <c r="F865" s="27" t="n">
        <v>31.194688</v>
      </c>
      <c r="G865" s="27" t="inlineStr">
        <is>
          <t>Open</t>
        </is>
      </c>
      <c r="H865" s="27" t="inlineStr">
        <is>
          <t>PartnerPOS</t>
        </is>
      </c>
      <c r="I865" s="27" t="inlineStr">
        <is>
          <t>03</t>
        </is>
      </c>
      <c r="J865" s="27" t="n">
        <v>2026</v>
      </c>
    </row>
    <row r="866" ht="15" customHeight="1" s="24">
      <c r="A866" s="27" t="n">
        <v>7450085</v>
      </c>
      <c r="B866" s="27" t="n">
        <v>1076693</v>
      </c>
      <c r="C866" s="27" t="inlineStr">
        <is>
          <t>ArrivedAtPickupPoint</t>
        </is>
      </c>
      <c r="D866" s="41" t="n">
        <v>46084.51746292824</v>
      </c>
      <c r="E866" s="27" t="n">
        <v>-26.522535</v>
      </c>
      <c r="F866" s="27" t="n">
        <v>28.481936</v>
      </c>
      <c r="G866" s="27" t="inlineStr">
        <is>
          <t>Open</t>
        </is>
      </c>
      <c r="H866" s="27" t="inlineStr">
        <is>
          <t>ScannerApp</t>
        </is>
      </c>
      <c r="I866" s="27" t="inlineStr">
        <is>
          <t>03</t>
        </is>
      </c>
      <c r="J866" s="27" t="n">
        <v>2026</v>
      </c>
    </row>
    <row r="867" ht="15" customHeight="1" s="24">
      <c r="A867" s="27" t="n">
        <v>7389682</v>
      </c>
      <c r="B867" s="27" t="n">
        <v>1055313</v>
      </c>
      <c r="C867" s="27" t="inlineStr">
        <is>
          <t>InLinehaul</t>
        </is>
      </c>
      <c r="D867" s="41" t="n">
        <v>46086.01203155093</v>
      </c>
      <c r="E867" s="27" t="n">
        <v>-31.49215</v>
      </c>
      <c r="F867" s="27" t="n">
        <v>25.849881</v>
      </c>
      <c r="G867" s="27" t="inlineStr">
        <is>
          <t>Open</t>
        </is>
      </c>
      <c r="H867" s="27" t="inlineStr">
        <is>
          <t>PartnerPOS</t>
        </is>
      </c>
      <c r="I867" s="27" t="inlineStr">
        <is>
          <t>03</t>
        </is>
      </c>
      <c r="J867" s="27" t="n">
        <v>2026</v>
      </c>
    </row>
    <row r="868" ht="15" customHeight="1" s="24">
      <c r="A868" s="27" t="n">
        <v>7422453</v>
      </c>
      <c r="B868" s="27" t="n">
        <v>1049014</v>
      </c>
      <c r="C868" s="27" t="inlineStr">
        <is>
          <t>ArrivedAtPickupPoint</t>
        </is>
      </c>
      <c r="D868" s="41" t="n">
        <v>46086.3625509375</v>
      </c>
      <c r="E868" s="27" t="n">
        <v>-29.294768</v>
      </c>
      <c r="F868" s="27" t="n">
        <v>30.475977</v>
      </c>
      <c r="G868" s="27" t="inlineStr">
        <is>
          <t>Open</t>
        </is>
      </c>
      <c r="H868" s="27" t="inlineStr">
        <is>
          <t>CourierGPS</t>
        </is>
      </c>
      <c r="I868" s="27" t="inlineStr">
        <is>
          <t>03</t>
        </is>
      </c>
      <c r="J868" s="27" t="n">
        <v>2026</v>
      </c>
    </row>
    <row r="869" ht="15" customHeight="1" s="24">
      <c r="A869" s="27" t="n">
        <v>7275485</v>
      </c>
      <c r="B869" s="27" t="n">
        <v>1058401</v>
      </c>
      <c r="C869" s="27" t="inlineStr">
        <is>
          <t>Created</t>
        </is>
      </c>
      <c r="D869" s="41" t="n">
        <v>46088.14840407408</v>
      </c>
      <c r="E869" s="27" t="n">
        <v>-33.302061</v>
      </c>
      <c r="F869" s="27" t="n">
        <v>19.567555</v>
      </c>
      <c r="G869" s="27" t="inlineStr">
        <is>
          <t>Open</t>
        </is>
      </c>
      <c r="H869" s="27" t="inlineStr">
        <is>
          <t>ScannerApp</t>
        </is>
      </c>
      <c r="I869" s="27" t="inlineStr">
        <is>
          <t>03</t>
        </is>
      </c>
      <c r="J869" s="27" t="n">
        <v>2026</v>
      </c>
    </row>
    <row r="870" ht="15" customHeight="1" s="24">
      <c r="A870" s="27" t="n">
        <v>7335369</v>
      </c>
      <c r="B870" s="27" t="n">
        <v>1079190</v>
      </c>
      <c r="C870" s="27" t="inlineStr">
        <is>
          <t>CollectedFromRetailer</t>
        </is>
      </c>
      <c r="D870" s="41" t="n">
        <v>46089.55564586806</v>
      </c>
      <c r="E870" s="27" t="n">
        <v>-24.318881</v>
      </c>
      <c r="F870" s="27" t="n">
        <v>30.735905</v>
      </c>
      <c r="G870" s="27" t="inlineStr">
        <is>
          <t>Open</t>
        </is>
      </c>
      <c r="H870" s="27" t="inlineStr">
        <is>
          <t>ScannerApp</t>
        </is>
      </c>
      <c r="I870" s="27" t="inlineStr">
        <is>
          <t>03</t>
        </is>
      </c>
      <c r="J870" s="27" t="n">
        <v>2026</v>
      </c>
    </row>
    <row r="871" ht="15" customHeight="1" s="24">
      <c r="A871" s="27" t="n">
        <v>7421407</v>
      </c>
      <c r="B871" s="27" t="n">
        <v>1047964</v>
      </c>
      <c r="C871" s="27" t="inlineStr">
        <is>
          <t>ArrivedAtPickupPoint</t>
        </is>
      </c>
      <c r="D871" s="41" t="n">
        <v>46090.14080547453</v>
      </c>
      <c r="E871" s="27" t="n">
        <v>-30.437904</v>
      </c>
      <c r="F871" s="27" t="n">
        <v>31.987607</v>
      </c>
      <c r="G871" s="27" t="inlineStr">
        <is>
          <t>Open</t>
        </is>
      </c>
      <c r="H871" s="27" t="inlineStr">
        <is>
          <t>ScannerApp</t>
        </is>
      </c>
      <c r="I871" s="27" t="inlineStr">
        <is>
          <t>03</t>
        </is>
      </c>
      <c r="J871" s="27" t="n">
        <v>2026</v>
      </c>
    </row>
    <row r="872" ht="15" customHeight="1" s="24">
      <c r="A872" s="27" t="n">
        <v>7277835</v>
      </c>
      <c r="B872" s="27" t="n">
        <v>1060751</v>
      </c>
      <c r="C872" s="27" t="inlineStr">
        <is>
          <t>Created</t>
        </is>
      </c>
      <c r="D872" s="41" t="n">
        <v>46091.62089881944</v>
      </c>
      <c r="E872" s="27" t="n">
        <v>-27.349155</v>
      </c>
      <c r="F872" s="27" t="n">
        <v>32.543724</v>
      </c>
      <c r="G872" s="27" t="inlineStr">
        <is>
          <t>Open</t>
        </is>
      </c>
      <c r="H872" s="27" t="inlineStr">
        <is>
          <t>ScannerApp</t>
        </is>
      </c>
      <c r="I872" s="27" t="inlineStr">
        <is>
          <t>03</t>
        </is>
      </c>
      <c r="J872" s="27" t="n">
        <v>2026</v>
      </c>
    </row>
    <row r="873" ht="15" customHeight="1" s="24">
      <c r="A873" s="27" t="n">
        <v>7302743</v>
      </c>
      <c r="B873" s="27" t="n">
        <v>1046564</v>
      </c>
      <c r="C873" s="27" t="inlineStr">
        <is>
          <t>CollectedFromRetailer</t>
        </is>
      </c>
      <c r="D873" s="41" t="n">
        <v>46092.44785116898</v>
      </c>
      <c r="E873" s="27" t="n">
        <v>-25.753596</v>
      </c>
      <c r="F873" s="27" t="n">
        <v>25.782868</v>
      </c>
      <c r="G873" s="27" t="inlineStr">
        <is>
          <t>Open</t>
        </is>
      </c>
      <c r="H873" s="27" t="inlineStr">
        <is>
          <t>API</t>
        </is>
      </c>
      <c r="I873" s="27" t="inlineStr">
        <is>
          <t>03</t>
        </is>
      </c>
      <c r="J873" s="27" t="n">
        <v>2026</v>
      </c>
    </row>
    <row r="874" ht="15" customHeight="1" s="24">
      <c r="A874" s="27" t="n">
        <v>7432083</v>
      </c>
      <c r="B874" s="27" t="n">
        <v>1058660</v>
      </c>
      <c r="C874" s="27" t="inlineStr">
        <is>
          <t>ArrivedAtPickupPoint</t>
        </is>
      </c>
      <c r="D874" s="41" t="n">
        <v>46092.53340293981</v>
      </c>
      <c r="E874" s="27" t="n">
        <v>-26.058082</v>
      </c>
      <c r="F874" s="27" t="n">
        <v>27.745022</v>
      </c>
      <c r="G874" s="27" t="inlineStr">
        <is>
          <t>Open</t>
        </is>
      </c>
      <c r="H874" s="27" t="inlineStr">
        <is>
          <t>PartnerPOS</t>
        </is>
      </c>
      <c r="I874" s="27" t="inlineStr">
        <is>
          <t>03</t>
        </is>
      </c>
      <c r="J874" s="27" t="n">
        <v>2026</v>
      </c>
    </row>
    <row r="875" ht="15" customHeight="1" s="24">
      <c r="A875" s="27" t="n">
        <v>7499442</v>
      </c>
      <c r="B875" s="27" t="n">
        <v>1048665</v>
      </c>
      <c r="C875" s="27" t="inlineStr">
        <is>
          <t>CollectedByCustomer</t>
        </is>
      </c>
      <c r="D875" s="41" t="n">
        <v>46092.65761597222</v>
      </c>
      <c r="E875" s="27" t="n">
        <v>-25.023302</v>
      </c>
      <c r="F875" s="27" t="n">
        <v>25.508685</v>
      </c>
      <c r="G875" s="27" t="inlineStr">
        <is>
          <t>Closed</t>
        </is>
      </c>
      <c r="H875" s="27" t="inlineStr">
        <is>
          <t>ScannerApp</t>
        </is>
      </c>
      <c r="I875" s="27" t="inlineStr">
        <is>
          <t>03</t>
        </is>
      </c>
      <c r="J875" s="27" t="n">
        <v>2026</v>
      </c>
    </row>
    <row r="876" ht="15" customHeight="1" s="24">
      <c r="A876" s="27" t="n">
        <v>7314556</v>
      </c>
      <c r="B876" s="27" t="n">
        <v>1058377</v>
      </c>
      <c r="C876" s="27" t="inlineStr">
        <is>
          <t>CollectedFromRetailer</t>
        </is>
      </c>
      <c r="D876" s="41" t="n">
        <v>46093.5328775926</v>
      </c>
      <c r="E876" s="27" t="n">
        <v>-26.323337</v>
      </c>
      <c r="F876" s="27" t="n">
        <v>29.66964</v>
      </c>
      <c r="G876" s="27" t="inlineStr">
        <is>
          <t>Open</t>
        </is>
      </c>
      <c r="H876" s="27" t="inlineStr">
        <is>
          <t>PartnerPOS</t>
        </is>
      </c>
      <c r="I876" s="27" t="inlineStr">
        <is>
          <t>03</t>
        </is>
      </c>
      <c r="J876" s="27" t="n">
        <v>2026</v>
      </c>
    </row>
    <row r="877" ht="15" customHeight="1" s="24">
      <c r="A877" s="27" t="n">
        <v>7460409</v>
      </c>
      <c r="B877" s="27" t="n">
        <v>1047950</v>
      </c>
      <c r="C877" s="27" t="inlineStr">
        <is>
          <t>CustomerNotified</t>
        </is>
      </c>
      <c r="D877" s="41" t="n">
        <v>46095.34404086805</v>
      </c>
      <c r="E877" s="27" t="n">
        <v>-25.428391</v>
      </c>
      <c r="F877" s="27" t="n">
        <v>28.43669</v>
      </c>
      <c r="G877" s="27" t="inlineStr">
        <is>
          <t>Open</t>
        </is>
      </c>
      <c r="H877" s="27" t="inlineStr">
        <is>
          <t>ScannerApp</t>
        </is>
      </c>
      <c r="I877" s="27" t="inlineStr">
        <is>
          <t>03</t>
        </is>
      </c>
      <c r="J877" s="27" t="n">
        <v>2026</v>
      </c>
    </row>
    <row r="878" ht="15" customHeight="1" s="24">
      <c r="A878" s="27" t="n">
        <v>7372622</v>
      </c>
      <c r="B878" s="27" t="n">
        <v>1077348</v>
      </c>
      <c r="C878" s="27" t="inlineStr">
        <is>
          <t>AtHub</t>
        </is>
      </c>
      <c r="D878" s="41" t="n">
        <v>46096.58284996528</v>
      </c>
      <c r="E878" s="27" t="n">
        <v>-26.311976</v>
      </c>
      <c r="F878" s="27" t="n">
        <v>31.993748</v>
      </c>
      <c r="G878" s="27" t="inlineStr">
        <is>
          <t>Open</t>
        </is>
      </c>
      <c r="H878" s="27" t="inlineStr">
        <is>
          <t>ScannerApp</t>
        </is>
      </c>
      <c r="I878" s="27" t="inlineStr">
        <is>
          <t>03</t>
        </is>
      </c>
      <c r="J878" s="27" t="n">
        <v>2026</v>
      </c>
    </row>
    <row r="879" ht="15" customHeight="1" s="24">
      <c r="A879" s="27" t="n">
        <v>7468358</v>
      </c>
      <c r="B879" s="27" t="n">
        <v>1055915</v>
      </c>
      <c r="C879" s="27" t="inlineStr">
        <is>
          <t>CustomerNotified</t>
        </is>
      </c>
      <c r="D879" s="41" t="n">
        <v>46096.64723027778</v>
      </c>
      <c r="E879" s="27" t="n">
        <v>-33.382549</v>
      </c>
      <c r="F879" s="27" t="n">
        <v>27.398974</v>
      </c>
      <c r="G879" s="27" t="inlineStr">
        <is>
          <t>Open</t>
        </is>
      </c>
      <c r="H879" s="27" t="inlineStr">
        <is>
          <t>CourierGPS</t>
        </is>
      </c>
      <c r="I879" s="27" t="inlineStr">
        <is>
          <t>03</t>
        </is>
      </c>
      <c r="J879" s="27" t="n">
        <v>2026</v>
      </c>
    </row>
    <row r="880" ht="15" customHeight="1" s="24">
      <c r="A880" s="27" t="n">
        <v>7305604</v>
      </c>
      <c r="B880" s="27" t="n">
        <v>1049425</v>
      </c>
      <c r="C880" s="27" t="inlineStr">
        <is>
          <t>CollectedFromRetailer</t>
        </is>
      </c>
      <c r="D880" s="41" t="n">
        <v>46096.84823931713</v>
      </c>
      <c r="E880" s="27" t="n">
        <v>-29.063585</v>
      </c>
      <c r="F880" s="27" t="n">
        <v>27.187505</v>
      </c>
      <c r="G880" s="27" t="inlineStr">
        <is>
          <t>Open</t>
        </is>
      </c>
      <c r="H880" s="27" t="inlineStr">
        <is>
          <t>ScannerApp</t>
        </is>
      </c>
      <c r="I880" s="27" t="inlineStr">
        <is>
          <t>03</t>
        </is>
      </c>
      <c r="J880" s="27" t="n">
        <v>2026</v>
      </c>
    </row>
    <row r="881" ht="15" customHeight="1" s="24">
      <c r="A881" s="27" t="n">
        <v>7446172</v>
      </c>
      <c r="B881" s="27" t="n">
        <v>1072771</v>
      </c>
      <c r="C881" s="27" t="inlineStr">
        <is>
          <t>ArrivedAtPickupPoint</t>
        </is>
      </c>
      <c r="D881" s="41" t="n">
        <v>46097.95619283565</v>
      </c>
      <c r="E881" s="27" t="n">
        <v>-26.700843</v>
      </c>
      <c r="F881" s="27" t="n">
        <v>26.095101</v>
      </c>
      <c r="G881" s="27" t="inlineStr">
        <is>
          <t>Open</t>
        </is>
      </c>
      <c r="H881" s="27" t="inlineStr">
        <is>
          <t>PartnerPOS</t>
        </is>
      </c>
      <c r="I881" s="27" t="inlineStr">
        <is>
          <t>03</t>
        </is>
      </c>
      <c r="J881" s="27" t="n">
        <v>2026</v>
      </c>
    </row>
    <row r="882" ht="15" customHeight="1" s="24">
      <c r="A882" s="27" t="n">
        <v>7355060</v>
      </c>
      <c r="B882" s="27" t="n">
        <v>1059786</v>
      </c>
      <c r="C882" s="27" t="inlineStr">
        <is>
          <t>AtHub</t>
        </is>
      </c>
      <c r="D882" s="41" t="n">
        <v>46098.70251422454</v>
      </c>
      <c r="E882" s="27" t="n">
        <v>-30.616281</v>
      </c>
      <c r="F882" s="27" t="n">
        <v>26.431413</v>
      </c>
      <c r="G882" s="27" t="inlineStr">
        <is>
          <t>Open</t>
        </is>
      </c>
      <c r="H882" s="27" t="inlineStr">
        <is>
          <t>API</t>
        </is>
      </c>
      <c r="I882" s="27" t="inlineStr">
        <is>
          <t>03</t>
        </is>
      </c>
      <c r="J882" s="27" t="n">
        <v>2026</v>
      </c>
    </row>
    <row r="883" ht="15" customHeight="1" s="24">
      <c r="A883" s="27" t="n">
        <v>7305647</v>
      </c>
      <c r="B883" s="27" t="n">
        <v>1049468</v>
      </c>
      <c r="C883" s="27" t="inlineStr">
        <is>
          <t>CollectedFromRetailer</t>
        </is>
      </c>
      <c r="D883" s="41" t="n">
        <v>46098.88609325232</v>
      </c>
      <c r="E883" s="27" t="n">
        <v>-29.362678</v>
      </c>
      <c r="F883" s="27" t="n">
        <v>30.569452</v>
      </c>
      <c r="G883" s="27" t="inlineStr">
        <is>
          <t>Open</t>
        </is>
      </c>
      <c r="H883" s="27" t="inlineStr">
        <is>
          <t>ScannerApp</t>
        </is>
      </c>
      <c r="I883" s="27" t="inlineStr">
        <is>
          <t>03</t>
        </is>
      </c>
      <c r="J883" s="27" t="n">
        <v>2026</v>
      </c>
    </row>
    <row r="884" ht="15" customHeight="1" s="24">
      <c r="A884" s="27" t="n">
        <v>7333979</v>
      </c>
      <c r="B884" s="27" t="n">
        <v>1077800</v>
      </c>
      <c r="C884" s="27" t="inlineStr">
        <is>
          <t>CollectedFromRetailer</t>
        </is>
      </c>
      <c r="D884" s="41" t="n">
        <v>46099.86702311342</v>
      </c>
      <c r="E884" s="27" t="n">
        <v>-24.437849</v>
      </c>
      <c r="F884" s="27" t="n">
        <v>30.912843</v>
      </c>
      <c r="G884" s="27" t="inlineStr">
        <is>
          <t>Open</t>
        </is>
      </c>
      <c r="H884" s="27" t="inlineStr">
        <is>
          <t>CourierGPS</t>
        </is>
      </c>
      <c r="I884" s="27" t="inlineStr">
        <is>
          <t>03</t>
        </is>
      </c>
      <c r="J884" s="27" t="n">
        <v>2026</v>
      </c>
    </row>
    <row r="885" ht="15" customHeight="1" s="24">
      <c r="A885" s="27" t="n">
        <v>7342073</v>
      </c>
      <c r="B885" s="27" t="n">
        <v>1046799</v>
      </c>
      <c r="C885" s="27" t="inlineStr">
        <is>
          <t>AtHub</t>
        </is>
      </c>
      <c r="D885" s="41" t="n">
        <v>46099.95840842593</v>
      </c>
      <c r="E885" s="27" t="n">
        <v>-24.745674</v>
      </c>
      <c r="F885" s="27" t="n">
        <v>29.167413</v>
      </c>
      <c r="G885" s="27" t="inlineStr">
        <is>
          <t>Open</t>
        </is>
      </c>
      <c r="H885" s="27" t="inlineStr">
        <is>
          <t>CourierGPS</t>
        </is>
      </c>
      <c r="I885" s="27" t="inlineStr">
        <is>
          <t>03</t>
        </is>
      </c>
      <c r="J885" s="27" t="n">
        <v>2026</v>
      </c>
    </row>
    <row r="886" ht="15" customHeight="1" s="24">
      <c r="A886" s="27" t="n">
        <v>7405053</v>
      </c>
      <c r="B886" s="27" t="n">
        <v>1070684</v>
      </c>
      <c r="C886" s="27" t="inlineStr">
        <is>
          <t>InLinehaul</t>
        </is>
      </c>
      <c r="D886" s="41" t="n">
        <v>46100.57916996528</v>
      </c>
      <c r="E886" s="27" t="n">
        <v>-29.486717</v>
      </c>
      <c r="F886" s="27" t="n">
        <v>32.049429</v>
      </c>
      <c r="G886" s="27" t="inlineStr">
        <is>
          <t>Open</t>
        </is>
      </c>
      <c r="H886" s="27" t="inlineStr">
        <is>
          <t>API</t>
        </is>
      </c>
      <c r="I886" s="27" t="inlineStr">
        <is>
          <t>03</t>
        </is>
      </c>
      <c r="J886" s="27" t="n">
        <v>2026</v>
      </c>
    </row>
    <row r="887" ht="15" customHeight="1" s="24">
      <c r="A887" s="27" t="n">
        <v>7326190</v>
      </c>
      <c r="B887" s="27" t="n">
        <v>1070011</v>
      </c>
      <c r="C887" s="27" t="inlineStr">
        <is>
          <t>CollectedFromRetailer</t>
        </is>
      </c>
      <c r="D887" s="41" t="n">
        <v>46101.10262641204</v>
      </c>
      <c r="E887" s="27" t="n">
        <v>-28.194121</v>
      </c>
      <c r="F887" s="27" t="n">
        <v>28.1419</v>
      </c>
      <c r="G887" s="27" t="inlineStr">
        <is>
          <t>Open</t>
        </is>
      </c>
      <c r="H887" s="27" t="inlineStr">
        <is>
          <t>ScannerApp</t>
        </is>
      </c>
      <c r="I887" s="27" t="inlineStr">
        <is>
          <t>03</t>
        </is>
      </c>
      <c r="J887" s="27" t="n">
        <v>2026</v>
      </c>
    </row>
    <row r="888" ht="15" customHeight="1" s="24">
      <c r="A888" s="27" t="n">
        <v>7417038</v>
      </c>
      <c r="B888" s="27" t="n">
        <v>1043585</v>
      </c>
      <c r="C888" s="27" t="inlineStr">
        <is>
          <t>ArrivedAtPickupPoint</t>
        </is>
      </c>
      <c r="D888" s="41" t="n">
        <v>46101.41242321759</v>
      </c>
      <c r="E888" s="27" t="n">
        <v>-25.28675</v>
      </c>
      <c r="F888" s="27" t="n">
        <v>24.364911</v>
      </c>
      <c r="G888" s="27" t="inlineStr">
        <is>
          <t>Open</t>
        </is>
      </c>
      <c r="H888" s="27" t="inlineStr">
        <is>
          <t>ScannerApp</t>
        </is>
      </c>
      <c r="I888" s="27" t="inlineStr">
        <is>
          <t>03</t>
        </is>
      </c>
      <c r="J888" s="27" t="n">
        <v>2026</v>
      </c>
    </row>
    <row r="889" ht="15" customHeight="1" s="24">
      <c r="A889" s="27" t="n">
        <v>7449344</v>
      </c>
      <c r="B889" s="27" t="n">
        <v>1075950</v>
      </c>
      <c r="C889" s="27" t="inlineStr">
        <is>
          <t>ArrivedAtPickupPoint</t>
        </is>
      </c>
      <c r="D889" s="41" t="n">
        <v>46102.08279365741</v>
      </c>
      <c r="E889" s="27" t="n">
        <v>-27.694005</v>
      </c>
      <c r="F889" s="27" t="n">
        <v>29.155105</v>
      </c>
      <c r="G889" s="27" t="inlineStr">
        <is>
          <t>Open</t>
        </is>
      </c>
      <c r="H889" s="27" t="inlineStr">
        <is>
          <t>ScannerApp</t>
        </is>
      </c>
      <c r="I889" s="27" t="inlineStr">
        <is>
          <t>03</t>
        </is>
      </c>
      <c r="J889" s="27" t="n">
        <v>2026</v>
      </c>
    </row>
    <row r="890" ht="15" customHeight="1" s="24">
      <c r="A890" s="27" t="n">
        <v>7317921</v>
      </c>
      <c r="B890" s="27" t="n">
        <v>1061742</v>
      </c>
      <c r="C890" s="27" t="inlineStr">
        <is>
          <t>CollectedFromRetailer</t>
        </is>
      </c>
      <c r="D890" s="41" t="n">
        <v>46102.60437518518</v>
      </c>
      <c r="E890" s="27" t="n">
        <v>-24.954163</v>
      </c>
      <c r="F890" s="27" t="n">
        <v>26.070965</v>
      </c>
      <c r="G890" s="27" t="inlineStr">
        <is>
          <t>Open</t>
        </is>
      </c>
      <c r="H890" s="27" t="inlineStr">
        <is>
          <t>ScannerApp</t>
        </is>
      </c>
      <c r="I890" s="27" t="inlineStr">
        <is>
          <t>03</t>
        </is>
      </c>
      <c r="J890" s="27" t="n">
        <v>2026</v>
      </c>
    </row>
    <row r="891" ht="15" customHeight="1" s="24">
      <c r="A891" s="27" t="n">
        <v>7504678</v>
      </c>
      <c r="B891" s="27" t="n">
        <v>1054323</v>
      </c>
      <c r="C891" s="27" t="inlineStr">
        <is>
          <t>CollectedByCustomer</t>
        </is>
      </c>
      <c r="D891" s="41" t="n">
        <v>46105.73331844907</v>
      </c>
      <c r="E891" s="27" t="n">
        <v>-25.305294</v>
      </c>
      <c r="F891" s="27" t="n">
        <v>28.09418</v>
      </c>
      <c r="G891" s="27" t="inlineStr">
        <is>
          <t>Closed</t>
        </is>
      </c>
      <c r="H891" s="27" t="inlineStr">
        <is>
          <t>ScannerApp</t>
        </is>
      </c>
      <c r="I891" s="27" t="inlineStr">
        <is>
          <t>03</t>
        </is>
      </c>
      <c r="J891" s="27" t="n">
        <v>2026</v>
      </c>
    </row>
    <row r="892" ht="15" customHeight="1" s="24">
      <c r="A892" s="27" t="n">
        <v>7518600</v>
      </c>
      <c r="B892" s="27" t="n">
        <v>1069367</v>
      </c>
      <c r="C892" s="27" t="inlineStr">
        <is>
          <t>CollectedByCustomer</t>
        </is>
      </c>
      <c r="D892" s="41" t="n">
        <v>46105.91982402778</v>
      </c>
      <c r="E892" s="27" t="n">
        <v>-31.708137</v>
      </c>
      <c r="F892" s="27" t="n">
        <v>20.287561</v>
      </c>
      <c r="G892" s="27" t="inlineStr">
        <is>
          <t>Closed</t>
        </is>
      </c>
      <c r="H892" s="27" t="inlineStr">
        <is>
          <t>ScannerApp</t>
        </is>
      </c>
      <c r="I892" s="27" t="inlineStr">
        <is>
          <t>03</t>
        </is>
      </c>
      <c r="J892" s="27" t="n">
        <v>2026</v>
      </c>
    </row>
    <row r="893" ht="15" customHeight="1" s="24">
      <c r="A893" s="27" t="n">
        <v>7360604</v>
      </c>
      <c r="B893" s="27" t="n">
        <v>1065330</v>
      </c>
      <c r="C893" s="27" t="inlineStr">
        <is>
          <t>AtHub</t>
        </is>
      </c>
      <c r="D893" s="41" t="n">
        <v>46108.63550554398</v>
      </c>
      <c r="E893" s="27" t="n">
        <v>-26.307224</v>
      </c>
      <c r="F893" s="27" t="n">
        <v>26.41508</v>
      </c>
      <c r="G893" s="27" t="inlineStr">
        <is>
          <t>Open</t>
        </is>
      </c>
      <c r="H893" s="27" t="inlineStr">
        <is>
          <t>ScannerApp</t>
        </is>
      </c>
      <c r="I893" s="27" t="inlineStr">
        <is>
          <t>03</t>
        </is>
      </c>
      <c r="J893" s="27" t="n">
        <v>2026</v>
      </c>
    </row>
    <row r="894" ht="15" customHeight="1" s="24">
      <c r="A894" s="27" t="n">
        <v>7347402</v>
      </c>
      <c r="B894" s="27" t="n">
        <v>1052128</v>
      </c>
      <c r="C894" s="27" t="inlineStr">
        <is>
          <t>AtHub</t>
        </is>
      </c>
      <c r="D894" s="41" t="n">
        <v>46109.62413762732</v>
      </c>
      <c r="E894" s="27" t="n">
        <v>-27.293378</v>
      </c>
      <c r="F894" s="27" t="n">
        <v>28.744075</v>
      </c>
      <c r="G894" s="27" t="inlineStr">
        <is>
          <t>Open</t>
        </is>
      </c>
      <c r="H894" s="27" t="inlineStr">
        <is>
          <t>ScannerApp</t>
        </is>
      </c>
      <c r="I894" s="27" t="inlineStr">
        <is>
          <t>03</t>
        </is>
      </c>
      <c r="J894" s="27" t="n">
        <v>2026</v>
      </c>
    </row>
    <row r="895" ht="15" customHeight="1" s="24">
      <c r="A895" s="27" t="n">
        <v>7354252</v>
      </c>
      <c r="B895" s="27" t="n">
        <v>1058978</v>
      </c>
      <c r="C895" s="27" t="inlineStr">
        <is>
          <t>AtHub</t>
        </is>
      </c>
      <c r="D895" s="41" t="n">
        <v>46109.62967519676</v>
      </c>
      <c r="E895" s="27" t="n">
        <v>-23.261607</v>
      </c>
      <c r="F895" s="27" t="n">
        <v>27.091363</v>
      </c>
      <c r="G895" s="27" t="inlineStr">
        <is>
          <t>Open</t>
        </is>
      </c>
      <c r="H895" s="27" t="inlineStr">
        <is>
          <t>API</t>
        </is>
      </c>
      <c r="I895" s="27" t="inlineStr">
        <is>
          <t>03</t>
        </is>
      </c>
      <c r="J895" s="27" t="n">
        <v>2026</v>
      </c>
    </row>
    <row r="896" ht="15" customHeight="1" s="24">
      <c r="A896" s="27" t="n">
        <v>7430187</v>
      </c>
      <c r="B896" s="27" t="n">
        <v>1056761</v>
      </c>
      <c r="C896" s="27" t="inlineStr">
        <is>
          <t>ArrivedAtPickupPoint</t>
        </is>
      </c>
      <c r="D896" s="41" t="n">
        <v>46113.58593730324</v>
      </c>
      <c r="E896" s="27" t="n">
        <v>-22.471619</v>
      </c>
      <c r="F896" s="27" t="n">
        <v>30.857488</v>
      </c>
      <c r="G896" s="27" t="inlineStr">
        <is>
          <t>Open</t>
        </is>
      </c>
      <c r="H896" s="27" t="inlineStr">
        <is>
          <t>ScannerApp</t>
        </is>
      </c>
      <c r="I896" s="27" t="inlineStr">
        <is>
          <t>03</t>
        </is>
      </c>
      <c r="J896" s="27" t="n">
        <v>2026</v>
      </c>
    </row>
    <row r="897" ht="15" customHeight="1" s="24">
      <c r="A897" s="27" t="n">
        <v>7581657</v>
      </c>
      <c r="B897" s="27" t="n">
        <v>1091306</v>
      </c>
      <c r="C897" s="27" t="inlineStr">
        <is>
          <t>CollectedFromRetailer</t>
        </is>
      </c>
      <c r="D897" s="41" t="n">
        <v>46115.50012288195</v>
      </c>
      <c r="E897" s="27" t="n">
        <v>-26.941309</v>
      </c>
      <c r="F897" s="27" t="n">
        <v>28.044558</v>
      </c>
      <c r="G897" s="27" t="inlineStr">
        <is>
          <t>Open</t>
        </is>
      </c>
      <c r="H897" s="27" t="inlineStr">
        <is>
          <t>PartnerPOS</t>
        </is>
      </c>
      <c r="I897" s="27" t="inlineStr">
        <is>
          <t>04</t>
        </is>
      </c>
      <c r="J897" s="27" t="n">
        <v>2026</v>
      </c>
    </row>
    <row r="898" ht="15" customHeight="1" s="24">
      <c r="A898" s="27" t="n">
        <v>7528743</v>
      </c>
      <c r="B898" s="27" t="n">
        <v>1054651</v>
      </c>
      <c r="C898" s="27" t="inlineStr">
        <is>
          <t>ExpiredReturnedToSender</t>
        </is>
      </c>
      <c r="D898" s="41" t="n">
        <v>46115.62580049768</v>
      </c>
      <c r="E898" s="27" t="n">
        <v>-33.67173</v>
      </c>
      <c r="F898" s="27" t="n">
        <v>21.191347</v>
      </c>
      <c r="G898" s="27" t="inlineStr">
        <is>
          <t>RTS</t>
        </is>
      </c>
      <c r="H898" s="27" t="inlineStr">
        <is>
          <t>ScannerApp</t>
        </is>
      </c>
      <c r="I898" s="27" t="inlineStr">
        <is>
          <t>03</t>
        </is>
      </c>
      <c r="J898" s="27" t="n">
        <v>2026</v>
      </c>
    </row>
    <row r="899" ht="15" customHeight="1" s="24">
      <c r="A899" s="27" t="n">
        <v>7578454</v>
      </c>
      <c r="B899" s="27" t="n">
        <v>1088103</v>
      </c>
      <c r="C899" s="27" t="inlineStr">
        <is>
          <t>CollectedFromRetailer</t>
        </is>
      </c>
      <c r="D899" s="41" t="n">
        <v>46115.82083618056</v>
      </c>
      <c r="E899" s="27" t="n">
        <v>-26.120131</v>
      </c>
      <c r="F899" s="27" t="n">
        <v>29.439461</v>
      </c>
      <c r="G899" s="27" t="inlineStr">
        <is>
          <t>Open</t>
        </is>
      </c>
      <c r="H899" s="27" t="inlineStr">
        <is>
          <t>PartnerPOS</t>
        </is>
      </c>
      <c r="I899" s="27" t="inlineStr">
        <is>
          <t>04</t>
        </is>
      </c>
      <c r="J899" s="27" t="n">
        <v>2026</v>
      </c>
    </row>
    <row r="900" ht="15" customHeight="1" s="24">
      <c r="A900" s="27" t="n">
        <v>7729558</v>
      </c>
      <c r="B900" s="27" t="n">
        <v>1080728</v>
      </c>
      <c r="C900" s="27" t="inlineStr">
        <is>
          <t>CustomerNotified</t>
        </is>
      </c>
      <c r="D900" s="41" t="n">
        <v>46115.94759075232</v>
      </c>
      <c r="E900" s="27" t="n">
        <v>-31.886742</v>
      </c>
      <c r="F900" s="27" t="n">
        <v>20.013304</v>
      </c>
      <c r="G900" s="27" t="inlineStr">
        <is>
          <t>Open</t>
        </is>
      </c>
      <c r="H900" s="27" t="inlineStr">
        <is>
          <t>ScannerApp</t>
        </is>
      </c>
      <c r="I900" s="27" t="inlineStr">
        <is>
          <t>04</t>
        </is>
      </c>
      <c r="J900" s="27" t="n">
        <v>2026</v>
      </c>
    </row>
    <row r="901" ht="15" customHeight="1" s="24">
      <c r="A901" s="27" t="n">
        <v>7557456</v>
      </c>
      <c r="B901" s="27" t="n">
        <v>1106743</v>
      </c>
      <c r="C901" s="27" t="inlineStr">
        <is>
          <t>Created</t>
        </is>
      </c>
      <c r="D901" s="41" t="n">
        <v>46115.98001396991</v>
      </c>
      <c r="E901" s="27" t="n">
        <v>-34.024139</v>
      </c>
      <c r="F901" s="27" t="n">
        <v>20.931813</v>
      </c>
      <c r="G901" s="27" t="inlineStr">
        <is>
          <t>Open</t>
        </is>
      </c>
      <c r="H901" s="27" t="inlineStr">
        <is>
          <t>API</t>
        </is>
      </c>
      <c r="I901" s="27" t="inlineStr">
        <is>
          <t>04</t>
        </is>
      </c>
      <c r="J901" s="27" t="n">
        <v>2026</v>
      </c>
    </row>
    <row r="902" ht="15" customHeight="1" s="24">
      <c r="A902" s="27" t="n">
        <v>7574347</v>
      </c>
      <c r="B902" s="27" t="n">
        <v>1083996</v>
      </c>
      <c r="C902" s="27" t="inlineStr">
        <is>
          <t>CollectedFromRetailer</t>
        </is>
      </c>
      <c r="D902" s="41" t="n">
        <v>46116.74431780093</v>
      </c>
      <c r="E902" s="27" t="n">
        <v>-33.036649</v>
      </c>
      <c r="F902" s="27" t="n">
        <v>19.230843</v>
      </c>
      <c r="G902" s="27" t="inlineStr">
        <is>
          <t>Open</t>
        </is>
      </c>
      <c r="H902" s="27" t="inlineStr">
        <is>
          <t>PartnerPOS</t>
        </is>
      </c>
      <c r="I902" s="27" t="inlineStr">
        <is>
          <t>04</t>
        </is>
      </c>
      <c r="J902" s="27" t="n">
        <v>2026</v>
      </c>
    </row>
    <row r="903" ht="15" customHeight="1" s="24">
      <c r="A903" s="27" t="n">
        <v>7543356</v>
      </c>
      <c r="B903" s="27" t="n">
        <v>1092643</v>
      </c>
      <c r="C903" s="27" t="inlineStr">
        <is>
          <t>Created</t>
        </is>
      </c>
      <c r="D903" s="41" t="n">
        <v>46117.08926096065</v>
      </c>
      <c r="E903" s="27" t="n">
        <v>-28.59828</v>
      </c>
      <c r="F903" s="27" t="n">
        <v>30.646273</v>
      </c>
      <c r="G903" s="27" t="inlineStr">
        <is>
          <t>Open</t>
        </is>
      </c>
      <c r="H903" s="27" t="inlineStr">
        <is>
          <t>ScannerApp</t>
        </is>
      </c>
      <c r="I903" s="27" t="inlineStr">
        <is>
          <t>04</t>
        </is>
      </c>
      <c r="J903" s="27" t="n">
        <v>2026</v>
      </c>
    </row>
    <row r="904" ht="15" customHeight="1" s="24">
      <c r="A904" s="27" t="n">
        <v>7787359</v>
      </c>
      <c r="B904" s="27" t="n">
        <v>1100604</v>
      </c>
      <c r="C904" s="27" t="inlineStr">
        <is>
          <t>CollectedByCustomer</t>
        </is>
      </c>
      <c r="D904" s="41" t="n">
        <v>46117.64759629629</v>
      </c>
      <c r="E904" s="27" t="n">
        <v>-26.676086</v>
      </c>
      <c r="F904" s="27" t="n">
        <v>28.944819</v>
      </c>
      <c r="G904" s="27" t="inlineStr">
        <is>
          <t>Closed</t>
        </is>
      </c>
      <c r="H904" s="27" t="inlineStr">
        <is>
          <t>ScannerApp</t>
        </is>
      </c>
      <c r="I904" s="27" t="inlineStr">
        <is>
          <t>04</t>
        </is>
      </c>
      <c r="J904" s="27" t="n">
        <v>2026</v>
      </c>
    </row>
    <row r="905" ht="15" customHeight="1" s="24">
      <c r="A905" s="27" t="n">
        <v>7641719</v>
      </c>
      <c r="B905" s="27" t="n">
        <v>1111730</v>
      </c>
      <c r="C905" s="27" t="inlineStr">
        <is>
          <t>AtHub</t>
        </is>
      </c>
      <c r="D905" s="41" t="n">
        <v>46118.02199107639</v>
      </c>
      <c r="E905" s="27" t="n">
        <v>-32.446177</v>
      </c>
      <c r="F905" s="27" t="n">
        <v>19.847831</v>
      </c>
      <c r="G905" s="27" t="inlineStr">
        <is>
          <t>Open</t>
        </is>
      </c>
      <c r="H905" s="27" t="inlineStr">
        <is>
          <t>ScannerApp</t>
        </is>
      </c>
      <c r="I905" s="27" t="inlineStr">
        <is>
          <t>04</t>
        </is>
      </c>
      <c r="J905" s="27" t="n">
        <v>2026</v>
      </c>
    </row>
    <row r="906" ht="15" customHeight="1" s="24">
      <c r="A906" s="27" t="n">
        <v>7558448</v>
      </c>
      <c r="B906" s="27" t="n">
        <v>1107735</v>
      </c>
      <c r="C906" s="27" t="inlineStr">
        <is>
          <t>Created</t>
        </is>
      </c>
      <c r="D906" s="41" t="n">
        <v>46118.70924630787</v>
      </c>
      <c r="E906" s="27" t="n">
        <v>-24.94502</v>
      </c>
      <c r="F906" s="27" t="n">
        <v>29.981228</v>
      </c>
      <c r="G906" s="27" t="inlineStr">
        <is>
          <t>Open</t>
        </is>
      </c>
      <c r="H906" s="27" t="inlineStr">
        <is>
          <t>PartnerPOS</t>
        </is>
      </c>
      <c r="I906" s="27" t="inlineStr">
        <is>
          <t>04</t>
        </is>
      </c>
      <c r="J906" s="27" t="n">
        <v>2026</v>
      </c>
    </row>
    <row r="907" ht="15" customHeight="1" s="24">
      <c r="A907" s="27" t="n">
        <v>7639123</v>
      </c>
      <c r="B907" s="27" t="n">
        <v>1109134</v>
      </c>
      <c r="C907" s="27" t="inlineStr">
        <is>
          <t>AtHub</t>
        </is>
      </c>
      <c r="D907" s="41" t="n">
        <v>46119.870306875</v>
      </c>
      <c r="E907" s="27" t="n">
        <v>-31.624546</v>
      </c>
      <c r="F907" s="27" t="n">
        <v>19.149166</v>
      </c>
      <c r="G907" s="27" t="inlineStr">
        <is>
          <t>Open</t>
        </is>
      </c>
      <c r="H907" s="27" t="inlineStr">
        <is>
          <t>CourierGPS</t>
        </is>
      </c>
      <c r="I907" s="27" t="inlineStr">
        <is>
          <t>04</t>
        </is>
      </c>
      <c r="J907" s="27" t="n">
        <v>2026</v>
      </c>
    </row>
    <row r="908" ht="15" customHeight="1" s="24">
      <c r="A908" s="27" t="n">
        <v>7794670</v>
      </c>
      <c r="B908" s="27" t="n">
        <v>1108504</v>
      </c>
      <c r="C908" s="27" t="inlineStr">
        <is>
          <t>CollectedByCustomer</t>
        </is>
      </c>
      <c r="D908" s="41" t="n">
        <v>46120.50363252315</v>
      </c>
      <c r="E908" s="27" t="n">
        <v>-27.200077</v>
      </c>
      <c r="F908" s="27" t="n">
        <v>27.255873</v>
      </c>
      <c r="G908" s="27" t="inlineStr">
        <is>
          <t>Closed</t>
        </is>
      </c>
      <c r="H908" s="27" t="inlineStr">
        <is>
          <t>CourierGPS</t>
        </is>
      </c>
      <c r="I908" s="27" t="inlineStr">
        <is>
          <t>04</t>
        </is>
      </c>
      <c r="J908" s="27" t="n">
        <v>2026</v>
      </c>
    </row>
    <row r="909" ht="15" customHeight="1" s="24">
      <c r="A909" s="27" t="n">
        <v>7794925</v>
      </c>
      <c r="B909" s="27" t="n">
        <v>1108791</v>
      </c>
      <c r="C909" s="27" t="inlineStr">
        <is>
          <t>CollectedByCustomer</t>
        </is>
      </c>
      <c r="D909" s="41" t="n">
        <v>46120.62577659722</v>
      </c>
      <c r="E909" s="27" t="n">
        <v>-25.20531</v>
      </c>
      <c r="F909" s="27" t="n">
        <v>25.424506</v>
      </c>
      <c r="G909" s="27" t="inlineStr">
        <is>
          <t>Closed</t>
        </is>
      </c>
      <c r="H909" s="27" t="inlineStr">
        <is>
          <t>CourierGPS</t>
        </is>
      </c>
      <c r="I909" s="27" t="inlineStr">
        <is>
          <t>04</t>
        </is>
      </c>
      <c r="J909" s="27" t="n">
        <v>2026</v>
      </c>
    </row>
    <row r="910" ht="15" customHeight="1" s="24">
      <c r="A910" s="27" t="n">
        <v>7583479</v>
      </c>
      <c r="B910" s="27" t="n">
        <v>1093128</v>
      </c>
      <c r="C910" s="27" t="inlineStr">
        <is>
          <t>CollectedFromRetailer</t>
        </is>
      </c>
      <c r="D910" s="41" t="n">
        <v>46121.60565722222</v>
      </c>
      <c r="E910" s="27" t="n">
        <v>-27.799379</v>
      </c>
      <c r="F910" s="27" t="n">
        <v>27.921895</v>
      </c>
      <c r="G910" s="27" t="inlineStr">
        <is>
          <t>Open</t>
        </is>
      </c>
      <c r="H910" s="27" t="inlineStr">
        <is>
          <t>ScannerApp</t>
        </is>
      </c>
      <c r="I910" s="27" t="inlineStr">
        <is>
          <t>04</t>
        </is>
      </c>
      <c r="J910" s="27" t="n">
        <v>2026</v>
      </c>
    </row>
    <row r="911" ht="15" customHeight="1" s="24">
      <c r="A911" s="27" t="n">
        <v>7755724</v>
      </c>
      <c r="B911" s="27" t="n">
        <v>1106932</v>
      </c>
      <c r="C911" s="27" t="inlineStr">
        <is>
          <t>CustomerNotified</t>
        </is>
      </c>
      <c r="D911" s="41" t="n">
        <v>46122.54961798611</v>
      </c>
      <c r="E911" s="27" t="n">
        <v>-28.364109</v>
      </c>
      <c r="F911" s="27" t="n">
        <v>28.586961</v>
      </c>
      <c r="G911" s="27" t="inlineStr">
        <is>
          <t>Open</t>
        </is>
      </c>
      <c r="H911" s="27" t="inlineStr">
        <is>
          <t>PartnerPOS</t>
        </is>
      </c>
      <c r="I911" s="27" t="inlineStr">
        <is>
          <t>04</t>
        </is>
      </c>
      <c r="J911" s="27" t="n">
        <v>2026</v>
      </c>
    </row>
    <row r="912" ht="15" customHeight="1" s="24">
      <c r="A912" s="27" t="n">
        <v>7531697</v>
      </c>
      <c r="B912" s="27" t="n">
        <v>1080984</v>
      </c>
      <c r="C912" s="27" t="inlineStr">
        <is>
          <t>Created</t>
        </is>
      </c>
      <c r="D912" s="41" t="n">
        <v>46123.03139636574</v>
      </c>
      <c r="E912" s="27" t="n">
        <v>-25.253221</v>
      </c>
      <c r="F912" s="27" t="n">
        <v>28.850845</v>
      </c>
      <c r="G912" s="27" t="inlineStr">
        <is>
          <t>Open</t>
        </is>
      </c>
      <c r="H912" s="27" t="inlineStr">
        <is>
          <t>ScannerApp</t>
        </is>
      </c>
      <c r="I912" s="27" t="inlineStr">
        <is>
          <t>04</t>
        </is>
      </c>
      <c r="J912" s="27" t="n">
        <v>2026</v>
      </c>
    </row>
    <row r="913" ht="15" customHeight="1" s="24">
      <c r="A913" s="27" t="n">
        <v>7788768</v>
      </c>
      <c r="B913" s="27" t="n">
        <v>1102148</v>
      </c>
      <c r="C913" s="27" t="inlineStr">
        <is>
          <t>CollectedByCustomer</t>
        </is>
      </c>
      <c r="D913" s="41" t="n">
        <v>46123.53001695602</v>
      </c>
      <c r="E913" s="27" t="n">
        <v>-30.849268</v>
      </c>
      <c r="F913" s="27" t="n">
        <v>30.39932</v>
      </c>
      <c r="G913" s="27" t="inlineStr">
        <is>
          <t>Closed</t>
        </is>
      </c>
      <c r="H913" s="27" t="inlineStr">
        <is>
          <t>ScannerApp</t>
        </is>
      </c>
      <c r="I913" s="27" t="inlineStr">
        <is>
          <t>04</t>
        </is>
      </c>
      <c r="J913" s="27" t="n">
        <v>2026</v>
      </c>
    </row>
    <row r="914" ht="15" customHeight="1" s="24">
      <c r="A914" s="27" t="n">
        <v>7796555</v>
      </c>
      <c r="B914" s="27" t="n">
        <v>1110548</v>
      </c>
      <c r="C914" s="27" t="inlineStr">
        <is>
          <t>CollectedByCustomer</t>
        </is>
      </c>
      <c r="D914" s="41" t="n">
        <v>46123.73385984953</v>
      </c>
      <c r="E914" s="27" t="n">
        <v>-23.493399</v>
      </c>
      <c r="F914" s="27" t="n">
        <v>30.583097</v>
      </c>
      <c r="G914" s="27" t="inlineStr">
        <is>
          <t>Closed</t>
        </is>
      </c>
      <c r="H914" s="27" t="inlineStr">
        <is>
          <t>ScannerApp</t>
        </is>
      </c>
      <c r="I914" s="27" t="inlineStr">
        <is>
          <t>04</t>
        </is>
      </c>
      <c r="J914" s="27" t="n">
        <v>2026</v>
      </c>
    </row>
    <row r="915" ht="15" customHeight="1" s="24">
      <c r="A915" s="27" t="n">
        <v>7653601</v>
      </c>
      <c r="B915" s="27" t="n">
        <v>1083974</v>
      </c>
      <c r="C915" s="27" t="inlineStr">
        <is>
          <t>InLinehaul</t>
        </is>
      </c>
      <c r="D915" s="41" t="n">
        <v>46126.56245439815</v>
      </c>
      <c r="E915" s="27" t="n">
        <v>-32.524184</v>
      </c>
      <c r="F915" s="27" t="n">
        <v>21.345933</v>
      </c>
      <c r="G915" s="27" t="inlineStr">
        <is>
          <t>Open</t>
        </is>
      </c>
      <c r="H915" s="27" t="inlineStr">
        <is>
          <t>PartnerPOS</t>
        </is>
      </c>
      <c r="I915" s="27" t="inlineStr">
        <is>
          <t>04</t>
        </is>
      </c>
      <c r="J915" s="27" t="n">
        <v>2026</v>
      </c>
    </row>
    <row r="916" ht="15" customHeight="1" s="24">
      <c r="A916" s="27" t="n">
        <v>7554959</v>
      </c>
      <c r="B916" s="27" t="n">
        <v>1104246</v>
      </c>
      <c r="C916" s="27" t="inlineStr">
        <is>
          <t>Created</t>
        </is>
      </c>
      <c r="D916" s="41" t="n">
        <v>46126.95783206019</v>
      </c>
      <c r="E916" s="27" t="n">
        <v>-28.169202</v>
      </c>
      <c r="F916" s="27" t="n">
        <v>29.476919</v>
      </c>
      <c r="G916" s="27" t="inlineStr">
        <is>
          <t>Open</t>
        </is>
      </c>
      <c r="H916" s="27" t="inlineStr">
        <is>
          <t>ScannerApp</t>
        </is>
      </c>
      <c r="I916" s="27" t="inlineStr">
        <is>
          <t>04</t>
        </is>
      </c>
      <c r="J916" s="27" t="n">
        <v>2026</v>
      </c>
    </row>
    <row r="917" ht="15" customHeight="1" s="24">
      <c r="A917" s="27" t="n">
        <v>7734518</v>
      </c>
      <c r="B917" s="27" t="n">
        <v>1085695</v>
      </c>
      <c r="C917" s="27" t="inlineStr">
        <is>
          <t>CustomerNotified</t>
        </is>
      </c>
      <c r="D917" s="41" t="n">
        <v>46128.14547827547</v>
      </c>
      <c r="E917" s="27" t="n">
        <v>-26.592262</v>
      </c>
      <c r="F917" s="27" t="n">
        <v>28.310574</v>
      </c>
      <c r="G917" s="27" t="inlineStr">
        <is>
          <t>Open</t>
        </is>
      </c>
      <c r="H917" s="27" t="inlineStr">
        <is>
          <t>CourierGPS</t>
        </is>
      </c>
      <c r="I917" s="27" t="inlineStr">
        <is>
          <t>04</t>
        </is>
      </c>
      <c r="J917" s="27" t="n">
        <v>2026</v>
      </c>
    </row>
    <row r="918" ht="15" customHeight="1" s="24">
      <c r="A918" s="27" t="n">
        <v>7653469</v>
      </c>
      <c r="B918" s="27" t="n">
        <v>1083842</v>
      </c>
      <c r="C918" s="27" t="inlineStr">
        <is>
          <t>InLinehaul</t>
        </is>
      </c>
      <c r="D918" s="41" t="n">
        <v>46128.36206773148</v>
      </c>
      <c r="E918" s="27" t="n">
        <v>-33.822156</v>
      </c>
      <c r="F918" s="27" t="n">
        <v>28.392136</v>
      </c>
      <c r="G918" s="27" t="inlineStr">
        <is>
          <t>Open</t>
        </is>
      </c>
      <c r="H918" s="27" t="inlineStr">
        <is>
          <t>API</t>
        </is>
      </c>
      <c r="I918" s="27" t="inlineStr">
        <is>
          <t>04</t>
        </is>
      </c>
      <c r="J918" s="27" t="n">
        <v>2026</v>
      </c>
    </row>
    <row r="919" ht="15" customHeight="1" s="24">
      <c r="A919" s="27" t="n">
        <v>7697747</v>
      </c>
      <c r="B919" s="27" t="n">
        <v>1088496</v>
      </c>
      <c r="C919" s="27" t="inlineStr">
        <is>
          <t>ArrivedAtPickupPoint</t>
        </is>
      </c>
      <c r="D919" s="41" t="n">
        <v>46132.820944375</v>
      </c>
      <c r="E919" s="27" t="n">
        <v>-32.359089</v>
      </c>
      <c r="F919" s="27" t="n">
        <v>18.931019</v>
      </c>
      <c r="G919" s="27" t="inlineStr">
        <is>
          <t>Open</t>
        </is>
      </c>
      <c r="H919" s="27" t="inlineStr">
        <is>
          <t>ScannerApp</t>
        </is>
      </c>
      <c r="I919" s="27" t="inlineStr">
        <is>
          <t>04</t>
        </is>
      </c>
      <c r="J919" s="27" t="n">
        <v>2026</v>
      </c>
    </row>
    <row r="920" ht="15" customHeight="1" s="24">
      <c r="A920" s="27" t="n">
        <v>7772713</v>
      </c>
      <c r="B920" s="27" t="n">
        <v>1084712</v>
      </c>
      <c r="C920" s="27" t="inlineStr">
        <is>
          <t>CollectedByCustomer</t>
        </is>
      </c>
      <c r="D920" s="41" t="n">
        <v>46133.41164208333</v>
      </c>
      <c r="E920" s="27" t="n">
        <v>-33.722387</v>
      </c>
      <c r="F920" s="27" t="n">
        <v>19.024572</v>
      </c>
      <c r="G920" s="27" t="inlineStr">
        <is>
          <t>Closed</t>
        </is>
      </c>
      <c r="H920" s="27" t="inlineStr">
        <is>
          <t>ScannerApp</t>
        </is>
      </c>
      <c r="I920" s="27" t="inlineStr">
        <is>
          <t>04</t>
        </is>
      </c>
      <c r="J920" s="27" t="n">
        <v>2026</v>
      </c>
    </row>
    <row r="921" ht="15" customHeight="1" s="24">
      <c r="A921" s="27" t="n">
        <v>7603092</v>
      </c>
      <c r="B921" s="27" t="n">
        <v>1112741</v>
      </c>
      <c r="C921" s="27" t="inlineStr">
        <is>
          <t>CollectedFromRetailer</t>
        </is>
      </c>
      <c r="D921" s="41" t="n">
        <v>46133.449146875</v>
      </c>
      <c r="E921" s="27" t="n">
        <v>-23.949519</v>
      </c>
      <c r="F921" s="27" t="n">
        <v>27.037523</v>
      </c>
      <c r="G921" s="27" t="inlineStr">
        <is>
          <t>Open</t>
        </is>
      </c>
      <c r="H921" s="27" t="inlineStr">
        <is>
          <t>PartnerPOS</t>
        </is>
      </c>
      <c r="I921" s="27" t="inlineStr">
        <is>
          <t>04</t>
        </is>
      </c>
      <c r="J921" s="27" t="n">
        <v>2026</v>
      </c>
    </row>
    <row r="922" ht="15" customHeight="1" s="24">
      <c r="A922" s="27" t="n">
        <v>7739393</v>
      </c>
      <c r="B922" s="27" t="n">
        <v>1090577</v>
      </c>
      <c r="C922" s="27" t="inlineStr">
        <is>
          <t>CustomerNotified</t>
        </is>
      </c>
      <c r="D922" s="41" t="n">
        <v>46134.13290236111</v>
      </c>
      <c r="E922" s="27" t="n">
        <v>-25.370271</v>
      </c>
      <c r="F922" s="27" t="n">
        <v>28.588349</v>
      </c>
      <c r="G922" s="27" t="inlineStr">
        <is>
          <t>Open</t>
        </is>
      </c>
      <c r="H922" s="27" t="inlineStr">
        <is>
          <t>API</t>
        </is>
      </c>
      <c r="I922" s="27" t="inlineStr">
        <is>
          <t>04</t>
        </is>
      </c>
      <c r="J922" s="27" t="n">
        <v>2026</v>
      </c>
    </row>
    <row r="923" ht="15" customHeight="1" s="24">
      <c r="A923" s="27" t="n">
        <v>7600963</v>
      </c>
      <c r="B923" s="27" t="n">
        <v>1110612</v>
      </c>
      <c r="C923" s="27" t="inlineStr">
        <is>
          <t>CollectedFromRetailer</t>
        </is>
      </c>
      <c r="D923" s="41" t="n">
        <v>46134.31128111111</v>
      </c>
      <c r="E923" s="27" t="n">
        <v>-29.317515</v>
      </c>
      <c r="F923" s="27" t="n">
        <v>31.204609</v>
      </c>
      <c r="G923" s="27" t="inlineStr">
        <is>
          <t>Open</t>
        </is>
      </c>
      <c r="H923" s="27" t="inlineStr">
        <is>
          <t>ScannerApp</t>
        </is>
      </c>
      <c r="I923" s="27" t="inlineStr">
        <is>
          <t>04</t>
        </is>
      </c>
      <c r="J923" s="27" t="n">
        <v>2026</v>
      </c>
    </row>
    <row r="924" ht="15" customHeight="1" s="24">
      <c r="A924" s="27" t="n">
        <v>7655153</v>
      </c>
      <c r="B924" s="27" t="n">
        <v>1085526</v>
      </c>
      <c r="C924" s="27" t="inlineStr">
        <is>
          <t>InLinehaul</t>
        </is>
      </c>
      <c r="D924" s="41" t="n">
        <v>46135.69477820602</v>
      </c>
      <c r="E924" s="27" t="n">
        <v>-27.699797</v>
      </c>
      <c r="F924" s="27" t="n">
        <v>27.355261</v>
      </c>
      <c r="G924" s="27" t="inlineStr">
        <is>
          <t>Open</t>
        </is>
      </c>
      <c r="H924" s="27" t="inlineStr">
        <is>
          <t>PartnerPOS</t>
        </is>
      </c>
      <c r="I924" s="27" t="inlineStr">
        <is>
          <t>04</t>
        </is>
      </c>
      <c r="J924" s="27" t="n">
        <v>2026</v>
      </c>
    </row>
    <row r="925" ht="15" customHeight="1" s="24">
      <c r="A925" s="27" t="n">
        <v>7626135</v>
      </c>
      <c r="B925" s="27" t="n">
        <v>1096146</v>
      </c>
      <c r="C925" s="27" t="inlineStr">
        <is>
          <t>AtHub</t>
        </is>
      </c>
      <c r="D925" s="41" t="n">
        <v>46137.35003975694</v>
      </c>
      <c r="E925" s="27" t="n">
        <v>-31.750183</v>
      </c>
      <c r="F925" s="27" t="n">
        <v>28.410061</v>
      </c>
      <c r="G925" s="27" t="inlineStr">
        <is>
          <t>Open</t>
        </is>
      </c>
      <c r="H925" s="27" t="inlineStr">
        <is>
          <t>ScannerApp</t>
        </is>
      </c>
      <c r="I925" s="27" t="inlineStr">
        <is>
          <t>04</t>
        </is>
      </c>
      <c r="J925" s="27" t="n">
        <v>2026</v>
      </c>
    </row>
    <row r="926" ht="15" customHeight="1" s="24">
      <c r="A926" s="27" t="n">
        <v>7725794</v>
      </c>
      <c r="B926" s="27" t="n">
        <v>1116593</v>
      </c>
      <c r="C926" s="27" t="inlineStr">
        <is>
          <t>ArrivedAtPickupPoint</t>
        </is>
      </c>
      <c r="D926" s="41" t="n">
        <v>46137.59485700232</v>
      </c>
      <c r="E926" s="27" t="n">
        <v>-26.217183</v>
      </c>
      <c r="F926" s="27" t="n">
        <v>30.445966</v>
      </c>
      <c r="G926" s="27" t="inlineStr">
        <is>
          <t>Open</t>
        </is>
      </c>
      <c r="H926" s="27" t="inlineStr">
        <is>
          <t>ScannerApp</t>
        </is>
      </c>
      <c r="I926" s="27" t="inlineStr">
        <is>
          <t>04</t>
        </is>
      </c>
      <c r="J926" s="27" t="n">
        <v>2026</v>
      </c>
    </row>
    <row r="927" ht="15" customHeight="1" s="24">
      <c r="A927" s="27" t="n">
        <v>7625908</v>
      </c>
      <c r="B927" s="27" t="n">
        <v>1095919</v>
      </c>
      <c r="C927" s="27" t="inlineStr">
        <is>
          <t>AtHub</t>
        </is>
      </c>
      <c r="D927" s="41" t="n">
        <v>46137.83288495371</v>
      </c>
      <c r="E927" s="27" t="n">
        <v>-25.459261</v>
      </c>
      <c r="F927" s="27" t="n">
        <v>27.49315</v>
      </c>
      <c r="G927" s="27" t="inlineStr">
        <is>
          <t>Open</t>
        </is>
      </c>
      <c r="H927" s="27" t="inlineStr">
        <is>
          <t>CourierGPS</t>
        </is>
      </c>
      <c r="I927" s="27" t="inlineStr">
        <is>
          <t>04</t>
        </is>
      </c>
      <c r="J927" s="27" t="n">
        <v>2026</v>
      </c>
    </row>
    <row r="928" ht="15" customHeight="1" s="24">
      <c r="A928" s="27" t="n">
        <v>7578403</v>
      </c>
      <c r="B928" s="27" t="n">
        <v>1088052</v>
      </c>
      <c r="C928" s="27" t="inlineStr">
        <is>
          <t>CollectedFromRetailer</t>
        </is>
      </c>
      <c r="D928" s="41" t="n">
        <v>46138.65386693287</v>
      </c>
      <c r="E928" s="27" t="n">
        <v>-27.985353</v>
      </c>
      <c r="F928" s="27" t="n">
        <v>26.197205</v>
      </c>
      <c r="G928" s="27" t="inlineStr">
        <is>
          <t>Open</t>
        </is>
      </c>
      <c r="H928" s="27" t="inlineStr">
        <is>
          <t>ScannerApp</t>
        </is>
      </c>
      <c r="I928" s="27" t="inlineStr">
        <is>
          <t>04</t>
        </is>
      </c>
      <c r="J928" s="27" t="n">
        <v>2026</v>
      </c>
    </row>
    <row r="929" ht="15" customHeight="1" s="24">
      <c r="A929" s="27" t="n">
        <v>7563302</v>
      </c>
      <c r="B929" s="27" t="n">
        <v>1112589</v>
      </c>
      <c r="C929" s="27" t="inlineStr">
        <is>
          <t>Created</t>
        </is>
      </c>
      <c r="D929" s="41" t="n">
        <v>46139.80629549768</v>
      </c>
      <c r="E929" s="27" t="n">
        <v>-34.535246</v>
      </c>
      <c r="F929" s="27" t="n">
        <v>24.51232</v>
      </c>
      <c r="G929" s="27" t="inlineStr">
        <is>
          <t>Open</t>
        </is>
      </c>
      <c r="H929" s="27" t="inlineStr">
        <is>
          <t>ScannerApp</t>
        </is>
      </c>
      <c r="I929" s="27" t="inlineStr">
        <is>
          <t>04</t>
        </is>
      </c>
      <c r="J929" s="27" t="n">
        <v>2026</v>
      </c>
    </row>
    <row r="930" ht="15" customHeight="1" s="24">
      <c r="A930" s="27" t="n">
        <v>7797925</v>
      </c>
      <c r="B930" s="27" t="n">
        <v>1112020</v>
      </c>
      <c r="C930" s="27" t="inlineStr">
        <is>
          <t>CollectedByCustomer</t>
        </is>
      </c>
      <c r="D930" s="41" t="n">
        <v>46140.35571945602</v>
      </c>
      <c r="E930" s="27" t="n">
        <v>-30.453041</v>
      </c>
      <c r="F930" s="27" t="n">
        <v>31.995159</v>
      </c>
      <c r="G930" s="27" t="inlineStr">
        <is>
          <t>Closed</t>
        </is>
      </c>
      <c r="H930" s="27" t="inlineStr">
        <is>
          <t>ScannerApp</t>
        </is>
      </c>
      <c r="I930" s="27" t="inlineStr">
        <is>
          <t>04</t>
        </is>
      </c>
      <c r="J930" s="27" t="n">
        <v>2026</v>
      </c>
    </row>
    <row r="931" ht="15" customHeight="1" s="24">
      <c r="A931" s="27" t="n">
        <v>7652825</v>
      </c>
      <c r="B931" s="27" t="n">
        <v>1083198</v>
      </c>
      <c r="C931" s="27" t="inlineStr">
        <is>
          <t>InLinehaul</t>
        </is>
      </c>
      <c r="D931" s="41" t="n">
        <v>46142.16915299769</v>
      </c>
      <c r="E931" s="27" t="n">
        <v>-26.198445</v>
      </c>
      <c r="F931" s="27" t="n">
        <v>29.410548</v>
      </c>
      <c r="G931" s="27" t="inlineStr">
        <is>
          <t>Open</t>
        </is>
      </c>
      <c r="H931" s="27" t="inlineStr">
        <is>
          <t>ScannerApp</t>
        </is>
      </c>
      <c r="I931" s="27" t="inlineStr">
        <is>
          <t>04</t>
        </is>
      </c>
      <c r="J931" s="27" t="n">
        <v>2026</v>
      </c>
    </row>
    <row r="932" ht="15" customHeight="1" s="24">
      <c r="A932" s="27" t="n">
        <v>7930747</v>
      </c>
      <c r="B932" s="27" t="n">
        <v>1122582</v>
      </c>
      <c r="C932" s="27" t="inlineStr">
        <is>
          <t>InLinehaul</t>
        </is>
      </c>
      <c r="D932" s="41" t="n">
        <v>46143.8618375</v>
      </c>
      <c r="E932" s="27" t="n">
        <v>-26.346132</v>
      </c>
      <c r="F932" s="27" t="n">
        <v>29.153789</v>
      </c>
      <c r="G932" s="27" t="inlineStr">
        <is>
          <t>Open</t>
        </is>
      </c>
      <c r="H932" s="27" t="inlineStr">
        <is>
          <t>PartnerPOS</t>
        </is>
      </c>
      <c r="I932" s="27" t="inlineStr">
        <is>
          <t>05</t>
        </is>
      </c>
      <c r="J932" s="27" t="n">
        <v>2026</v>
      </c>
    </row>
    <row r="933" ht="15" customHeight="1" s="24">
      <c r="A933" s="27" t="n">
        <v>7849876</v>
      </c>
      <c r="B933" s="27" t="n">
        <v>1122073</v>
      </c>
      <c r="C933" s="27" t="inlineStr">
        <is>
          <t>CollectedFromRetailer</t>
        </is>
      </c>
      <c r="D933" s="41" t="n">
        <v>46144.37127060185</v>
      </c>
      <c r="E933" s="27" t="n">
        <v>-26.169669</v>
      </c>
      <c r="F933" s="27" t="n">
        <v>30.539255</v>
      </c>
      <c r="G933" s="27" t="inlineStr">
        <is>
          <t>Open</t>
        </is>
      </c>
      <c r="H933" s="27" t="inlineStr">
        <is>
          <t>CourierGPS</t>
        </is>
      </c>
      <c r="I933" s="27" t="inlineStr">
        <is>
          <t>05</t>
        </is>
      </c>
      <c r="J933" s="27" t="n">
        <v>2026</v>
      </c>
    </row>
    <row r="934" ht="15" customHeight="1" s="24">
      <c r="A934" s="27" t="n">
        <v>7840549</v>
      </c>
      <c r="B934" s="27" t="n">
        <v>1152927</v>
      </c>
      <c r="C934" s="27" t="inlineStr">
        <is>
          <t>Created</t>
        </is>
      </c>
      <c r="D934" s="41" t="n">
        <v>46146.53924847223</v>
      </c>
      <c r="E934" s="27" t="n">
        <v>-29.044811</v>
      </c>
      <c r="F934" s="27" t="n">
        <v>29.01916</v>
      </c>
      <c r="G934" s="27" t="inlineStr">
        <is>
          <t>Open</t>
        </is>
      </c>
      <c r="H934" s="27" t="inlineStr">
        <is>
          <t>ScannerApp</t>
        </is>
      </c>
      <c r="I934" s="27" t="inlineStr">
        <is>
          <t>05</t>
        </is>
      </c>
      <c r="J934" s="27" t="n">
        <v>2026</v>
      </c>
    </row>
    <row r="935" ht="15" customHeight="1" s="24">
      <c r="A935" s="27" t="n">
        <v>8017912</v>
      </c>
      <c r="B935" s="27" t="n">
        <v>1129490</v>
      </c>
      <c r="C935" s="27" t="inlineStr">
        <is>
          <t>CustomerNotified</t>
        </is>
      </c>
      <c r="D935" s="41" t="n">
        <v>46147.63674594907</v>
      </c>
      <c r="E935" s="27" t="n">
        <v>-33.722387</v>
      </c>
      <c r="F935" s="27" t="n">
        <v>19.024572</v>
      </c>
      <c r="G935" s="27" t="inlineStr">
        <is>
          <t>Open</t>
        </is>
      </c>
      <c r="H935" s="27" t="inlineStr">
        <is>
          <t>PartnerPOS</t>
        </is>
      </c>
      <c r="I935" s="27" t="inlineStr">
        <is>
          <t>05</t>
        </is>
      </c>
      <c r="J935" s="27" t="n">
        <v>2026</v>
      </c>
    </row>
    <row r="936" ht="15" customHeight="1" s="24">
      <c r="A936" s="27" t="n">
        <v>7811702</v>
      </c>
      <c r="B936" s="27" t="n">
        <v>1124080</v>
      </c>
      <c r="C936" s="27" t="inlineStr">
        <is>
          <t>Created</t>
        </is>
      </c>
      <c r="D936" s="41" t="n">
        <v>46147.76940623843</v>
      </c>
      <c r="E936" s="27" t="n">
        <v>-29.647613</v>
      </c>
      <c r="F936" s="27" t="n">
        <v>29.792836</v>
      </c>
      <c r="G936" s="27" t="inlineStr">
        <is>
          <t>Open</t>
        </is>
      </c>
      <c r="H936" s="27" t="inlineStr">
        <is>
          <t>ScannerApp</t>
        </is>
      </c>
      <c r="I936" s="27" t="inlineStr">
        <is>
          <t>05</t>
        </is>
      </c>
      <c r="J936" s="27" t="n">
        <v>2026</v>
      </c>
    </row>
    <row r="937" ht="15" customHeight="1" s="24">
      <c r="A937" s="27" t="n">
        <v>7816664</v>
      </c>
      <c r="B937" s="27" t="n">
        <v>1129042</v>
      </c>
      <c r="C937" s="27" t="inlineStr">
        <is>
          <t>Created</t>
        </is>
      </c>
      <c r="D937" s="41" t="n">
        <v>46148.31318236111</v>
      </c>
      <c r="E937" s="27" t="n">
        <v>-26.274055</v>
      </c>
      <c r="F937" s="27" t="n">
        <v>23.798177</v>
      </c>
      <c r="G937" s="27" t="inlineStr">
        <is>
          <t>Open</t>
        </is>
      </c>
      <c r="H937" s="27" t="inlineStr">
        <is>
          <t>API</t>
        </is>
      </c>
      <c r="I937" s="27" t="inlineStr">
        <is>
          <t>05</t>
        </is>
      </c>
      <c r="J937" s="27" t="n">
        <v>2026</v>
      </c>
    </row>
    <row r="938" ht="15" customHeight="1" s="24">
      <c r="A938" s="27" t="n">
        <v>8053932</v>
      </c>
      <c r="B938" s="27" t="n">
        <v>1125957</v>
      </c>
      <c r="C938" s="27" t="inlineStr">
        <is>
          <t>CollectedByCustomer</t>
        </is>
      </c>
      <c r="D938" s="41" t="n">
        <v>46148.3579169213</v>
      </c>
      <c r="E938" s="27" t="n">
        <v>-25.202815</v>
      </c>
      <c r="F938" s="27" t="n">
        <v>29.946879</v>
      </c>
      <c r="G938" s="27" t="inlineStr">
        <is>
          <t>Closed</t>
        </is>
      </c>
      <c r="H938" s="27" t="inlineStr">
        <is>
          <t>CourierGPS</t>
        </is>
      </c>
      <c r="I938" s="27" t="inlineStr">
        <is>
          <t>05</t>
        </is>
      </c>
      <c r="J938" s="27" t="n">
        <v>2026</v>
      </c>
    </row>
    <row r="939" ht="15" customHeight="1" s="24">
      <c r="A939" s="27" t="n">
        <v>7877710</v>
      </c>
      <c r="B939" s="27" t="n">
        <v>1149907</v>
      </c>
      <c r="C939" s="27" t="inlineStr">
        <is>
          <t>CollectedFromRetailer</t>
        </is>
      </c>
      <c r="D939" s="41" t="n">
        <v>46149.10807136574</v>
      </c>
      <c r="E939" s="27" t="n">
        <v>-28.946322</v>
      </c>
      <c r="F939" s="27" t="n">
        <v>30.542624</v>
      </c>
      <c r="G939" s="27" t="inlineStr">
        <is>
          <t>Open</t>
        </is>
      </c>
      <c r="H939" s="27" t="inlineStr">
        <is>
          <t>API</t>
        </is>
      </c>
      <c r="I939" s="27" t="inlineStr">
        <is>
          <t>05</t>
        </is>
      </c>
      <c r="J939" s="27" t="n">
        <v>2026</v>
      </c>
    </row>
    <row r="940" ht="15" customHeight="1" s="24">
      <c r="A940" s="27" t="n">
        <v>8012694</v>
      </c>
      <c r="B940" s="27" t="n">
        <v>1124262</v>
      </c>
      <c r="C940" s="27" t="inlineStr">
        <is>
          <t>CustomerNotified</t>
        </is>
      </c>
      <c r="D940" s="41" t="n">
        <v>46149.66609630787</v>
      </c>
      <c r="E940" s="27" t="n">
        <v>-32.32272</v>
      </c>
      <c r="F940" s="27" t="n">
        <v>26.634752</v>
      </c>
      <c r="G940" s="27" t="inlineStr">
        <is>
          <t>Open</t>
        </is>
      </c>
      <c r="H940" s="27" t="inlineStr">
        <is>
          <t>API</t>
        </is>
      </c>
      <c r="I940" s="27" t="inlineStr">
        <is>
          <t>05</t>
        </is>
      </c>
      <c r="J940" s="27" t="n">
        <v>2026</v>
      </c>
    </row>
    <row r="941" ht="15" customHeight="1" s="24">
      <c r="A941" s="27" t="n">
        <v>7936484</v>
      </c>
      <c r="B941" s="27" t="n">
        <v>1128319</v>
      </c>
      <c r="C941" s="27" t="inlineStr">
        <is>
          <t>InLinehaul</t>
        </is>
      </c>
      <c r="D941" s="41" t="n">
        <v>46150.20550719908</v>
      </c>
      <c r="E941" s="27" t="n">
        <v>-24.281435</v>
      </c>
      <c r="F941" s="27" t="n">
        <v>28.587783</v>
      </c>
      <c r="G941" s="27" t="inlineStr">
        <is>
          <t>Open</t>
        </is>
      </c>
      <c r="H941" s="27" t="inlineStr">
        <is>
          <t>PartnerPOS</t>
        </is>
      </c>
      <c r="I941" s="27" t="inlineStr">
        <is>
          <t>05</t>
        </is>
      </c>
      <c r="J941" s="27" t="n">
        <v>2026</v>
      </c>
    </row>
    <row r="942" ht="15" customHeight="1" s="24">
      <c r="A942" s="27" t="n">
        <v>8084714</v>
      </c>
      <c r="B942" s="27" t="n">
        <v>1159221</v>
      </c>
      <c r="C942" s="27" t="inlineStr">
        <is>
          <t>CollectedByCustomer</t>
        </is>
      </c>
      <c r="D942" s="41" t="n">
        <v>46153.36712425926</v>
      </c>
      <c r="E942" s="27" t="n">
        <v>-26.371436</v>
      </c>
      <c r="F942" s="27" t="n">
        <v>27.486241</v>
      </c>
      <c r="G942" s="27" t="inlineStr">
        <is>
          <t>Closed</t>
        </is>
      </c>
      <c r="H942" s="27" t="inlineStr">
        <is>
          <t>ScannerApp</t>
        </is>
      </c>
      <c r="I942" s="27" t="inlineStr">
        <is>
          <t>05</t>
        </is>
      </c>
      <c r="J942" s="27" t="n">
        <v>2026</v>
      </c>
    </row>
    <row r="943" ht="15" customHeight="1" s="24">
      <c r="A943" s="27" t="n">
        <v>7896850</v>
      </c>
      <c r="B943" s="27" t="n">
        <v>1128866</v>
      </c>
      <c r="C943" s="27" t="inlineStr">
        <is>
          <t>AtHub</t>
        </is>
      </c>
      <c r="D943" s="41" t="n">
        <v>46153.40695542824</v>
      </c>
      <c r="E943" s="27" t="n">
        <v>-30.471251</v>
      </c>
      <c r="F943" s="27" t="n">
        <v>28.667427</v>
      </c>
      <c r="G943" s="27" t="inlineStr">
        <is>
          <t>Open</t>
        </is>
      </c>
      <c r="H943" s="27" t="inlineStr">
        <is>
          <t>API</t>
        </is>
      </c>
      <c r="I943" s="27" t="inlineStr">
        <is>
          <t>05</t>
        </is>
      </c>
      <c r="J943" s="27" t="n">
        <v>2026</v>
      </c>
    </row>
    <row r="944" ht="15" customHeight="1" s="24">
      <c r="A944" s="27" t="n">
        <v>7858830</v>
      </c>
      <c r="B944" s="27" t="n">
        <v>1131027</v>
      </c>
      <c r="C944" s="27" t="inlineStr">
        <is>
          <t>CollectedFromRetailer</t>
        </is>
      </c>
      <c r="D944" s="41" t="n">
        <v>46154.28338407407</v>
      </c>
      <c r="E944" s="27" t="n">
        <v>-29.566628</v>
      </c>
      <c r="F944" s="27" t="n">
        <v>31.109631</v>
      </c>
      <c r="G944" s="27" t="inlineStr">
        <is>
          <t>Open</t>
        </is>
      </c>
      <c r="H944" s="27" t="inlineStr">
        <is>
          <t>PartnerPOS</t>
        </is>
      </c>
      <c r="I944" s="27" t="inlineStr">
        <is>
          <t>05</t>
        </is>
      </c>
      <c r="J944" s="27" t="n">
        <v>2026</v>
      </c>
    </row>
    <row r="945" ht="15" customHeight="1" s="24">
      <c r="A945" s="27" t="n">
        <v>7931868</v>
      </c>
      <c r="B945" s="27" t="n">
        <v>1123703</v>
      </c>
      <c r="C945" s="27" t="inlineStr">
        <is>
          <t>InLinehaul</t>
        </is>
      </c>
      <c r="D945" s="41" t="n">
        <v>46154.77560638889</v>
      </c>
      <c r="E945" s="27" t="n">
        <v>-25.689601</v>
      </c>
      <c r="F945" s="27" t="n">
        <v>27.450945</v>
      </c>
      <c r="G945" s="27" t="inlineStr">
        <is>
          <t>Open</t>
        </is>
      </c>
      <c r="H945" s="27" t="inlineStr">
        <is>
          <t>ScannerApp</t>
        </is>
      </c>
      <c r="I945" s="27" t="inlineStr">
        <is>
          <t>05</t>
        </is>
      </c>
      <c r="J945" s="27" t="n">
        <v>2026</v>
      </c>
    </row>
    <row r="946" ht="15" customHeight="1" s="24">
      <c r="A946" s="27" t="n">
        <v>7819852</v>
      </c>
      <c r="B946" s="27" t="n">
        <v>1132230</v>
      </c>
      <c r="C946" s="27" t="inlineStr">
        <is>
          <t>Created</t>
        </is>
      </c>
      <c r="D946" s="41" t="n">
        <v>46155.57889587963</v>
      </c>
      <c r="E946" s="27" t="n">
        <v>-25.344739</v>
      </c>
      <c r="F946" s="27" t="n">
        <v>29.392158</v>
      </c>
      <c r="G946" s="27" t="inlineStr">
        <is>
          <t>Open</t>
        </is>
      </c>
      <c r="H946" s="27" t="inlineStr">
        <is>
          <t>ScannerApp</t>
        </is>
      </c>
      <c r="I946" s="27" t="inlineStr">
        <is>
          <t>05</t>
        </is>
      </c>
      <c r="J946" s="27" t="n">
        <v>2026</v>
      </c>
    </row>
    <row r="947" ht="15" customHeight="1" s="24">
      <c r="A947" s="27" t="n">
        <v>7946583</v>
      </c>
      <c r="B947" s="27" t="n">
        <v>1138418</v>
      </c>
      <c r="C947" s="27" t="inlineStr">
        <is>
          <t>InLinehaul</t>
        </is>
      </c>
      <c r="D947" s="41" t="n">
        <v>46155.96543028935</v>
      </c>
      <c r="E947" s="27" t="n">
        <v>-34.180238</v>
      </c>
      <c r="F947" s="27" t="n">
        <v>27.460723</v>
      </c>
      <c r="G947" s="27" t="inlineStr">
        <is>
          <t>Open</t>
        </is>
      </c>
      <c r="H947" s="27" t="inlineStr">
        <is>
          <t>API</t>
        </is>
      </c>
      <c r="I947" s="27" t="inlineStr">
        <is>
          <t>05</t>
        </is>
      </c>
      <c r="J947" s="27" t="n">
        <v>2026</v>
      </c>
    </row>
    <row r="948" ht="15" customHeight="1" s="24">
      <c r="A948" s="27" t="n">
        <v>8064252</v>
      </c>
      <c r="B948" s="27" t="n">
        <v>1137109</v>
      </c>
      <c r="C948" s="27" t="inlineStr">
        <is>
          <t>CollectedByCustomer</t>
        </is>
      </c>
      <c r="D948" s="41" t="n">
        <v>46157.77075283565</v>
      </c>
      <c r="E948" s="27" t="n">
        <v>-26.295845</v>
      </c>
      <c r="F948" s="27" t="n">
        <v>27.457298</v>
      </c>
      <c r="G948" s="27" t="inlineStr">
        <is>
          <t>Closed</t>
        </is>
      </c>
      <c r="H948" s="27" t="inlineStr">
        <is>
          <t>API</t>
        </is>
      </c>
      <c r="I948" s="27" t="inlineStr">
        <is>
          <t>05</t>
        </is>
      </c>
      <c r="J948" s="27" t="n">
        <v>2026</v>
      </c>
    </row>
    <row r="949" ht="15" customHeight="1" s="24">
      <c r="A949" s="27" t="n">
        <v>7939021</v>
      </c>
      <c r="B949" s="27" t="n">
        <v>1130856</v>
      </c>
      <c r="C949" s="27" t="inlineStr">
        <is>
          <t>InLinehaul</t>
        </is>
      </c>
      <c r="D949" s="41" t="n">
        <v>46158.77058172454</v>
      </c>
      <c r="E949" s="27" t="n">
        <v>-33.901152</v>
      </c>
      <c r="F949" s="27" t="n">
        <v>28.54792</v>
      </c>
      <c r="G949" s="27" t="inlineStr">
        <is>
          <t>Open</t>
        </is>
      </c>
      <c r="H949" s="27" t="inlineStr">
        <is>
          <t>CourierGPS</t>
        </is>
      </c>
      <c r="I949" s="27" t="inlineStr">
        <is>
          <t>05</t>
        </is>
      </c>
      <c r="J949" s="27" t="n">
        <v>2026</v>
      </c>
    </row>
    <row r="950" ht="15" customHeight="1" s="24">
      <c r="A950" s="27" t="n">
        <v>7833685</v>
      </c>
      <c r="B950" s="27" t="n">
        <v>1146063</v>
      </c>
      <c r="C950" s="27" t="inlineStr">
        <is>
          <t>Created</t>
        </is>
      </c>
      <c r="D950" s="41" t="n">
        <v>46160.55807054398</v>
      </c>
      <c r="E950" s="27" t="n">
        <v>-27.660826</v>
      </c>
      <c r="F950" s="27" t="n">
        <v>31.063063</v>
      </c>
      <c r="G950" s="27" t="inlineStr">
        <is>
          <t>Open</t>
        </is>
      </c>
      <c r="H950" s="27" t="inlineStr">
        <is>
          <t>ScannerApp</t>
        </is>
      </c>
      <c r="I950" s="27" t="inlineStr">
        <is>
          <t>05</t>
        </is>
      </c>
      <c r="J950" s="27" t="n">
        <v>2026</v>
      </c>
    </row>
    <row r="951" ht="15" customHeight="1" s="24">
      <c r="A951" s="27" t="n">
        <v>7888335</v>
      </c>
      <c r="B951" s="27" t="n">
        <v>1120351</v>
      </c>
      <c r="C951" s="27" t="inlineStr">
        <is>
          <t>AtHub</t>
        </is>
      </c>
      <c r="D951" s="41" t="n">
        <v>46162.39235263889</v>
      </c>
      <c r="E951" s="27" t="n">
        <v>-27.341505</v>
      </c>
      <c r="F951" s="27" t="n">
        <v>29.028479</v>
      </c>
      <c r="G951" s="27" t="inlineStr">
        <is>
          <t>Open</t>
        </is>
      </c>
      <c r="H951" s="27" t="inlineStr">
        <is>
          <t>CourierGPS</t>
        </is>
      </c>
      <c r="I951" s="27" t="inlineStr">
        <is>
          <t>05</t>
        </is>
      </c>
      <c r="J951" s="27" t="n">
        <v>2026</v>
      </c>
    </row>
    <row r="952" ht="15" customHeight="1" s="24">
      <c r="A952" s="27" t="n">
        <v>7939820</v>
      </c>
      <c r="B952" s="27" t="n">
        <v>1131655</v>
      </c>
      <c r="C952" s="27" t="inlineStr">
        <is>
          <t>InLinehaul</t>
        </is>
      </c>
      <c r="D952" s="41" t="n">
        <v>46165.58979810185</v>
      </c>
      <c r="E952" s="27" t="n">
        <v>-26.227088</v>
      </c>
      <c r="F952" s="27" t="n">
        <v>27.899321</v>
      </c>
      <c r="G952" s="27" t="inlineStr">
        <is>
          <t>Open</t>
        </is>
      </c>
      <c r="H952" s="27" t="inlineStr">
        <is>
          <t>PartnerPOS</t>
        </is>
      </c>
      <c r="I952" s="27" t="inlineStr">
        <is>
          <t>05</t>
        </is>
      </c>
      <c r="J952" s="27" t="n">
        <v>2026</v>
      </c>
    </row>
    <row r="953" ht="15" customHeight="1" s="24">
      <c r="A953" s="27" t="n">
        <v>7850642</v>
      </c>
      <c r="B953" s="27" t="n">
        <v>1122839</v>
      </c>
      <c r="C953" s="27" t="inlineStr">
        <is>
          <t>CollectedFromRetailer</t>
        </is>
      </c>
      <c r="D953" s="41" t="n">
        <v>46165.97048277778</v>
      </c>
      <c r="E953" s="27" t="n">
        <v>-25.614151</v>
      </c>
      <c r="F953" s="27" t="n">
        <v>27.613355</v>
      </c>
      <c r="G953" s="27" t="inlineStr">
        <is>
          <t>Open</t>
        </is>
      </c>
      <c r="H953" s="27" t="inlineStr">
        <is>
          <t>PartnerPOS</t>
        </is>
      </c>
      <c r="I953" s="27" t="inlineStr">
        <is>
          <t>05</t>
        </is>
      </c>
      <c r="J953" s="27" t="n">
        <v>2026</v>
      </c>
    </row>
    <row r="954" ht="15" customHeight="1" s="24">
      <c r="A954" s="27" t="n">
        <v>7951693</v>
      </c>
      <c r="B954" s="27" t="n">
        <v>1143528</v>
      </c>
      <c r="C954" s="27" t="inlineStr">
        <is>
          <t>InLinehaul</t>
        </is>
      </c>
      <c r="D954" s="41" t="n">
        <v>46166.22705140046</v>
      </c>
      <c r="E954" s="27" t="n">
        <v>-25.534888</v>
      </c>
      <c r="F954" s="27" t="n">
        <v>28.232826</v>
      </c>
      <c r="G954" s="27" t="inlineStr">
        <is>
          <t>Open</t>
        </is>
      </c>
      <c r="H954" s="27" t="inlineStr">
        <is>
          <t>ScannerApp</t>
        </is>
      </c>
      <c r="I954" s="27" t="inlineStr">
        <is>
          <t>05</t>
        </is>
      </c>
      <c r="J954" s="27" t="n">
        <v>2026</v>
      </c>
    </row>
    <row r="955" ht="15" customHeight="1" s="24">
      <c r="A955" s="27" t="n">
        <v>8003938</v>
      </c>
      <c r="B955" s="27" t="n">
        <v>1155673</v>
      </c>
      <c r="C955" s="27" t="inlineStr">
        <is>
          <t>ArrivedAtPickupPoint</t>
        </is>
      </c>
      <c r="D955" s="41" t="n">
        <v>46166.32714032407</v>
      </c>
      <c r="E955" s="27" t="n">
        <v>-25.858622</v>
      </c>
      <c r="F955" s="27" t="n">
        <v>29.036109</v>
      </c>
      <c r="G955" s="27" t="inlineStr">
        <is>
          <t>Open</t>
        </is>
      </c>
      <c r="H955" s="27" t="inlineStr">
        <is>
          <t>ScannerApp</t>
        </is>
      </c>
      <c r="I955" s="27" t="inlineStr">
        <is>
          <t>05</t>
        </is>
      </c>
      <c r="J955" s="27" t="n">
        <v>2026</v>
      </c>
    </row>
    <row r="956" ht="15" customHeight="1" s="24">
      <c r="A956" s="27" t="n">
        <v>7864468</v>
      </c>
      <c r="B956" s="27" t="n">
        <v>1136665</v>
      </c>
      <c r="C956" s="27" t="inlineStr">
        <is>
          <t>CollectedFromRetailer</t>
        </is>
      </c>
      <c r="D956" s="41" t="n">
        <v>46166.78475743056</v>
      </c>
      <c r="E956" s="27" t="n">
        <v>-26.366158</v>
      </c>
      <c r="F956" s="27" t="n">
        <v>28.376187</v>
      </c>
      <c r="G956" s="27" t="inlineStr">
        <is>
          <t>Open</t>
        </is>
      </c>
      <c r="H956" s="27" t="inlineStr">
        <is>
          <t>ScannerApp</t>
        </is>
      </c>
      <c r="I956" s="27" t="inlineStr">
        <is>
          <t>05</t>
        </is>
      </c>
      <c r="J956" s="27" t="n">
        <v>2026</v>
      </c>
    </row>
    <row r="957" ht="15" customHeight="1" s="24">
      <c r="A957" s="27" t="n">
        <v>7910418</v>
      </c>
      <c r="B957" s="27" t="n">
        <v>1142434</v>
      </c>
      <c r="C957" s="27" t="inlineStr">
        <is>
          <t>AtHub</t>
        </is>
      </c>
      <c r="D957" s="41" t="n">
        <v>46167.22762502315</v>
      </c>
      <c r="E957" s="27" t="n">
        <v>-24.902026</v>
      </c>
      <c r="F957" s="27" t="n">
        <v>30.797273</v>
      </c>
      <c r="G957" s="27" t="inlineStr">
        <is>
          <t>Open</t>
        </is>
      </c>
      <c r="H957" s="27" t="inlineStr">
        <is>
          <t>CourierGPS</t>
        </is>
      </c>
      <c r="I957" s="27" t="inlineStr">
        <is>
          <t>05</t>
        </is>
      </c>
      <c r="J957" s="27" t="n">
        <v>2026</v>
      </c>
    </row>
    <row r="958" ht="15" customHeight="1" s="24">
      <c r="A958" s="27" t="n">
        <v>7860203</v>
      </c>
      <c r="B958" s="27" t="n">
        <v>1132400</v>
      </c>
      <c r="C958" s="27" t="inlineStr">
        <is>
          <t>CollectedFromRetailer</t>
        </is>
      </c>
      <c r="D958" s="41" t="n">
        <v>46167.78177891204</v>
      </c>
      <c r="E958" s="27" t="n">
        <v>-28.827247</v>
      </c>
      <c r="F958" s="27" t="n">
        <v>29.131603</v>
      </c>
      <c r="G958" s="27" t="inlineStr">
        <is>
          <t>Open</t>
        </is>
      </c>
      <c r="H958" s="27" t="inlineStr">
        <is>
          <t>PartnerPOS</t>
        </is>
      </c>
      <c r="I958" s="27" t="inlineStr">
        <is>
          <t>05</t>
        </is>
      </c>
      <c r="J958" s="27" t="n">
        <v>2026</v>
      </c>
    </row>
    <row r="959" ht="15" customHeight="1" s="24">
      <c r="A959" s="27" t="n">
        <v>8005337</v>
      </c>
      <c r="B959" s="27" t="n">
        <v>1157072</v>
      </c>
      <c r="C959" s="27" t="inlineStr">
        <is>
          <t>ArrivedAtPickupPoint</t>
        </is>
      </c>
      <c r="D959" s="41" t="n">
        <v>46168.83549171296</v>
      </c>
      <c r="E959" s="27" t="n">
        <v>-24.078744</v>
      </c>
      <c r="F959" s="27" t="n">
        <v>30.26364</v>
      </c>
      <c r="G959" s="27" t="inlineStr">
        <is>
          <t>Open</t>
        </is>
      </c>
      <c r="H959" s="27" t="inlineStr">
        <is>
          <t>ScannerApp</t>
        </is>
      </c>
      <c r="I959" s="27" t="inlineStr">
        <is>
          <t>05</t>
        </is>
      </c>
      <c r="J959" s="27" t="n">
        <v>2026</v>
      </c>
    </row>
    <row r="960" ht="15" customHeight="1" s="24">
      <c r="A960" s="27" t="n">
        <v>7896260</v>
      </c>
      <c r="B960" s="27" t="n">
        <v>1128276</v>
      </c>
      <c r="C960" s="27" t="inlineStr">
        <is>
          <t>AtHub</t>
        </is>
      </c>
      <c r="D960" s="41" t="n">
        <v>46169.39951684028</v>
      </c>
      <c r="E960" s="27" t="n">
        <v>-33.202459</v>
      </c>
      <c r="F960" s="27" t="n">
        <v>24.42253</v>
      </c>
      <c r="G960" s="27" t="inlineStr">
        <is>
          <t>Open</t>
        </is>
      </c>
      <c r="H960" s="27" t="inlineStr">
        <is>
          <t>ScannerApp</t>
        </is>
      </c>
      <c r="I960" s="27" t="inlineStr">
        <is>
          <t>05</t>
        </is>
      </c>
      <c r="J960" s="27" t="n">
        <v>2026</v>
      </c>
    </row>
    <row r="961" ht="15" customHeight="1" s="24">
      <c r="A961" s="27" t="n">
        <v>8009881</v>
      </c>
      <c r="B961" s="27" t="n">
        <v>1121442</v>
      </c>
      <c r="C961" s="27" t="inlineStr">
        <is>
          <t>CustomerNotified</t>
        </is>
      </c>
      <c r="D961" s="41" t="n">
        <v>46169.45285104166</v>
      </c>
      <c r="E961" s="27" t="n">
        <v>-26.155171</v>
      </c>
      <c r="F961" s="27" t="n">
        <v>29.070922</v>
      </c>
      <c r="G961" s="27" t="inlineStr">
        <is>
          <t>Open</t>
        </is>
      </c>
      <c r="H961" s="27" t="inlineStr">
        <is>
          <t>ScannerApp</t>
        </is>
      </c>
      <c r="I961" s="27" t="inlineStr">
        <is>
          <t>05</t>
        </is>
      </c>
      <c r="J961" s="27" t="n">
        <v>2026</v>
      </c>
    </row>
    <row r="962" ht="15" customHeight="1" s="24">
      <c r="A962" s="27" t="n">
        <v>7955397</v>
      </c>
      <c r="B962" s="27" t="n">
        <v>1147232</v>
      </c>
      <c r="C962" s="27" t="inlineStr">
        <is>
          <t>InLinehaul</t>
        </is>
      </c>
      <c r="D962" s="41" t="n">
        <v>46172.31511568287</v>
      </c>
      <c r="E962" s="27" t="n">
        <v>-31.545736</v>
      </c>
      <c r="F962" s="27" t="n">
        <v>28.67449</v>
      </c>
      <c r="G962" s="27" t="inlineStr">
        <is>
          <t>Open</t>
        </is>
      </c>
      <c r="H962" s="27" t="inlineStr">
        <is>
          <t>CourierGPS</t>
        </is>
      </c>
      <c r="I962" s="27" t="inlineStr">
        <is>
          <t>05</t>
        </is>
      </c>
      <c r="J962" s="27" t="n">
        <v>2026</v>
      </c>
    </row>
    <row r="963" ht="15" customHeight="1" s="24">
      <c r="A963" s="27" t="n">
        <v>7989744</v>
      </c>
      <c r="B963" s="27" t="n">
        <v>1141447</v>
      </c>
      <c r="C963" s="27" t="inlineStr">
        <is>
          <t>ArrivedAtPickupPoint</t>
        </is>
      </c>
      <c r="D963" s="41" t="n">
        <v>46172.32255171296</v>
      </c>
      <c r="E963" s="27" t="n">
        <v>-26.312921</v>
      </c>
      <c r="F963" s="27" t="n">
        <v>28.817046</v>
      </c>
      <c r="G963" s="27" t="inlineStr">
        <is>
          <t>Open</t>
        </is>
      </c>
      <c r="H963" s="27" t="inlineStr">
        <is>
          <t>PartnerPOS</t>
        </is>
      </c>
      <c r="I963" s="27" t="inlineStr">
        <is>
          <t>05</t>
        </is>
      </c>
      <c r="J963" s="27" t="n">
        <v>2026</v>
      </c>
    </row>
    <row r="964" ht="15" customHeight="1" s="24">
      <c r="A964" s="27" t="n">
        <v>7897664</v>
      </c>
      <c r="B964" s="27" t="n">
        <v>1129680</v>
      </c>
      <c r="C964" s="27" t="inlineStr">
        <is>
          <t>AtHub</t>
        </is>
      </c>
      <c r="D964" s="41" t="n">
        <v>46173.67942108796</v>
      </c>
      <c r="E964" s="27" t="n">
        <v>-25.032378</v>
      </c>
      <c r="F964" s="27" t="n">
        <v>26.712394</v>
      </c>
      <c r="G964" s="27" t="inlineStr">
        <is>
          <t>Open</t>
        </is>
      </c>
      <c r="H964" s="27" t="inlineStr">
        <is>
          <t>CourierGPS</t>
        </is>
      </c>
      <c r="I964" s="27" t="inlineStr">
        <is>
          <t>05</t>
        </is>
      </c>
      <c r="J964" s="27" t="n">
        <v>2026</v>
      </c>
    </row>
    <row r="965" ht="15" customHeight="1" s="24">
      <c r="A965" s="27" t="n">
        <v>7973585</v>
      </c>
      <c r="B965" s="27" t="n">
        <v>1125250</v>
      </c>
      <c r="C965" s="27" t="inlineStr">
        <is>
          <t>ArrivedAtPickupPoint</t>
        </is>
      </c>
      <c r="D965" s="41" t="n">
        <v>46174.86315151621</v>
      </c>
      <c r="E965" s="27" t="n">
        <v>-33.404192</v>
      </c>
      <c r="F965" s="27" t="n">
        <v>26.387699</v>
      </c>
      <c r="G965" s="27" t="inlineStr">
        <is>
          <t>Open</t>
        </is>
      </c>
      <c r="H965" s="27" t="inlineStr">
        <is>
          <t>API</t>
        </is>
      </c>
      <c r="I965" s="27" t="inlineStr">
        <is>
          <t>05</t>
        </is>
      </c>
      <c r="J965" s="27" t="n">
        <v>2026</v>
      </c>
    </row>
    <row r="966" ht="15" customHeight="1" s="24">
      <c r="A966" s="27" t="n">
        <v>7907204</v>
      </c>
      <c r="B966" s="27" t="n">
        <v>1139220</v>
      </c>
      <c r="C966" s="27" t="inlineStr">
        <is>
          <t>AtHub</t>
        </is>
      </c>
      <c r="D966" s="41" t="n">
        <v>46174.97271925926</v>
      </c>
      <c r="E966" s="27" t="n">
        <v>-25.128096</v>
      </c>
      <c r="F966" s="27" t="n">
        <v>27.013324</v>
      </c>
      <c r="G966" s="27" t="inlineStr">
        <is>
          <t>Open</t>
        </is>
      </c>
      <c r="H966" s="27" t="inlineStr">
        <is>
          <t>ScannerApp</t>
        </is>
      </c>
      <c r="I966" s="27" t="inlineStr">
        <is>
          <t>05</t>
        </is>
      </c>
      <c r="J966" s="27" t="n">
        <v>2026</v>
      </c>
    </row>
    <row r="967" ht="15" customHeight="1" s="24">
      <c r="A967" s="27" t="n">
        <v>8364153</v>
      </c>
      <c r="B967" s="27" t="n">
        <v>1199349</v>
      </c>
      <c r="C967" s="27" t="inlineStr">
        <is>
          <t>CollectedByCustomer</t>
        </is>
      </c>
      <c r="D967" s="41" t="n">
        <v>46176.75546076389</v>
      </c>
      <c r="E967" s="27" t="n">
        <v>-25.61253</v>
      </c>
      <c r="F967" s="27" t="n">
        <v>28.934295</v>
      </c>
      <c r="G967" s="27" t="inlineStr">
        <is>
          <t>Closed</t>
        </is>
      </c>
      <c r="H967" s="27" t="inlineStr">
        <is>
          <t>CourierGPS</t>
        </is>
      </c>
      <c r="I967" s="27" t="inlineStr">
        <is>
          <t>06</t>
        </is>
      </c>
      <c r="J967" s="27" t="n">
        <v>2026</v>
      </c>
    </row>
    <row r="968" ht="15" customHeight="1" s="24">
      <c r="A968" s="27" t="n">
        <v>8060482</v>
      </c>
      <c r="B968" s="27" t="n">
        <v>1133026</v>
      </c>
      <c r="C968" s="27" t="inlineStr">
        <is>
          <t>CollectedByCustomer</t>
        </is>
      </c>
      <c r="D968" s="41" t="n">
        <v>46177.0816328125</v>
      </c>
      <c r="E968" s="27" t="n">
        <v>-31.836261</v>
      </c>
      <c r="F968" s="27" t="n">
        <v>24.157606</v>
      </c>
      <c r="G968" s="27" t="inlineStr">
        <is>
          <t>Closed</t>
        </is>
      </c>
      <c r="H968" s="27" t="inlineStr">
        <is>
          <t>CourierGPS</t>
        </is>
      </c>
      <c r="I968" s="27" t="inlineStr">
        <is>
          <t>05</t>
        </is>
      </c>
      <c r="J968" s="27" t="n">
        <v>2026</v>
      </c>
    </row>
    <row r="969" ht="15" customHeight="1" s="24">
      <c r="A969" s="27" t="n">
        <v>8320319</v>
      </c>
      <c r="B969" s="27" t="n">
        <v>1189049</v>
      </c>
      <c r="C969" s="27" t="inlineStr">
        <is>
          <t>CustomerNotified</t>
        </is>
      </c>
      <c r="D969" s="41" t="n">
        <v>46179.04039688657</v>
      </c>
      <c r="E969" s="27" t="n">
        <v>-28.945431</v>
      </c>
      <c r="F969" s="27" t="n">
        <v>30.416826</v>
      </c>
      <c r="G969" s="27" t="inlineStr">
        <is>
          <t>Open</t>
        </is>
      </c>
      <c r="H969" s="27" t="inlineStr">
        <is>
          <t>CourierGPS</t>
        </is>
      </c>
      <c r="I969" s="27" t="inlineStr">
        <is>
          <t>06</t>
        </is>
      </c>
      <c r="J969" s="27" t="n">
        <v>2026</v>
      </c>
    </row>
    <row r="970" ht="15" customHeight="1" s="24">
      <c r="A970" s="27" t="n">
        <v>8169708</v>
      </c>
      <c r="B970" s="27" t="n">
        <v>1160487</v>
      </c>
      <c r="C970" s="27" t="inlineStr">
        <is>
          <t>AtHub</t>
        </is>
      </c>
      <c r="D970" s="41" t="n">
        <v>46179.30900599537</v>
      </c>
      <c r="E970" s="27" t="n">
        <v>-32.084765</v>
      </c>
      <c r="F970" s="27" t="n">
        <v>19.087985</v>
      </c>
      <c r="G970" s="27" t="inlineStr">
        <is>
          <t>Open</t>
        </is>
      </c>
      <c r="H970" s="27" t="inlineStr">
        <is>
          <t>API</t>
        </is>
      </c>
      <c r="I970" s="27" t="inlineStr">
        <is>
          <t>06</t>
        </is>
      </c>
      <c r="J970" s="27" t="n">
        <v>2026</v>
      </c>
    </row>
    <row r="971" ht="15" customHeight="1" s="24">
      <c r="A971" s="27" t="n">
        <v>8251363</v>
      </c>
      <c r="B971" s="27" t="n">
        <v>1160698</v>
      </c>
      <c r="C971" s="27" t="inlineStr">
        <is>
          <t>ArrivedAtPickupPoint</t>
        </is>
      </c>
      <c r="D971" s="41" t="n">
        <v>46180.37796954861</v>
      </c>
      <c r="E971" s="27" t="n">
        <v>-28.296066</v>
      </c>
      <c r="F971" s="27" t="n">
        <v>31.402357</v>
      </c>
      <c r="G971" s="27" t="inlineStr">
        <is>
          <t>Open</t>
        </is>
      </c>
      <c r="H971" s="27" t="inlineStr">
        <is>
          <t>ScannerApp</t>
        </is>
      </c>
      <c r="I971" s="27" t="inlineStr">
        <is>
          <t>06</t>
        </is>
      </c>
      <c r="J971" s="27" t="n">
        <v>2026</v>
      </c>
    </row>
    <row r="972" ht="15" customHeight="1" s="24">
      <c r="A972" s="27" t="n">
        <v>8293572</v>
      </c>
      <c r="B972" s="27" t="n">
        <v>1162257</v>
      </c>
      <c r="C972" s="27" t="inlineStr">
        <is>
          <t>CustomerNotified</t>
        </is>
      </c>
      <c r="D972" s="41" t="n">
        <v>46183.1085005787</v>
      </c>
      <c r="E972" s="27" t="n">
        <v>-31.831574</v>
      </c>
      <c r="F972" s="27" t="n">
        <v>19.958292</v>
      </c>
      <c r="G972" s="27" t="inlineStr">
        <is>
          <t>Open</t>
        </is>
      </c>
      <c r="H972" s="27" t="inlineStr">
        <is>
          <t>API</t>
        </is>
      </c>
      <c r="I972" s="27" t="inlineStr">
        <is>
          <t>06</t>
        </is>
      </c>
      <c r="J972" s="27" t="n">
        <v>2026</v>
      </c>
    </row>
    <row r="973" ht="15" customHeight="1" s="24">
      <c r="A973" s="27" t="n">
        <v>8197153</v>
      </c>
      <c r="B973" s="27" t="n">
        <v>1187932</v>
      </c>
      <c r="C973" s="27" t="inlineStr">
        <is>
          <t>AtHub</t>
        </is>
      </c>
      <c r="D973" s="41" t="n">
        <v>46184.20716143519</v>
      </c>
      <c r="E973" s="27" t="n">
        <v>-35.102556</v>
      </c>
      <c r="F973" s="27" t="n">
        <v>16.090452</v>
      </c>
      <c r="G973" s="27" t="inlineStr">
        <is>
          <t>Open</t>
        </is>
      </c>
      <c r="H973" s="27" t="inlineStr">
        <is>
          <t>ScannerApp</t>
        </is>
      </c>
      <c r="I973" s="27" t="inlineStr">
        <is>
          <t>06</t>
        </is>
      </c>
      <c r="J973" s="27" t="n">
        <v>2026</v>
      </c>
    </row>
    <row r="974" ht="15" customHeight="1" s="24">
      <c r="A974" s="27" t="n">
        <v>8250707</v>
      </c>
      <c r="B974" s="27" t="n">
        <v>1160039</v>
      </c>
      <c r="C974" s="27" t="inlineStr">
        <is>
          <t>ArrivedAtPickupPoint</t>
        </is>
      </c>
      <c r="D974" s="41" t="n">
        <v>46185.24414215278</v>
      </c>
      <c r="E974" s="27" t="n">
        <v>-27.593309</v>
      </c>
      <c r="F974" s="27" t="n">
        <v>30.96674</v>
      </c>
      <c r="G974" s="27" t="inlineStr">
        <is>
          <t>Open</t>
        </is>
      </c>
      <c r="H974" s="27" t="inlineStr">
        <is>
          <t>ScannerApp</t>
        </is>
      </c>
      <c r="I974" s="27" t="inlineStr">
        <is>
          <t>06</t>
        </is>
      </c>
      <c r="J974" s="27" t="n">
        <v>2026</v>
      </c>
    </row>
    <row r="975" ht="15" customHeight="1" s="24">
      <c r="A975" s="27" t="n">
        <v>8175520</v>
      </c>
      <c r="B975" s="27" t="n">
        <v>1166299</v>
      </c>
      <c r="C975" s="27" t="inlineStr">
        <is>
          <t>AtHub</t>
        </is>
      </c>
      <c r="D975" s="41" t="n">
        <v>46186.29576870371</v>
      </c>
      <c r="E975" s="27" t="n">
        <v>-26.997893</v>
      </c>
      <c r="F975" s="27" t="n">
        <v>30.16847</v>
      </c>
      <c r="G975" s="27" t="inlineStr">
        <is>
          <t>Open</t>
        </is>
      </c>
      <c r="H975" s="27" t="inlineStr">
        <is>
          <t>API</t>
        </is>
      </c>
      <c r="I975" s="27" t="inlineStr">
        <is>
          <t>06</t>
        </is>
      </c>
      <c r="J975" s="27" t="n">
        <v>2026</v>
      </c>
    </row>
    <row r="976" ht="15" customHeight="1" s="24">
      <c r="A976" s="27" t="n">
        <v>8239360</v>
      </c>
      <c r="B976" s="27" t="n">
        <v>1189415</v>
      </c>
      <c r="C976" s="27" t="inlineStr">
        <is>
          <t>InLinehaul</t>
        </is>
      </c>
      <c r="D976" s="41" t="n">
        <v>46186.88190622685</v>
      </c>
      <c r="E976" s="27" t="n">
        <v>-26.405081</v>
      </c>
      <c r="F976" s="27" t="n">
        <v>27.339019</v>
      </c>
      <c r="G976" s="27" t="inlineStr">
        <is>
          <t>Open</t>
        </is>
      </c>
      <c r="H976" s="27" t="inlineStr">
        <is>
          <t>ScannerApp</t>
        </is>
      </c>
      <c r="I976" s="27" t="inlineStr">
        <is>
          <t>06</t>
        </is>
      </c>
      <c r="J976" s="27" t="n">
        <v>2026</v>
      </c>
    </row>
    <row r="977" ht="15" customHeight="1" s="24">
      <c r="A977" s="27" t="n">
        <v>8234792</v>
      </c>
      <c r="B977" s="27" t="n">
        <v>1184847</v>
      </c>
      <c r="C977" s="27" t="inlineStr">
        <is>
          <t>InLinehaul</t>
        </is>
      </c>
      <c r="D977" s="41" t="n">
        <v>46187.20166744213</v>
      </c>
      <c r="E977" s="27" t="n">
        <v>-30.520776</v>
      </c>
      <c r="F977" s="27" t="n">
        <v>19.362156</v>
      </c>
      <c r="G977" s="27" t="inlineStr">
        <is>
          <t>Open</t>
        </is>
      </c>
      <c r="H977" s="27" t="inlineStr">
        <is>
          <t>API</t>
        </is>
      </c>
      <c r="I977" s="27" t="inlineStr">
        <is>
          <t>06</t>
        </is>
      </c>
      <c r="J977" s="27" t="n">
        <v>2026</v>
      </c>
    </row>
    <row r="978" ht="15" customHeight="1" s="24">
      <c r="A978" s="27" t="n">
        <v>8166649</v>
      </c>
      <c r="B978" s="27" t="n">
        <v>1198152</v>
      </c>
      <c r="C978" s="27" t="inlineStr">
        <is>
          <t>CollectedFromRetailer</t>
        </is>
      </c>
      <c r="D978" s="41" t="n">
        <v>46187.89449001157</v>
      </c>
      <c r="E978" s="27" t="n">
        <v>-26.373497</v>
      </c>
      <c r="F978" s="27" t="n">
        <v>26.600749</v>
      </c>
      <c r="G978" s="27" t="inlineStr">
        <is>
          <t>Open</t>
        </is>
      </c>
      <c r="H978" s="27" t="inlineStr">
        <is>
          <t>ScannerApp</t>
        </is>
      </c>
      <c r="I978" s="27" t="inlineStr">
        <is>
          <t>06</t>
        </is>
      </c>
      <c r="J978" s="27" t="n">
        <v>2026</v>
      </c>
    </row>
    <row r="979" ht="15" customHeight="1" s="24">
      <c r="A979" s="27" t="n">
        <v>8097680</v>
      </c>
      <c r="B979" s="27" t="n">
        <v>1169907</v>
      </c>
      <c r="C979" s="27" t="inlineStr">
        <is>
          <t>Created</t>
        </is>
      </c>
      <c r="D979" s="41" t="n">
        <v>46188.22947747685</v>
      </c>
      <c r="E979" s="27" t="n">
        <v>-25.403169</v>
      </c>
      <c r="F979" s="27" t="n">
        <v>28.951968</v>
      </c>
      <c r="G979" s="27" t="inlineStr">
        <is>
          <t>Open</t>
        </is>
      </c>
      <c r="H979" s="27" t="inlineStr">
        <is>
          <t>PartnerPOS</t>
        </is>
      </c>
      <c r="I979" s="27" t="inlineStr">
        <is>
          <t>06</t>
        </is>
      </c>
      <c r="J979" s="27" t="n">
        <v>2026</v>
      </c>
    </row>
    <row r="980" ht="15" customHeight="1" s="24">
      <c r="A980" s="27" t="n">
        <v>8267263</v>
      </c>
      <c r="B980" s="27" t="n">
        <v>1176618</v>
      </c>
      <c r="C980" s="27" t="inlineStr">
        <is>
          <t>ArrivedAtPickupPoint</t>
        </is>
      </c>
      <c r="D980" s="41" t="n">
        <v>46188.4593999537</v>
      </c>
      <c r="E980" s="27" t="n">
        <v>-32.943486</v>
      </c>
      <c r="F980" s="27" t="n">
        <v>24.835711</v>
      </c>
      <c r="G980" s="27" t="inlineStr">
        <is>
          <t>Open</t>
        </is>
      </c>
      <c r="H980" s="27" t="inlineStr">
        <is>
          <t>CourierGPS</t>
        </is>
      </c>
      <c r="I980" s="27" t="inlineStr">
        <is>
          <t>06</t>
        </is>
      </c>
      <c r="J980" s="27" t="n">
        <v>2026</v>
      </c>
    </row>
    <row r="981" ht="15" customHeight="1" s="24">
      <c r="A981" s="27" t="n">
        <v>8160111</v>
      </c>
      <c r="B981" s="27" t="n">
        <v>1191614</v>
      </c>
      <c r="C981" s="27" t="inlineStr">
        <is>
          <t>CollectedFromRetailer</t>
        </is>
      </c>
      <c r="D981" s="41" t="n">
        <v>46188.47316122685</v>
      </c>
      <c r="E981" s="27" t="n">
        <v>-28.181311</v>
      </c>
      <c r="F981" s="27" t="n">
        <v>25.331706</v>
      </c>
      <c r="G981" s="27" t="inlineStr">
        <is>
          <t>Open</t>
        </is>
      </c>
      <c r="H981" s="27" t="inlineStr">
        <is>
          <t>ScannerApp</t>
        </is>
      </c>
      <c r="I981" s="27" t="inlineStr">
        <is>
          <t>06</t>
        </is>
      </c>
      <c r="J981" s="27" t="n">
        <v>2026</v>
      </c>
    </row>
    <row r="982" ht="15" customHeight="1" s="24">
      <c r="A982" s="27" t="n">
        <v>8213233</v>
      </c>
      <c r="B982" s="27" t="n">
        <v>1163288</v>
      </c>
      <c r="C982" s="27" t="inlineStr">
        <is>
          <t>InLinehaul</t>
        </is>
      </c>
      <c r="D982" s="41" t="n">
        <v>46188.9083108449</v>
      </c>
      <c r="E982" s="27" t="n">
        <v>-30.906438</v>
      </c>
      <c r="F982" s="27" t="n">
        <v>27.516977</v>
      </c>
      <c r="G982" s="27" t="inlineStr">
        <is>
          <t>Open</t>
        </is>
      </c>
      <c r="H982" s="27" t="inlineStr">
        <is>
          <t>API</t>
        </is>
      </c>
      <c r="I982" s="27" t="inlineStr">
        <is>
          <t>06</t>
        </is>
      </c>
      <c r="J982" s="27" t="n">
        <v>2026</v>
      </c>
    </row>
    <row r="983" ht="15" customHeight="1" s="24">
      <c r="A983" s="27" t="n">
        <v>8231607</v>
      </c>
      <c r="B983" s="27" t="n">
        <v>1181662</v>
      </c>
      <c r="C983" s="27" t="inlineStr">
        <is>
          <t>InLinehaul</t>
        </is>
      </c>
      <c r="D983" s="41" t="n">
        <v>46189.70967368055</v>
      </c>
      <c r="E983" s="27" t="n">
        <v>-23.606266</v>
      </c>
      <c r="F983" s="27" t="n">
        <v>30.335503</v>
      </c>
      <c r="G983" s="27" t="inlineStr">
        <is>
          <t>Open</t>
        </is>
      </c>
      <c r="H983" s="27" t="inlineStr">
        <is>
          <t>PartnerPOS</t>
        </is>
      </c>
      <c r="I983" s="27" t="inlineStr">
        <is>
          <t>06</t>
        </is>
      </c>
      <c r="J983" s="27" t="n">
        <v>2026</v>
      </c>
    </row>
    <row r="984" ht="15" customHeight="1" s="24">
      <c r="A984" s="27" t="n">
        <v>8148243</v>
      </c>
      <c r="B984" s="27" t="n">
        <v>1179746</v>
      </c>
      <c r="C984" s="27" t="inlineStr">
        <is>
          <t>CollectedFromRetailer</t>
        </is>
      </c>
      <c r="D984" s="41" t="n">
        <v>46191.99995614583</v>
      </c>
      <c r="E984" s="27" t="n">
        <v>-26.724914</v>
      </c>
      <c r="F984" s="27" t="n">
        <v>29.4522</v>
      </c>
      <c r="G984" s="27" t="inlineStr">
        <is>
          <t>Open</t>
        </is>
      </c>
      <c r="H984" s="27" t="inlineStr">
        <is>
          <t>PartnerPOS</t>
        </is>
      </c>
      <c r="I984" s="27" t="inlineStr">
        <is>
          <t>06</t>
        </is>
      </c>
      <c r="J984" s="27" t="n">
        <v>2026</v>
      </c>
    </row>
    <row r="985" ht="15" customHeight="1" s="24">
      <c r="A985" s="27" t="n">
        <v>8255394</v>
      </c>
      <c r="B985" s="27" t="n">
        <v>1164732</v>
      </c>
      <c r="C985" s="27" t="inlineStr">
        <is>
          <t>ArrivedAtPickupPoint</t>
        </is>
      </c>
      <c r="D985" s="41" t="n">
        <v>46192.5906418287</v>
      </c>
      <c r="E985" s="27" t="n">
        <v>-26.466081</v>
      </c>
      <c r="F985" s="27" t="n">
        <v>27.91059</v>
      </c>
      <c r="G985" s="27" t="inlineStr">
        <is>
          <t>Open</t>
        </is>
      </c>
      <c r="H985" s="27" t="inlineStr">
        <is>
          <t>ScannerApp</t>
        </is>
      </c>
      <c r="I985" s="27" t="inlineStr">
        <is>
          <t>06</t>
        </is>
      </c>
      <c r="J985" s="27" t="n">
        <v>2026</v>
      </c>
    </row>
    <row r="986" ht="15" customHeight="1" s="24">
      <c r="A986" s="27" t="n">
        <v>8337475</v>
      </c>
      <c r="B986" s="27" t="n">
        <v>1166923</v>
      </c>
      <c r="C986" s="27" t="inlineStr">
        <is>
          <t>CollectedByCustomer</t>
        </is>
      </c>
      <c r="D986" s="41" t="n">
        <v>46192.75827665509</v>
      </c>
      <c r="E986" s="27" t="n">
        <v>-25.581691</v>
      </c>
      <c r="F986" s="27" t="n">
        <v>30.154279</v>
      </c>
      <c r="G986" s="27" t="inlineStr">
        <is>
          <t>Closed</t>
        </is>
      </c>
      <c r="H986" s="27" t="inlineStr">
        <is>
          <t>PartnerPOS</t>
        </is>
      </c>
      <c r="I986" s="27" t="inlineStr">
        <is>
          <t>06</t>
        </is>
      </c>
      <c r="J986" s="27" t="n">
        <v>2026</v>
      </c>
    </row>
    <row r="987" ht="15" customHeight="1" s="24">
      <c r="A987" s="27" t="n">
        <v>8241951</v>
      </c>
      <c r="B987" s="27" t="n">
        <v>1192006</v>
      </c>
      <c r="C987" s="27" t="inlineStr">
        <is>
          <t>InLinehaul</t>
        </is>
      </c>
      <c r="D987" s="41" t="n">
        <v>46192.9223612037</v>
      </c>
      <c r="E987" s="27" t="n">
        <v>-33.49524</v>
      </c>
      <c r="F987" s="27" t="n">
        <v>20.086104</v>
      </c>
      <c r="G987" s="27" t="inlineStr">
        <is>
          <t>Open</t>
        </is>
      </c>
      <c r="H987" s="27" t="inlineStr">
        <is>
          <t>PartnerPOS</t>
        </is>
      </c>
      <c r="I987" s="27" t="inlineStr">
        <is>
          <t>06</t>
        </is>
      </c>
      <c r="J987" s="27" t="n">
        <v>2026</v>
      </c>
    </row>
    <row r="988" ht="15" customHeight="1" s="24">
      <c r="A988" s="27" t="n">
        <v>8270968</v>
      </c>
      <c r="B988" s="27" t="n">
        <v>1180330</v>
      </c>
      <c r="C988" s="27" t="inlineStr">
        <is>
          <t>ArrivedAtPickupPoint</t>
        </is>
      </c>
      <c r="D988" s="41" t="n">
        <v>46192.94217711806</v>
      </c>
      <c r="E988" s="27" t="n">
        <v>-25.209998</v>
      </c>
      <c r="F988" s="27" t="n">
        <v>27.543667</v>
      </c>
      <c r="G988" s="27" t="inlineStr">
        <is>
          <t>Open</t>
        </is>
      </c>
      <c r="H988" s="27" t="inlineStr">
        <is>
          <t>ScannerApp</t>
        </is>
      </c>
      <c r="I988" s="27" t="inlineStr">
        <is>
          <t>06</t>
        </is>
      </c>
      <c r="J988" s="27" t="n">
        <v>2026</v>
      </c>
    </row>
    <row r="989" ht="15" customHeight="1" s="24">
      <c r="A989" s="27" t="n">
        <v>8203188</v>
      </c>
      <c r="B989" s="27" t="n">
        <v>1193967</v>
      </c>
      <c r="C989" s="27" t="inlineStr">
        <is>
          <t>AtHub</t>
        </is>
      </c>
      <c r="D989" s="41" t="n">
        <v>46193.74299596065</v>
      </c>
      <c r="E989" s="27" t="n">
        <v>-32.377557</v>
      </c>
      <c r="F989" s="27" t="n">
        <v>18.070804</v>
      </c>
      <c r="G989" s="27" t="inlineStr">
        <is>
          <t>Open</t>
        </is>
      </c>
      <c r="H989" s="27" t="inlineStr">
        <is>
          <t>PartnerPOS</t>
        </is>
      </c>
      <c r="I989" s="27" t="inlineStr">
        <is>
          <t>06</t>
        </is>
      </c>
      <c r="J989" s="27" t="n">
        <v>2026</v>
      </c>
    </row>
    <row r="990" ht="15" customHeight="1" s="24">
      <c r="A990" s="27" t="n">
        <v>8226036</v>
      </c>
      <c r="B990" s="27" t="n">
        <v>1176091</v>
      </c>
      <c r="C990" s="27" t="inlineStr">
        <is>
          <t>InLinehaul</t>
        </is>
      </c>
      <c r="D990" s="41" t="n">
        <v>46194.59606571759</v>
      </c>
      <c r="E990" s="27" t="n">
        <v>-30.282445</v>
      </c>
      <c r="F990" s="27" t="n">
        <v>18.6804</v>
      </c>
      <c r="G990" s="27" t="inlineStr">
        <is>
          <t>Open</t>
        </is>
      </c>
      <c r="H990" s="27" t="inlineStr">
        <is>
          <t>ScannerApp</t>
        </is>
      </c>
      <c r="I990" s="27" t="inlineStr">
        <is>
          <t>06</t>
        </is>
      </c>
      <c r="J990" s="27" t="n">
        <v>2026</v>
      </c>
    </row>
    <row r="991" ht="15" customHeight="1" s="24">
      <c r="A991" s="27" t="n">
        <v>8253236</v>
      </c>
      <c r="B991" s="27" t="n">
        <v>1162572</v>
      </c>
      <c r="C991" s="27" t="inlineStr">
        <is>
          <t>ArrivedAtPickupPoint</t>
        </is>
      </c>
      <c r="D991" s="41" t="n">
        <v>46196.96363369213</v>
      </c>
      <c r="E991" s="27" t="n">
        <v>-25.720885</v>
      </c>
      <c r="F991" s="27" t="n">
        <v>28.991458</v>
      </c>
      <c r="G991" s="27" t="inlineStr">
        <is>
          <t>Open</t>
        </is>
      </c>
      <c r="H991" s="27" t="inlineStr">
        <is>
          <t>CourierGPS</t>
        </is>
      </c>
      <c r="I991" s="27" t="inlineStr">
        <is>
          <t>06</t>
        </is>
      </c>
      <c r="J991" s="27" t="n">
        <v>2026</v>
      </c>
    </row>
    <row r="992" ht="15" customHeight="1" s="24">
      <c r="A992" s="27" t="n">
        <v>8336629</v>
      </c>
      <c r="B992" s="27" t="n">
        <v>1165911</v>
      </c>
      <c r="C992" s="27" t="inlineStr">
        <is>
          <t>CollectedByCustomer</t>
        </is>
      </c>
      <c r="D992" s="41" t="n">
        <v>46197.06447109954</v>
      </c>
      <c r="E992" s="27" t="n">
        <v>-32.952511</v>
      </c>
      <c r="F992" s="27" t="n">
        <v>18.231359</v>
      </c>
      <c r="G992" s="27" t="inlineStr">
        <is>
          <t>Closed</t>
        </is>
      </c>
      <c r="H992" s="27" t="inlineStr">
        <is>
          <t>ScannerApp</t>
        </is>
      </c>
      <c r="I992" s="27" t="inlineStr">
        <is>
          <t>06</t>
        </is>
      </c>
      <c r="J992" s="27" t="n">
        <v>2026</v>
      </c>
    </row>
    <row r="993" ht="15" customHeight="1" s="24">
      <c r="A993" s="27" t="n">
        <v>8343681</v>
      </c>
      <c r="B993" s="27" t="n">
        <v>1174563</v>
      </c>
      <c r="C993" s="27" t="inlineStr">
        <is>
          <t>CollectedByCustomer</t>
        </is>
      </c>
      <c r="D993" s="41" t="n">
        <v>46197.12277313657</v>
      </c>
      <c r="E993" s="27" t="n">
        <v>-26.075704</v>
      </c>
      <c r="F993" s="27" t="n">
        <v>28.848246</v>
      </c>
      <c r="G993" s="27" t="inlineStr">
        <is>
          <t>Closed</t>
        </is>
      </c>
      <c r="H993" s="27" t="inlineStr">
        <is>
          <t>PartnerPOS</t>
        </is>
      </c>
      <c r="I993" s="27" t="inlineStr">
        <is>
          <t>06</t>
        </is>
      </c>
      <c r="J993" s="27" t="n">
        <v>2026</v>
      </c>
    </row>
    <row r="994" ht="15" customHeight="1" s="24">
      <c r="A994" s="27" t="n">
        <v>8109797</v>
      </c>
      <c r="B994" s="27" t="n">
        <v>1182024</v>
      </c>
      <c r="C994" s="27" t="inlineStr">
        <is>
          <t>Created</t>
        </is>
      </c>
      <c r="D994" s="41" t="n">
        <v>46199.26083315972</v>
      </c>
      <c r="E994" s="27" t="n">
        <v>-27.650841</v>
      </c>
      <c r="F994" s="27" t="n">
        <v>30.380337</v>
      </c>
      <c r="G994" s="27" t="inlineStr">
        <is>
          <t>Open</t>
        </is>
      </c>
      <c r="H994" s="27" t="inlineStr">
        <is>
          <t>PartnerPOS</t>
        </is>
      </c>
      <c r="I994" s="27" t="inlineStr">
        <is>
          <t>06</t>
        </is>
      </c>
      <c r="J994" s="27" t="n">
        <v>2026</v>
      </c>
    </row>
    <row r="995" ht="15" customHeight="1" s="24">
      <c r="A995" s="27" t="n">
        <v>8120448</v>
      </c>
      <c r="B995" s="27" t="n">
        <v>1192675</v>
      </c>
      <c r="C995" s="27" t="inlineStr">
        <is>
          <t>Created</t>
        </is>
      </c>
      <c r="D995" s="41" t="n">
        <v>46199.67306731481</v>
      </c>
      <c r="E995" s="27" t="n">
        <v>-24.554641</v>
      </c>
      <c r="F995" s="27" t="n">
        <v>28.084468</v>
      </c>
      <c r="G995" s="27" t="inlineStr">
        <is>
          <t>Open</t>
        </is>
      </c>
      <c r="H995" s="27" t="inlineStr">
        <is>
          <t>PartnerPOS</t>
        </is>
      </c>
      <c r="I995" s="27" t="inlineStr">
        <is>
          <t>06</t>
        </is>
      </c>
      <c r="J995" s="27" t="n">
        <v>2026</v>
      </c>
    </row>
    <row r="996" ht="15" customHeight="1" s="24">
      <c r="A996" s="27" t="n">
        <v>8315511</v>
      </c>
      <c r="B996" s="27" t="n">
        <v>1184237</v>
      </c>
      <c r="C996" s="27" t="inlineStr">
        <is>
          <t>CustomerNotified</t>
        </is>
      </c>
      <c r="D996" s="41" t="n">
        <v>46199.83785950232</v>
      </c>
      <c r="E996" s="27" t="n">
        <v>-30.765946</v>
      </c>
      <c r="F996" s="27" t="n">
        <v>30.34836</v>
      </c>
      <c r="G996" s="27" t="inlineStr">
        <is>
          <t>Open</t>
        </is>
      </c>
      <c r="H996" s="27" t="inlineStr">
        <is>
          <t>CourierGPS</t>
        </is>
      </c>
      <c r="I996" s="27" t="inlineStr">
        <is>
          <t>06</t>
        </is>
      </c>
      <c r="J996" s="27" t="n">
        <v>2026</v>
      </c>
    </row>
    <row r="997" ht="15" customHeight="1" s="24">
      <c r="A997" s="27" t="n">
        <v>8271926</v>
      </c>
      <c r="B997" s="27" t="n">
        <v>1181291</v>
      </c>
      <c r="C997" s="27" t="inlineStr">
        <is>
          <t>ArrivedAtPickupPoint</t>
        </is>
      </c>
      <c r="D997" s="41" t="n">
        <v>46201.11237221065</v>
      </c>
      <c r="E997" s="27" t="n">
        <v>-29.876748</v>
      </c>
      <c r="F997" s="27" t="n">
        <v>27.615188</v>
      </c>
      <c r="G997" s="27" t="inlineStr">
        <is>
          <t>Open</t>
        </is>
      </c>
      <c r="H997" s="27" t="inlineStr">
        <is>
          <t>CourierGPS</t>
        </is>
      </c>
      <c r="I997" s="27" t="inlineStr">
        <is>
          <t>06</t>
        </is>
      </c>
      <c r="J997" s="27" t="n">
        <v>2026</v>
      </c>
    </row>
    <row r="998" ht="15" customHeight="1" s="24">
      <c r="A998" s="27" t="n">
        <v>8128209</v>
      </c>
      <c r="B998" s="27" t="n">
        <v>1159712</v>
      </c>
      <c r="C998" s="27" t="inlineStr">
        <is>
          <t>CollectedFromRetailer</t>
        </is>
      </c>
      <c r="D998" s="41" t="n">
        <v>46201.69580047454</v>
      </c>
      <c r="E998" s="27" t="n">
        <v>-27.261025</v>
      </c>
      <c r="F998" s="27" t="n">
        <v>31.270425</v>
      </c>
      <c r="G998" s="27" t="inlineStr">
        <is>
          <t>Open</t>
        </is>
      </c>
      <c r="H998" s="27" t="inlineStr">
        <is>
          <t>CourierGPS</t>
        </is>
      </c>
      <c r="I998" s="27" t="inlineStr">
        <is>
          <t>06</t>
        </is>
      </c>
      <c r="J998" s="27" t="n">
        <v>2026</v>
      </c>
    </row>
    <row r="999" ht="15" customHeight="1" s="24">
      <c r="A999" s="27" t="n">
        <v>8289498</v>
      </c>
      <c r="B999" s="27" t="n">
        <v>1198900</v>
      </c>
      <c r="C999" s="27" t="inlineStr">
        <is>
          <t>ArrivedAtPickupPoint</t>
        </is>
      </c>
      <c r="D999" s="41" t="n">
        <v>46202.49731188657</v>
      </c>
      <c r="E999" s="27" t="n">
        <v>-33.941039</v>
      </c>
      <c r="F999" s="27" t="n">
        <v>25.12269</v>
      </c>
      <c r="G999" s="27" t="inlineStr">
        <is>
          <t>Open</t>
        </is>
      </c>
      <c r="H999" s="27" t="inlineStr">
        <is>
          <t>ScannerApp</t>
        </is>
      </c>
      <c r="I999" s="27" t="inlineStr">
        <is>
          <t>06</t>
        </is>
      </c>
      <c r="J999" s="27" t="n">
        <v>2026</v>
      </c>
    </row>
    <row r="1000" ht="15" customHeight="1" s="24">
      <c r="A1000" s="27" t="n">
        <v>8144870</v>
      </c>
      <c r="B1000" s="27" t="n">
        <v>1176373</v>
      </c>
      <c r="C1000" s="27" t="inlineStr">
        <is>
          <t>CollectedFromRetailer</t>
        </is>
      </c>
      <c r="D1000" s="41" t="n">
        <v>46202.7377603125</v>
      </c>
      <c r="E1000" s="27" t="n">
        <v>-26.892944</v>
      </c>
      <c r="F1000" s="27" t="n">
        <v>27.722256</v>
      </c>
      <c r="G1000" s="27" t="inlineStr">
        <is>
          <t>Open</t>
        </is>
      </c>
      <c r="H1000" s="27" t="inlineStr">
        <is>
          <t>CourierGPS</t>
        </is>
      </c>
      <c r="I1000" s="27" t="inlineStr">
        <is>
          <t>06</t>
        </is>
      </c>
      <c r="J1000" s="27" t="n">
        <v>2026</v>
      </c>
    </row>
    <row r="1001" ht="15" customHeight="1" s="24">
      <c r="A1001" s="27" t="n">
        <v>8360464</v>
      </c>
      <c r="B1001" s="27" t="n">
        <v>1194880</v>
      </c>
      <c r="C1001" s="27" t="inlineStr">
        <is>
          <t>CollectedByCustomer</t>
        </is>
      </c>
      <c r="D1001" s="41" t="n">
        <v>46204.70624988426</v>
      </c>
      <c r="E1001" s="27" t="n">
        <v>-26.867855</v>
      </c>
      <c r="F1001" s="27" t="n">
        <v>27.020902</v>
      </c>
      <c r="G1001" s="27" t="inlineStr">
        <is>
          <t>Closed</t>
        </is>
      </c>
      <c r="H1001" s="27" t="inlineStr">
        <is>
          <t>ScannerApp</t>
        </is>
      </c>
      <c r="I1001" s="27" t="inlineStr">
        <is>
          <t>06</t>
        </is>
      </c>
      <c r="J1001" s="27" t="n">
        <v>2026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3"/>
    <col width="26" customWidth="1" style="23" min="4" max="4"/>
    <col width="20" customWidth="1" style="23" min="5" max="5"/>
    <col width="12" customWidth="1" style="23" min="6" max="9"/>
  </cols>
  <sheetData>
    <row r="1" ht="15" customHeight="1" s="24">
      <c r="A1" s="28" t="inlineStr">
        <is>
          <t>return_id</t>
        </is>
      </c>
      <c r="B1" s="28" t="inlineStr">
        <is>
          <t>parcel_id</t>
        </is>
      </c>
      <c r="C1" s="28" t="inlineStr">
        <is>
          <t>retailer_id</t>
        </is>
      </c>
      <c r="D1" s="28" t="inlineStr">
        <is>
          <t>return_initiated_at</t>
        </is>
      </c>
      <c r="E1" s="28" t="inlineStr">
        <is>
          <t>return_reason</t>
        </is>
      </c>
      <c r="F1" s="28" t="inlineStr">
        <is>
          <t>return_value_zar</t>
        </is>
      </c>
      <c r="G1" s="28" t="inlineStr">
        <is>
          <t>drop_off_point_id</t>
        </is>
      </c>
      <c r="H1" s="28" t="inlineStr">
        <is>
          <t>month</t>
        </is>
      </c>
      <c r="I1" s="28" t="inlineStr">
        <is>
          <t>year</t>
        </is>
      </c>
    </row>
    <row r="2" ht="15" customHeight="1" s="24">
      <c r="A2" s="27" t="n">
        <v>751</v>
      </c>
      <c r="B2" s="27" t="n">
        <v>10341</v>
      </c>
      <c r="C2" s="27" t="n">
        <v>149</v>
      </c>
      <c r="D2" s="41" t="n">
        <v>45114.37001634259</v>
      </c>
      <c r="E2" s="27" t="inlineStr">
        <is>
          <t>Wrong size</t>
        </is>
      </c>
      <c r="F2" s="27" t="n">
        <v>176.89</v>
      </c>
      <c r="G2" s="27" t="n">
        <v>433</v>
      </c>
      <c r="H2" s="27" t="inlineStr">
        <is>
          <t>07</t>
        </is>
      </c>
      <c r="I2" s="27" t="n">
        <v>2023</v>
      </c>
    </row>
    <row r="3" ht="15" customHeight="1" s="24">
      <c r="A3" s="27" t="n">
        <v>1034</v>
      </c>
      <c r="B3" s="27" t="n">
        <v>14234</v>
      </c>
      <c r="C3" s="27" t="n">
        <v>56</v>
      </c>
      <c r="D3" s="41" t="n">
        <v>45118.92228118055</v>
      </c>
      <c r="E3" s="27" t="inlineStr">
        <is>
          <t>Wrong size</t>
        </is>
      </c>
      <c r="F3" s="27" t="n">
        <v>370.29</v>
      </c>
      <c r="G3" s="27" t="n">
        <v>1873</v>
      </c>
      <c r="H3" s="27" t="inlineStr">
        <is>
          <t>07</t>
        </is>
      </c>
      <c r="I3" s="27" t="n">
        <v>2023</v>
      </c>
    </row>
    <row r="4" ht="15" customHeight="1" s="24">
      <c r="A4" s="27" t="n">
        <v>677</v>
      </c>
      <c r="B4" s="27" t="n">
        <v>9130</v>
      </c>
      <c r="C4" s="27" t="n">
        <v>82</v>
      </c>
      <c r="D4" s="41" t="n">
        <v>45121.68440034722</v>
      </c>
      <c r="E4" s="27" t="inlineStr">
        <is>
          <t>Wrong size</t>
        </is>
      </c>
      <c r="F4" s="27" t="n">
        <v>288.67</v>
      </c>
      <c r="G4" s="27" t="n">
        <v>2212</v>
      </c>
      <c r="H4" s="27" t="inlineStr">
        <is>
          <t>07</t>
        </is>
      </c>
      <c r="I4" s="27" t="n">
        <v>2023</v>
      </c>
    </row>
    <row r="5" ht="15" customHeight="1" s="24">
      <c r="A5" s="27" t="n">
        <v>64</v>
      </c>
      <c r="B5" s="27" t="n">
        <v>983</v>
      </c>
      <c r="C5" s="27" t="n">
        <v>1</v>
      </c>
      <c r="D5" s="41" t="n">
        <v>45122.4631475</v>
      </c>
      <c r="E5" s="27" t="inlineStr">
        <is>
          <t>Wrong size</t>
        </is>
      </c>
      <c r="F5" s="27" t="n">
        <v>232.09</v>
      </c>
      <c r="G5" s="27" t="n">
        <v>2911</v>
      </c>
      <c r="H5" s="27" t="inlineStr">
        <is>
          <t>07</t>
        </is>
      </c>
      <c r="I5" s="27" t="n">
        <v>2023</v>
      </c>
    </row>
    <row r="6" ht="15" customHeight="1" s="24">
      <c r="A6" s="27" t="n">
        <v>676</v>
      </c>
      <c r="B6" s="27" t="n">
        <v>9099</v>
      </c>
      <c r="C6" s="27" t="n">
        <v>3</v>
      </c>
      <c r="D6" s="41" t="n">
        <v>45137.96638928241</v>
      </c>
      <c r="E6" s="27" t="inlineStr">
        <is>
          <t>Wrong size</t>
        </is>
      </c>
      <c r="F6" s="27" t="n">
        <v>246.79</v>
      </c>
      <c r="G6" s="27" t="n">
        <v>579</v>
      </c>
      <c r="H6" s="27" t="inlineStr">
        <is>
          <t>07</t>
        </is>
      </c>
      <c r="I6" s="27" t="n">
        <v>2023</v>
      </c>
    </row>
    <row r="7" ht="15" customHeight="1" s="24">
      <c r="A7" s="27" t="n">
        <v>1557</v>
      </c>
      <c r="B7" s="27" t="n">
        <v>21459</v>
      </c>
      <c r="C7" s="27" t="n">
        <v>65</v>
      </c>
      <c r="D7" s="41" t="n">
        <v>45138.01764331019</v>
      </c>
      <c r="E7" s="27" t="inlineStr">
        <is>
          <t>Changed mind</t>
        </is>
      </c>
      <c r="F7" s="27" t="n">
        <v>22.21</v>
      </c>
      <c r="G7" s="27" t="n">
        <v>3554</v>
      </c>
      <c r="H7" s="27" t="inlineStr">
        <is>
          <t>07</t>
        </is>
      </c>
      <c r="I7" s="27" t="n">
        <v>2023</v>
      </c>
    </row>
    <row r="8" ht="15" customHeight="1" s="24">
      <c r="A8" s="27" t="n">
        <v>462</v>
      </c>
      <c r="B8" s="27" t="n">
        <v>6101</v>
      </c>
      <c r="C8" s="27" t="n">
        <v>7</v>
      </c>
      <c r="D8" s="41" t="n">
        <v>45139.48854475695</v>
      </c>
      <c r="E8" s="27" t="inlineStr">
        <is>
          <t>Changed mind</t>
        </is>
      </c>
      <c r="F8" s="27" t="n">
        <v>292.11</v>
      </c>
      <c r="G8" s="27" t="n">
        <v>1828</v>
      </c>
      <c r="H8" s="27" t="inlineStr">
        <is>
          <t>07</t>
        </is>
      </c>
      <c r="I8" s="27" t="n">
        <v>2023</v>
      </c>
    </row>
    <row r="9" ht="15" customHeight="1" s="24">
      <c r="A9" s="27" t="n">
        <v>1206</v>
      </c>
      <c r="B9" s="27" t="n">
        <v>16892</v>
      </c>
      <c r="C9" s="27" t="n">
        <v>4</v>
      </c>
      <c r="D9" s="41" t="n">
        <v>45143.4602446412</v>
      </c>
      <c r="E9" s="27" t="inlineStr">
        <is>
          <t>Wrong size</t>
        </is>
      </c>
      <c r="F9" s="27" t="n">
        <v>69.70999999999999</v>
      </c>
      <c r="G9" s="27" t="n">
        <v>2969</v>
      </c>
      <c r="H9" s="27" t="inlineStr">
        <is>
          <t>07</t>
        </is>
      </c>
      <c r="I9" s="27" t="n">
        <v>2023</v>
      </c>
    </row>
    <row r="10" ht="15" customHeight="1" s="24">
      <c r="A10" s="27" t="n">
        <v>672</v>
      </c>
      <c r="B10" s="27" t="n">
        <v>9069</v>
      </c>
      <c r="C10" s="27" t="n">
        <v>29</v>
      </c>
      <c r="D10" s="41" t="n">
        <v>45144.00587916667</v>
      </c>
      <c r="E10" s="27" t="inlineStr">
        <is>
          <t>Wrong size</t>
        </is>
      </c>
      <c r="F10" s="27" t="n">
        <v>79.36</v>
      </c>
      <c r="G10" s="27" t="n">
        <v>3585</v>
      </c>
      <c r="H10" s="27" t="inlineStr">
        <is>
          <t>07</t>
        </is>
      </c>
      <c r="I10" s="27" t="n">
        <v>2023</v>
      </c>
    </row>
    <row r="11" ht="15" customHeight="1" s="24">
      <c r="A11" s="27" t="n">
        <v>2571</v>
      </c>
      <c r="B11" s="27" t="n">
        <v>35912</v>
      </c>
      <c r="C11" s="27" t="n">
        <v>1</v>
      </c>
      <c r="D11" s="41" t="n">
        <v>45154.00282943287</v>
      </c>
      <c r="E11" s="27" t="inlineStr">
        <is>
          <t>Changed mind</t>
        </is>
      </c>
      <c r="F11" s="27" t="n">
        <v>1859.6</v>
      </c>
      <c r="G11" s="27" t="n">
        <v>778</v>
      </c>
      <c r="H11" s="27" t="inlineStr">
        <is>
          <t>08</t>
        </is>
      </c>
      <c r="I11" s="27" t="n">
        <v>2023</v>
      </c>
    </row>
    <row r="12" ht="15" customHeight="1" s="24">
      <c r="A12" s="27" t="n">
        <v>2426</v>
      </c>
      <c r="B12" s="27" t="n">
        <v>34003</v>
      </c>
      <c r="C12" s="27" t="n">
        <v>7</v>
      </c>
      <c r="D12" s="41" t="n">
        <v>45157.93637545139</v>
      </c>
      <c r="E12" s="27" t="inlineStr">
        <is>
          <t>Wrong size</t>
        </is>
      </c>
      <c r="F12" s="27" t="n">
        <v>422.41</v>
      </c>
      <c r="G12" s="27" t="n">
        <v>2146</v>
      </c>
      <c r="H12" s="27" t="inlineStr">
        <is>
          <t>08</t>
        </is>
      </c>
      <c r="I12" s="27" t="n">
        <v>2023</v>
      </c>
    </row>
    <row r="13" ht="15" customHeight="1" s="24">
      <c r="A13" s="27" t="n">
        <v>2469</v>
      </c>
      <c r="B13" s="27" t="n">
        <v>34599</v>
      </c>
      <c r="C13" s="27" t="n">
        <v>5</v>
      </c>
      <c r="D13" s="41" t="n">
        <v>45158.08943391204</v>
      </c>
      <c r="E13" s="27" t="inlineStr">
        <is>
          <t>Item damaged</t>
        </is>
      </c>
      <c r="F13" s="27" t="n">
        <v>548.11</v>
      </c>
      <c r="G13" s="27" t="n">
        <v>2064</v>
      </c>
      <c r="H13" s="27" t="inlineStr">
        <is>
          <t>08</t>
        </is>
      </c>
      <c r="I13" s="27" t="n">
        <v>2023</v>
      </c>
    </row>
    <row r="14" ht="15" customHeight="1" s="24">
      <c r="A14" s="27" t="n">
        <v>1950</v>
      </c>
      <c r="B14" s="27" t="n">
        <v>26983</v>
      </c>
      <c r="C14" s="27" t="n">
        <v>1</v>
      </c>
      <c r="D14" s="41" t="n">
        <v>45160.8498159838</v>
      </c>
      <c r="E14" s="27" t="inlineStr">
        <is>
          <t>Not as described</t>
        </is>
      </c>
      <c r="F14" s="27" t="n">
        <v>183.16</v>
      </c>
      <c r="G14" s="27" t="n">
        <v>3958</v>
      </c>
      <c r="H14" s="27" t="inlineStr">
        <is>
          <t>08</t>
        </is>
      </c>
      <c r="I14" s="27" t="n">
        <v>2023</v>
      </c>
    </row>
    <row r="15" ht="15" customHeight="1" s="24">
      <c r="A15" s="27" t="n">
        <v>2095</v>
      </c>
      <c r="B15" s="27" t="n">
        <v>29132</v>
      </c>
      <c r="C15" s="27" t="n">
        <v>3</v>
      </c>
      <c r="D15" s="41" t="n">
        <v>45162.35898489584</v>
      </c>
      <c r="E15" s="27" t="inlineStr">
        <is>
          <t>Not as described</t>
        </is>
      </c>
      <c r="F15" s="27" t="n">
        <v>145.82</v>
      </c>
      <c r="G15" s="27" t="n">
        <v>3580</v>
      </c>
      <c r="H15" s="27" t="inlineStr">
        <is>
          <t>08</t>
        </is>
      </c>
      <c r="I15" s="27" t="n">
        <v>2023</v>
      </c>
    </row>
    <row r="16" ht="15" customHeight="1" s="24">
      <c r="A16" s="27" t="n">
        <v>3019</v>
      </c>
      <c r="B16" s="27" t="n">
        <v>41860</v>
      </c>
      <c r="C16" s="27" t="n">
        <v>1</v>
      </c>
      <c r="D16" s="41" t="n">
        <v>45162.76138708333</v>
      </c>
      <c r="E16" s="27" t="inlineStr">
        <is>
          <t>Defective product</t>
        </is>
      </c>
      <c r="F16" s="27" t="n">
        <v>79.02</v>
      </c>
      <c r="G16" s="27" t="n">
        <v>1642</v>
      </c>
      <c r="H16" s="27" t="inlineStr">
        <is>
          <t>08</t>
        </is>
      </c>
      <c r="I16" s="27" t="n">
        <v>2023</v>
      </c>
    </row>
    <row r="17" ht="15" customHeight="1" s="24">
      <c r="A17" s="27" t="n">
        <v>1845</v>
      </c>
      <c r="B17" s="27" t="n">
        <v>25496</v>
      </c>
      <c r="C17" s="27" t="n">
        <v>1</v>
      </c>
      <c r="D17" s="41" t="n">
        <v>45169.15054092593</v>
      </c>
      <c r="E17" s="27" t="inlineStr">
        <is>
          <t>Defective product</t>
        </is>
      </c>
      <c r="F17" s="27" t="n">
        <v>234.24</v>
      </c>
      <c r="G17" s="27" t="n">
        <v>3815</v>
      </c>
      <c r="H17" s="27" t="inlineStr">
        <is>
          <t>08</t>
        </is>
      </c>
      <c r="I17" s="27" t="n">
        <v>2023</v>
      </c>
    </row>
    <row r="18" ht="15" customHeight="1" s="24">
      <c r="A18" s="27" t="n">
        <v>1682</v>
      </c>
      <c r="B18" s="27" t="n">
        <v>23234</v>
      </c>
      <c r="C18" s="27" t="n">
        <v>1</v>
      </c>
      <c r="D18" s="41" t="n">
        <v>45173.37626314815</v>
      </c>
      <c r="E18" s="27" t="inlineStr">
        <is>
          <t>Not as described</t>
        </is>
      </c>
      <c r="F18" s="27" t="n">
        <v>1880.43</v>
      </c>
      <c r="G18" s="27" t="n">
        <v>3266</v>
      </c>
      <c r="H18" s="27" t="inlineStr">
        <is>
          <t>08</t>
        </is>
      </c>
      <c r="I18" s="27" t="n">
        <v>2023</v>
      </c>
    </row>
    <row r="19" ht="15" customHeight="1" s="24">
      <c r="A19" s="27" t="n">
        <v>2016</v>
      </c>
      <c r="B19" s="27" t="n">
        <v>28006</v>
      </c>
      <c r="C19" s="27" t="n">
        <v>8</v>
      </c>
      <c r="D19" s="41" t="n">
        <v>45175.59713743056</v>
      </c>
      <c r="E19" s="27" t="inlineStr">
        <is>
          <t>Item damaged</t>
        </is>
      </c>
      <c r="F19" s="27" t="n">
        <v>1648.51</v>
      </c>
      <c r="G19" s="27" t="n">
        <v>689</v>
      </c>
      <c r="H19" s="27" t="inlineStr">
        <is>
          <t>08</t>
        </is>
      </c>
      <c r="I19" s="27" t="n">
        <v>2023</v>
      </c>
    </row>
    <row r="20" ht="15" customHeight="1" s="24">
      <c r="A20" s="27" t="n">
        <v>2922</v>
      </c>
      <c r="B20" s="27" t="n">
        <v>40372</v>
      </c>
      <c r="C20" s="27" t="n">
        <v>139</v>
      </c>
      <c r="D20" s="41" t="n">
        <v>45175.90734614583</v>
      </c>
      <c r="E20" s="27" t="inlineStr">
        <is>
          <t>Better price elsewhere</t>
        </is>
      </c>
      <c r="F20" s="27" t="n">
        <v>111.14</v>
      </c>
      <c r="G20" s="27" t="n">
        <v>454</v>
      </c>
      <c r="H20" s="27" t="inlineStr">
        <is>
          <t>08</t>
        </is>
      </c>
      <c r="I20" s="27" t="n">
        <v>2023</v>
      </c>
    </row>
    <row r="21" ht="15" customHeight="1" s="24">
      <c r="A21" s="27" t="n">
        <v>1914</v>
      </c>
      <c r="B21" s="27" t="n">
        <v>26518</v>
      </c>
      <c r="C21" s="27" t="n">
        <v>1</v>
      </c>
      <c r="D21" s="41" t="n">
        <v>45176.86524052083</v>
      </c>
      <c r="E21" s="27" t="inlineStr">
        <is>
          <t>Wrong size</t>
        </is>
      </c>
      <c r="F21" s="27" t="n">
        <v>64.45</v>
      </c>
      <c r="G21" s="27" t="n">
        <v>2325</v>
      </c>
      <c r="H21" s="27" t="inlineStr">
        <is>
          <t>08</t>
        </is>
      </c>
      <c r="I21" s="27" t="n">
        <v>2023</v>
      </c>
    </row>
    <row r="22" ht="15" customHeight="1" s="24">
      <c r="A22" s="27" t="n">
        <v>3135</v>
      </c>
      <c r="B22" s="27" t="n">
        <v>43457</v>
      </c>
      <c r="C22" s="27" t="n">
        <v>63</v>
      </c>
      <c r="D22" s="41" t="n">
        <v>45176.94085520833</v>
      </c>
      <c r="E22" s="27" t="inlineStr">
        <is>
          <t>Defective product</t>
        </is>
      </c>
      <c r="F22" s="27" t="n">
        <v>75.14</v>
      </c>
      <c r="G22" s="27" t="n">
        <v>3713</v>
      </c>
      <c r="H22" s="27" t="inlineStr">
        <is>
          <t>08</t>
        </is>
      </c>
      <c r="I22" s="27" t="n">
        <v>2023</v>
      </c>
    </row>
    <row r="23" ht="15" customHeight="1" s="24">
      <c r="A23" s="27" t="n">
        <v>2972</v>
      </c>
      <c r="B23" s="27" t="n">
        <v>41182</v>
      </c>
      <c r="C23" s="27" t="n">
        <v>1</v>
      </c>
      <c r="D23" s="41" t="n">
        <v>45182.43844207176</v>
      </c>
      <c r="E23" s="27" t="inlineStr">
        <is>
          <t>Not as described</t>
        </is>
      </c>
      <c r="F23" s="27" t="n">
        <v>131.92</v>
      </c>
      <c r="G23" s="27" t="n">
        <v>1357</v>
      </c>
      <c r="H23" s="27" t="inlineStr">
        <is>
          <t>08</t>
        </is>
      </c>
      <c r="I23" s="27" t="n">
        <v>2023</v>
      </c>
    </row>
    <row r="24" ht="15" customHeight="1" s="24">
      <c r="A24" s="27" t="n">
        <v>4549</v>
      </c>
      <c r="B24" s="27" t="n">
        <v>63390</v>
      </c>
      <c r="C24" s="27" t="n">
        <v>1</v>
      </c>
      <c r="D24" s="41" t="n">
        <v>45189.52237831018</v>
      </c>
      <c r="E24" s="27" t="inlineStr">
        <is>
          <t>Not as described</t>
        </is>
      </c>
      <c r="F24" s="27" t="n">
        <v>165.26</v>
      </c>
      <c r="G24" s="27" t="n">
        <v>601</v>
      </c>
      <c r="H24" s="27" t="inlineStr">
        <is>
          <t>09</t>
        </is>
      </c>
      <c r="I24" s="27" t="n">
        <v>2023</v>
      </c>
    </row>
    <row r="25" ht="15" customHeight="1" s="24">
      <c r="A25" s="27" t="n">
        <v>4378</v>
      </c>
      <c r="B25" s="27" t="n">
        <v>60974</v>
      </c>
      <c r="C25" s="27" t="n">
        <v>1</v>
      </c>
      <c r="D25" s="41" t="n">
        <v>45190.42414976852</v>
      </c>
      <c r="E25" s="27" t="inlineStr">
        <is>
          <t>Better price elsewhere</t>
        </is>
      </c>
      <c r="F25" s="27" t="n">
        <v>1005.96</v>
      </c>
      <c r="G25" s="27" t="n">
        <v>2394</v>
      </c>
      <c r="H25" s="27" t="inlineStr">
        <is>
          <t>09</t>
        </is>
      </c>
      <c r="I25" s="27" t="n">
        <v>2023</v>
      </c>
    </row>
    <row r="26" ht="15" customHeight="1" s="24">
      <c r="A26" s="27" t="n">
        <v>4715</v>
      </c>
      <c r="B26" s="27" t="n">
        <v>65965</v>
      </c>
      <c r="C26" s="27" t="n">
        <v>43</v>
      </c>
      <c r="D26" s="41" t="n">
        <v>45193.96236979167</v>
      </c>
      <c r="E26" s="27" t="inlineStr">
        <is>
          <t>Defective product</t>
        </is>
      </c>
      <c r="F26" s="27" t="n">
        <v>102.31</v>
      </c>
      <c r="G26" s="27" t="n">
        <v>3446</v>
      </c>
      <c r="H26" s="27" t="inlineStr">
        <is>
          <t>09</t>
        </is>
      </c>
      <c r="I26" s="27" t="n">
        <v>2023</v>
      </c>
    </row>
    <row r="27" ht="15" customHeight="1" s="24">
      <c r="A27" s="27" t="n">
        <v>4555</v>
      </c>
      <c r="B27" s="27" t="n">
        <v>63486</v>
      </c>
      <c r="C27" s="27" t="n">
        <v>140</v>
      </c>
      <c r="D27" s="41" t="n">
        <v>45194.35475712963</v>
      </c>
      <c r="E27" s="27" t="inlineStr">
        <is>
          <t>Item damaged</t>
        </is>
      </c>
      <c r="F27" s="27" t="n">
        <v>216.71</v>
      </c>
      <c r="G27" s="27" t="n">
        <v>2230</v>
      </c>
      <c r="H27" s="27" t="inlineStr">
        <is>
          <t>09</t>
        </is>
      </c>
      <c r="I27" s="27" t="n">
        <v>2023</v>
      </c>
    </row>
    <row r="28" ht="15" customHeight="1" s="24">
      <c r="A28" s="27" t="n">
        <v>3900</v>
      </c>
      <c r="B28" s="27" t="n">
        <v>54213</v>
      </c>
      <c r="C28" s="27" t="n">
        <v>27</v>
      </c>
      <c r="D28" s="41" t="n">
        <v>45195.90532922454</v>
      </c>
      <c r="E28" s="27" t="inlineStr">
        <is>
          <t>Arrived too late</t>
        </is>
      </c>
      <c r="F28" s="27" t="n">
        <v>108.06</v>
      </c>
      <c r="G28" s="27" t="n">
        <v>3858</v>
      </c>
      <c r="H28" s="27" t="inlineStr">
        <is>
          <t>09</t>
        </is>
      </c>
      <c r="I28" s="27" t="n">
        <v>2023</v>
      </c>
    </row>
    <row r="29" ht="15" customHeight="1" s="24">
      <c r="A29" s="27" t="n">
        <v>4577</v>
      </c>
      <c r="B29" s="27" t="n">
        <v>63900</v>
      </c>
      <c r="C29" s="27" t="n">
        <v>5</v>
      </c>
      <c r="D29" s="41" t="n">
        <v>45196.44064109954</v>
      </c>
      <c r="E29" s="27" t="inlineStr">
        <is>
          <t>Changed mind</t>
        </is>
      </c>
      <c r="F29" s="27" t="n">
        <v>215.48</v>
      </c>
      <c r="G29" s="27" t="n">
        <v>2170</v>
      </c>
      <c r="H29" s="27" t="inlineStr">
        <is>
          <t>09</t>
        </is>
      </c>
      <c r="I29" s="27" t="n">
        <v>2023</v>
      </c>
    </row>
    <row r="30" ht="15" customHeight="1" s="24">
      <c r="A30" s="27" t="n">
        <v>4176</v>
      </c>
      <c r="B30" s="27" t="n">
        <v>57925</v>
      </c>
      <c r="C30" s="27" t="n">
        <v>8</v>
      </c>
      <c r="D30" s="41" t="n">
        <v>45200.27725586806</v>
      </c>
      <c r="E30" s="27" t="inlineStr">
        <is>
          <t>Wrong size</t>
        </is>
      </c>
      <c r="F30" s="27" t="n">
        <v>209.58</v>
      </c>
      <c r="G30" s="27" t="n">
        <v>3654</v>
      </c>
      <c r="H30" s="27" t="inlineStr">
        <is>
          <t>09</t>
        </is>
      </c>
      <c r="I30" s="27" t="n">
        <v>2023</v>
      </c>
    </row>
    <row r="31" ht="15" customHeight="1" s="24">
      <c r="A31" s="27" t="n">
        <v>3861</v>
      </c>
      <c r="B31" s="27" t="n">
        <v>53585</v>
      </c>
      <c r="C31" s="27" t="n">
        <v>2</v>
      </c>
      <c r="D31" s="41" t="n">
        <v>45202.14394069444</v>
      </c>
      <c r="E31" s="27" t="inlineStr">
        <is>
          <t>Wrong size</t>
        </is>
      </c>
      <c r="F31" s="27" t="n">
        <v>25.4</v>
      </c>
      <c r="G31" s="27" t="n">
        <v>1292</v>
      </c>
      <c r="H31" s="27" t="inlineStr">
        <is>
          <t>09</t>
        </is>
      </c>
      <c r="I31" s="27" t="n">
        <v>2023</v>
      </c>
    </row>
    <row r="32" ht="15" customHeight="1" s="24">
      <c r="A32" s="27" t="n">
        <v>4249</v>
      </c>
      <c r="B32" s="27" t="n">
        <v>58950</v>
      </c>
      <c r="C32" s="27" t="n">
        <v>129</v>
      </c>
      <c r="D32" s="41" t="n">
        <v>45205.79167121528</v>
      </c>
      <c r="E32" s="27" t="inlineStr">
        <is>
          <t>Arrived too late</t>
        </is>
      </c>
      <c r="F32" s="27" t="n">
        <v>313.43</v>
      </c>
      <c r="G32" s="27" t="n">
        <v>785</v>
      </c>
      <c r="H32" s="27" t="inlineStr">
        <is>
          <t>09</t>
        </is>
      </c>
      <c r="I32" s="27" t="n">
        <v>2023</v>
      </c>
    </row>
    <row r="33" ht="15" customHeight="1" s="24">
      <c r="A33" s="27" t="n">
        <v>3332</v>
      </c>
      <c r="B33" s="27" t="n">
        <v>46065</v>
      </c>
      <c r="C33" s="27" t="n">
        <v>2</v>
      </c>
      <c r="D33" s="41" t="n">
        <v>45207.36228833333</v>
      </c>
      <c r="E33" s="27" t="inlineStr">
        <is>
          <t>Arrived too late</t>
        </is>
      </c>
      <c r="F33" s="27" t="n">
        <v>716.64</v>
      </c>
      <c r="G33" s="27" t="n">
        <v>938</v>
      </c>
      <c r="H33" s="27" t="inlineStr">
        <is>
          <t>09</t>
        </is>
      </c>
      <c r="I33" s="27" t="n">
        <v>2023</v>
      </c>
    </row>
    <row r="34" ht="15" customHeight="1" s="24">
      <c r="A34" s="27" t="n">
        <v>5049</v>
      </c>
      <c r="B34" s="27" t="n">
        <v>71146</v>
      </c>
      <c r="C34" s="27" t="n">
        <v>80</v>
      </c>
      <c r="D34" s="41" t="n">
        <v>45208.06980412037</v>
      </c>
      <c r="E34" s="27" t="inlineStr">
        <is>
          <t>Item damaged</t>
        </is>
      </c>
      <c r="F34" s="27" t="n">
        <v>267.99</v>
      </c>
      <c r="G34" s="27" t="n">
        <v>2997</v>
      </c>
      <c r="H34" s="27" t="inlineStr">
        <is>
          <t>10</t>
        </is>
      </c>
      <c r="I34" s="27" t="n">
        <v>2023</v>
      </c>
    </row>
    <row r="35" ht="15" customHeight="1" s="24">
      <c r="A35" s="27" t="n">
        <v>6189</v>
      </c>
      <c r="B35" s="27" t="n">
        <v>86623</v>
      </c>
      <c r="C35" s="27" t="n">
        <v>136</v>
      </c>
      <c r="D35" s="41" t="n">
        <v>45211.03353412037</v>
      </c>
      <c r="E35" s="27" t="inlineStr">
        <is>
          <t>Wrong size</t>
        </is>
      </c>
      <c r="F35" s="27" t="n">
        <v>200.05</v>
      </c>
      <c r="G35" s="27" t="n">
        <v>993</v>
      </c>
      <c r="H35" s="27" t="inlineStr">
        <is>
          <t>10</t>
        </is>
      </c>
      <c r="I35" s="27" t="n">
        <v>2023</v>
      </c>
    </row>
    <row r="36" ht="15" customHeight="1" s="24">
      <c r="A36" s="27" t="n">
        <v>3804</v>
      </c>
      <c r="B36" s="27" t="n">
        <v>52738</v>
      </c>
      <c r="C36" s="27" t="n">
        <v>6</v>
      </c>
      <c r="D36" s="41" t="n">
        <v>45212.12608996528</v>
      </c>
      <c r="E36" s="27" t="inlineStr">
        <is>
          <t>Wrong size</t>
        </is>
      </c>
      <c r="F36" s="27" t="n">
        <v>246.96</v>
      </c>
      <c r="G36" s="27" t="n">
        <v>55</v>
      </c>
      <c r="H36" s="27" t="inlineStr">
        <is>
          <t>09</t>
        </is>
      </c>
      <c r="I36" s="27" t="n">
        <v>2023</v>
      </c>
    </row>
    <row r="37" ht="15" customHeight="1" s="24">
      <c r="A37" s="27" t="n">
        <v>6047</v>
      </c>
      <c r="B37" s="27" t="n">
        <v>84771</v>
      </c>
      <c r="C37" s="27" t="n">
        <v>4</v>
      </c>
      <c r="D37" s="41" t="n">
        <v>45212.21506994213</v>
      </c>
      <c r="E37" s="27" t="inlineStr">
        <is>
          <t>Arrived too late</t>
        </is>
      </c>
      <c r="F37" s="27" t="n">
        <v>394.35</v>
      </c>
      <c r="G37" s="27" t="n">
        <v>161</v>
      </c>
      <c r="H37" s="27" t="inlineStr">
        <is>
          <t>10</t>
        </is>
      </c>
      <c r="I37" s="27" t="n">
        <v>2023</v>
      </c>
    </row>
    <row r="38" ht="15" customHeight="1" s="24">
      <c r="A38" s="27" t="n">
        <v>5440</v>
      </c>
      <c r="B38" s="27" t="n">
        <v>76538</v>
      </c>
      <c r="C38" s="27" t="n">
        <v>14</v>
      </c>
      <c r="D38" s="41" t="n">
        <v>45212.62719180556</v>
      </c>
      <c r="E38" s="27" t="inlineStr">
        <is>
          <t>Wrong size</t>
        </is>
      </c>
      <c r="F38" s="27" t="n">
        <v>251.72</v>
      </c>
      <c r="G38" s="27" t="n">
        <v>314</v>
      </c>
      <c r="H38" s="27" t="inlineStr">
        <is>
          <t>10</t>
        </is>
      </c>
      <c r="I38" s="27" t="n">
        <v>2023</v>
      </c>
    </row>
    <row r="39" ht="15" customHeight="1" s="24">
      <c r="A39" s="27" t="n">
        <v>6088</v>
      </c>
      <c r="B39" s="27" t="n">
        <v>85315</v>
      </c>
      <c r="C39" s="27" t="n">
        <v>4</v>
      </c>
      <c r="D39" s="41" t="n">
        <v>45217.40369925926</v>
      </c>
      <c r="E39" s="27" t="inlineStr">
        <is>
          <t>Wrong size</t>
        </is>
      </c>
      <c r="F39" s="27" t="n">
        <v>154.31</v>
      </c>
      <c r="G39" s="27" t="n">
        <v>3092</v>
      </c>
      <c r="H39" s="27" t="inlineStr">
        <is>
          <t>10</t>
        </is>
      </c>
      <c r="I39" s="27" t="n">
        <v>2023</v>
      </c>
    </row>
    <row r="40" ht="15" customHeight="1" s="24">
      <c r="A40" s="27" t="n">
        <v>5098</v>
      </c>
      <c r="B40" s="27" t="n">
        <v>71719</v>
      </c>
      <c r="C40" s="27" t="n">
        <v>11</v>
      </c>
      <c r="D40" s="41" t="n">
        <v>45226.9100274537</v>
      </c>
      <c r="E40" s="27" t="inlineStr">
        <is>
          <t>Wrong size</t>
        </is>
      </c>
      <c r="F40" s="27" t="n">
        <v>438.38</v>
      </c>
      <c r="G40" s="27" t="n">
        <v>1848</v>
      </c>
      <c r="H40" s="27" t="inlineStr">
        <is>
          <t>10</t>
        </is>
      </c>
      <c r="I40" s="27" t="n">
        <v>2023</v>
      </c>
    </row>
    <row r="41" ht="15" customHeight="1" s="24">
      <c r="A41" s="27" t="n">
        <v>6321</v>
      </c>
      <c r="B41" s="27" t="n">
        <v>88590</v>
      </c>
      <c r="C41" s="27" t="n">
        <v>5</v>
      </c>
      <c r="D41" s="41" t="n">
        <v>45230.96142385417</v>
      </c>
      <c r="E41" s="27" t="inlineStr">
        <is>
          <t>Wrong size</t>
        </is>
      </c>
      <c r="F41" s="27" t="n">
        <v>356.1</v>
      </c>
      <c r="G41" s="27" t="n">
        <v>2989</v>
      </c>
      <c r="H41" s="27" t="inlineStr">
        <is>
          <t>10</t>
        </is>
      </c>
      <c r="I41" s="27" t="n">
        <v>2023</v>
      </c>
    </row>
    <row r="42" ht="15" customHeight="1" s="24">
      <c r="A42" s="27" t="n">
        <v>5805</v>
      </c>
      <c r="B42" s="27" t="n">
        <v>81259</v>
      </c>
      <c r="C42" s="27" t="n">
        <v>103</v>
      </c>
      <c r="D42" s="41" t="n">
        <v>45231.27268646991</v>
      </c>
      <c r="E42" s="27" t="inlineStr">
        <is>
          <t>Defective product</t>
        </is>
      </c>
      <c r="F42" s="27" t="n">
        <v>116.66</v>
      </c>
      <c r="G42" s="27" t="n">
        <v>1261</v>
      </c>
      <c r="H42" s="27" t="inlineStr">
        <is>
          <t>10</t>
        </is>
      </c>
      <c r="I42" s="27" t="n">
        <v>2023</v>
      </c>
    </row>
    <row r="43" ht="15" customHeight="1" s="24">
      <c r="A43" s="27" t="n">
        <v>6316</v>
      </c>
      <c r="B43" s="27" t="n">
        <v>88555</v>
      </c>
      <c r="C43" s="27" t="n">
        <v>2</v>
      </c>
      <c r="D43" s="41" t="n">
        <v>45231.79427690972</v>
      </c>
      <c r="E43" s="27" t="inlineStr">
        <is>
          <t>Wrong item shipped</t>
        </is>
      </c>
      <c r="F43" s="27" t="n">
        <v>95.34</v>
      </c>
      <c r="G43" s="27" t="n">
        <v>3901</v>
      </c>
      <c r="H43" s="27" t="inlineStr">
        <is>
          <t>10</t>
        </is>
      </c>
      <c r="I43" s="27" t="n">
        <v>2023</v>
      </c>
    </row>
    <row r="44" ht="15" customHeight="1" s="24">
      <c r="A44" s="27" t="n">
        <v>5972</v>
      </c>
      <c r="B44" s="27" t="n">
        <v>83571</v>
      </c>
      <c r="C44" s="27" t="n">
        <v>7</v>
      </c>
      <c r="D44" s="41" t="n">
        <v>45233.61825503472</v>
      </c>
      <c r="E44" s="27" t="inlineStr">
        <is>
          <t>Wrong size</t>
        </is>
      </c>
      <c r="F44" s="27" t="n">
        <v>400.33</v>
      </c>
      <c r="G44" s="27" t="n">
        <v>3319</v>
      </c>
      <c r="H44" s="27" t="inlineStr">
        <is>
          <t>10</t>
        </is>
      </c>
      <c r="I44" s="27" t="n">
        <v>2023</v>
      </c>
    </row>
    <row r="45" ht="15" customHeight="1" s="24">
      <c r="A45" s="27" t="n">
        <v>4887</v>
      </c>
      <c r="B45" s="27" t="n">
        <v>68790</v>
      </c>
      <c r="C45" s="27" t="n">
        <v>1</v>
      </c>
      <c r="D45" s="41" t="n">
        <v>45234.7393330324</v>
      </c>
      <c r="E45" s="27" t="inlineStr">
        <is>
          <t>Item damaged</t>
        </is>
      </c>
      <c r="F45" s="27" t="n">
        <v>467.14</v>
      </c>
      <c r="G45" s="27" t="n">
        <v>3609</v>
      </c>
      <c r="H45" s="27" t="inlineStr">
        <is>
          <t>10</t>
        </is>
      </c>
      <c r="I45" s="27" t="n">
        <v>2023</v>
      </c>
    </row>
    <row r="46" ht="15" customHeight="1" s="24">
      <c r="A46" s="27" t="n">
        <v>5937</v>
      </c>
      <c r="B46" s="27" t="n">
        <v>83046</v>
      </c>
      <c r="C46" s="27" t="n">
        <v>1</v>
      </c>
      <c r="D46" s="41" t="n">
        <v>45235.2347871875</v>
      </c>
      <c r="E46" s="27" t="inlineStr">
        <is>
          <t>Item damaged</t>
        </is>
      </c>
      <c r="F46" s="27" t="n">
        <v>626.01</v>
      </c>
      <c r="G46" s="27" t="n">
        <v>1671</v>
      </c>
      <c r="H46" s="27" t="inlineStr">
        <is>
          <t>10</t>
        </is>
      </c>
      <c r="I46" s="27" t="n">
        <v>2023</v>
      </c>
    </row>
    <row r="47" ht="15" customHeight="1" s="24">
      <c r="A47" s="27" t="n">
        <v>7759</v>
      </c>
      <c r="B47" s="27" t="n">
        <v>108010</v>
      </c>
      <c r="C47" s="27" t="n">
        <v>4</v>
      </c>
      <c r="D47" s="41" t="n">
        <v>45238.5671512037</v>
      </c>
      <c r="E47" s="27" t="inlineStr">
        <is>
          <t>Changed mind</t>
        </is>
      </c>
      <c r="F47" s="27" t="n">
        <v>100.69</v>
      </c>
      <c r="G47" s="27" t="n">
        <v>3787</v>
      </c>
      <c r="H47" s="27" t="inlineStr">
        <is>
          <t>11</t>
        </is>
      </c>
      <c r="I47" s="27" t="n">
        <v>2023</v>
      </c>
    </row>
    <row r="48" ht="15" customHeight="1" s="24">
      <c r="A48" s="27" t="n">
        <v>7865</v>
      </c>
      <c r="B48" s="27" t="n">
        <v>109424</v>
      </c>
      <c r="C48" s="27" t="n">
        <v>4</v>
      </c>
      <c r="D48" s="41" t="n">
        <v>45240.09040244213</v>
      </c>
      <c r="E48" s="27" t="inlineStr">
        <is>
          <t>Wrong size</t>
        </is>
      </c>
      <c r="F48" s="27" t="n">
        <v>417.53</v>
      </c>
      <c r="G48" s="27" t="n">
        <v>3215</v>
      </c>
      <c r="H48" s="27" t="inlineStr">
        <is>
          <t>11</t>
        </is>
      </c>
      <c r="I48" s="27" t="n">
        <v>2023</v>
      </c>
    </row>
    <row r="49" ht="15" customHeight="1" s="24">
      <c r="A49" s="27" t="n">
        <v>8468</v>
      </c>
      <c r="B49" s="27" t="n">
        <v>118077</v>
      </c>
      <c r="C49" s="27" t="n">
        <v>1</v>
      </c>
      <c r="D49" s="41" t="n">
        <v>45246.68693497685</v>
      </c>
      <c r="E49" s="27" t="inlineStr">
        <is>
          <t>Item damaged</t>
        </is>
      </c>
      <c r="F49" s="27" t="n">
        <v>36.94</v>
      </c>
      <c r="G49" s="27" t="n">
        <v>2302</v>
      </c>
      <c r="H49" s="27" t="inlineStr">
        <is>
          <t>11</t>
        </is>
      </c>
      <c r="I49" s="27" t="n">
        <v>2023</v>
      </c>
    </row>
    <row r="50" ht="15" customHeight="1" s="24">
      <c r="A50" s="27" t="n">
        <v>7022</v>
      </c>
      <c r="B50" s="27" t="n">
        <v>98510</v>
      </c>
      <c r="C50" s="27" t="n">
        <v>6</v>
      </c>
      <c r="D50" s="41" t="n">
        <v>45247.15394527778</v>
      </c>
      <c r="E50" s="27" t="inlineStr">
        <is>
          <t>Wrong size</t>
        </is>
      </c>
      <c r="F50" s="27" t="n">
        <v>391.81</v>
      </c>
      <c r="G50" s="27" t="n">
        <v>3438</v>
      </c>
      <c r="H50" s="27" t="inlineStr">
        <is>
          <t>11</t>
        </is>
      </c>
      <c r="I50" s="27" t="n">
        <v>2023</v>
      </c>
    </row>
    <row r="51" ht="15" customHeight="1" s="24">
      <c r="A51" s="27" t="n">
        <v>9600</v>
      </c>
      <c r="B51" s="27" t="n">
        <v>133407</v>
      </c>
      <c r="C51" s="27" t="n">
        <v>5</v>
      </c>
      <c r="D51" s="41" t="n">
        <v>45248.79353737269</v>
      </c>
      <c r="E51" s="27" t="inlineStr">
        <is>
          <t>Item damaged</t>
        </is>
      </c>
      <c r="F51" s="27" t="n">
        <v>688.03</v>
      </c>
      <c r="G51" s="27" t="n">
        <v>1548</v>
      </c>
      <c r="H51" s="27" t="inlineStr">
        <is>
          <t>11</t>
        </is>
      </c>
      <c r="I51" s="27" t="n">
        <v>2023</v>
      </c>
    </row>
    <row r="52" ht="15" customHeight="1" s="24">
      <c r="A52" s="27" t="n">
        <v>6672</v>
      </c>
      <c r="B52" s="27" t="n">
        <v>93880</v>
      </c>
      <c r="C52" s="27" t="n">
        <v>23</v>
      </c>
      <c r="D52" s="41" t="n">
        <v>45249.15028538195</v>
      </c>
      <c r="E52" s="27" t="inlineStr">
        <is>
          <t>Item damaged</t>
        </is>
      </c>
      <c r="F52" s="27" t="n">
        <v>287.91</v>
      </c>
      <c r="G52" s="27" t="n">
        <v>1949</v>
      </c>
      <c r="H52" s="27" t="inlineStr">
        <is>
          <t>11</t>
        </is>
      </c>
      <c r="I52" s="27" t="n">
        <v>2023</v>
      </c>
    </row>
    <row r="53" ht="15" customHeight="1" s="24">
      <c r="A53" s="27" t="n">
        <v>6530</v>
      </c>
      <c r="B53" s="27" t="n">
        <v>91701</v>
      </c>
      <c r="C53" s="27" t="n">
        <v>8</v>
      </c>
      <c r="D53" s="41" t="n">
        <v>45249.61639325231</v>
      </c>
      <c r="E53" s="27" t="inlineStr">
        <is>
          <t>Wrong size</t>
        </is>
      </c>
      <c r="F53" s="27" t="n">
        <v>67.98999999999999</v>
      </c>
      <c r="G53" s="27" t="n">
        <v>2012</v>
      </c>
      <c r="H53" s="27" t="inlineStr">
        <is>
          <t>11</t>
        </is>
      </c>
      <c r="I53" s="27" t="n">
        <v>2023</v>
      </c>
    </row>
    <row r="54" ht="15" customHeight="1" s="24">
      <c r="A54" s="27" t="n">
        <v>8257</v>
      </c>
      <c r="B54" s="27" t="n">
        <v>114878</v>
      </c>
      <c r="C54" s="27" t="n">
        <v>85</v>
      </c>
      <c r="D54" s="41" t="n">
        <v>45250.18974241898</v>
      </c>
      <c r="E54" s="27" t="inlineStr">
        <is>
          <t>Wrong size</t>
        </is>
      </c>
      <c r="F54" s="27" t="n">
        <v>916.96</v>
      </c>
      <c r="G54" s="27" t="n">
        <v>3278</v>
      </c>
      <c r="H54" s="27" t="inlineStr">
        <is>
          <t>11</t>
        </is>
      </c>
      <c r="I54" s="27" t="n">
        <v>2023</v>
      </c>
    </row>
    <row r="55" ht="15" customHeight="1" s="24">
      <c r="A55" s="27" t="n">
        <v>8331</v>
      </c>
      <c r="B55" s="27" t="n">
        <v>115883</v>
      </c>
      <c r="C55" s="27" t="n">
        <v>4</v>
      </c>
      <c r="D55" s="41" t="n">
        <v>45252.36354841435</v>
      </c>
      <c r="E55" s="27" t="inlineStr">
        <is>
          <t>Wrong size</t>
        </is>
      </c>
      <c r="F55" s="27" t="n">
        <v>166.15</v>
      </c>
      <c r="G55" s="27" t="n">
        <v>1311</v>
      </c>
      <c r="H55" s="27" t="inlineStr">
        <is>
          <t>11</t>
        </is>
      </c>
      <c r="I55" s="27" t="n">
        <v>2023</v>
      </c>
    </row>
    <row r="56" ht="15" customHeight="1" s="24">
      <c r="A56" s="27" t="n">
        <v>7811</v>
      </c>
      <c r="B56" s="27" t="n">
        <v>108672</v>
      </c>
      <c r="C56" s="27" t="n">
        <v>52</v>
      </c>
      <c r="D56" s="41" t="n">
        <v>45255.71777859954</v>
      </c>
      <c r="E56" s="27" t="inlineStr">
        <is>
          <t>Better price elsewhere</t>
        </is>
      </c>
      <c r="F56" s="27" t="n">
        <v>304.67</v>
      </c>
      <c r="G56" s="27" t="n">
        <v>3958</v>
      </c>
      <c r="H56" s="27" t="inlineStr">
        <is>
          <t>11</t>
        </is>
      </c>
      <c r="I56" s="27" t="n">
        <v>2023</v>
      </c>
    </row>
    <row r="57" ht="15" customHeight="1" s="24">
      <c r="A57" s="27" t="n">
        <v>7323</v>
      </c>
      <c r="B57" s="27" t="n">
        <v>102760</v>
      </c>
      <c r="C57" s="27" t="n">
        <v>1</v>
      </c>
      <c r="D57" s="41" t="n">
        <v>45255.7540868287</v>
      </c>
      <c r="E57" s="27" t="inlineStr">
        <is>
          <t>Not as described</t>
        </is>
      </c>
      <c r="F57" s="27" t="n">
        <v>89.28</v>
      </c>
      <c r="G57" s="27" t="n">
        <v>242</v>
      </c>
      <c r="H57" s="27" t="inlineStr">
        <is>
          <t>11</t>
        </is>
      </c>
      <c r="I57" s="27" t="n">
        <v>2023</v>
      </c>
    </row>
    <row r="58" ht="15" customHeight="1" s="24">
      <c r="A58" s="27" t="n">
        <v>9397</v>
      </c>
      <c r="B58" s="27" t="n">
        <v>130603</v>
      </c>
      <c r="C58" s="27" t="n">
        <v>4</v>
      </c>
      <c r="D58" s="41" t="n">
        <v>45256.03698760417</v>
      </c>
      <c r="E58" s="27" t="inlineStr">
        <is>
          <t>Item damaged</t>
        </is>
      </c>
      <c r="F58" s="27" t="n">
        <v>54.34</v>
      </c>
      <c r="G58" s="27" t="n">
        <v>3293</v>
      </c>
      <c r="H58" s="27" t="inlineStr">
        <is>
          <t>11</t>
        </is>
      </c>
      <c r="I58" s="27" t="n">
        <v>2023</v>
      </c>
    </row>
    <row r="59" ht="15" customHeight="1" s="24">
      <c r="A59" s="27" t="n">
        <v>8694</v>
      </c>
      <c r="B59" s="27" t="n">
        <v>121158</v>
      </c>
      <c r="C59" s="27" t="n">
        <v>14</v>
      </c>
      <c r="D59" s="41" t="n">
        <v>45257.33170021991</v>
      </c>
      <c r="E59" s="27" t="inlineStr">
        <is>
          <t>Better price elsewhere</t>
        </is>
      </c>
      <c r="F59" s="27" t="n">
        <v>21.51</v>
      </c>
      <c r="G59" s="27" t="n">
        <v>2510</v>
      </c>
      <c r="H59" s="27" t="inlineStr">
        <is>
          <t>11</t>
        </is>
      </c>
      <c r="I59" s="27" t="n">
        <v>2023</v>
      </c>
    </row>
    <row r="60" ht="15" customHeight="1" s="24">
      <c r="A60" s="27" t="n">
        <v>8750</v>
      </c>
      <c r="B60" s="27" t="n">
        <v>121859</v>
      </c>
      <c r="C60" s="27" t="n">
        <v>27</v>
      </c>
      <c r="D60" s="41" t="n">
        <v>45258.62357581018</v>
      </c>
      <c r="E60" s="27" t="inlineStr">
        <is>
          <t>Wrong size</t>
        </is>
      </c>
      <c r="F60" s="27" t="n">
        <v>35.48</v>
      </c>
      <c r="G60" s="27" t="n">
        <v>800</v>
      </c>
      <c r="H60" s="27" t="inlineStr">
        <is>
          <t>11</t>
        </is>
      </c>
      <c r="I60" s="27" t="n">
        <v>2023</v>
      </c>
    </row>
    <row r="61" ht="15" customHeight="1" s="24">
      <c r="A61" s="27" t="n">
        <v>7463</v>
      </c>
      <c r="B61" s="27" t="n">
        <v>104526</v>
      </c>
      <c r="C61" s="27" t="n">
        <v>79</v>
      </c>
      <c r="D61" s="41" t="n">
        <v>45259.1020446412</v>
      </c>
      <c r="E61" s="27" t="inlineStr">
        <is>
          <t>Wrong size</t>
        </is>
      </c>
      <c r="F61" s="27" t="n">
        <v>767.26</v>
      </c>
      <c r="G61" s="27" t="n">
        <v>276</v>
      </c>
      <c r="H61" s="27" t="inlineStr">
        <is>
          <t>11</t>
        </is>
      </c>
      <c r="I61" s="27" t="n">
        <v>2023</v>
      </c>
    </row>
    <row r="62" ht="15" customHeight="1" s="24">
      <c r="A62" s="27" t="n">
        <v>9703</v>
      </c>
      <c r="B62" s="27" t="n">
        <v>134645</v>
      </c>
      <c r="C62" s="27" t="n">
        <v>4</v>
      </c>
      <c r="D62" s="41" t="n">
        <v>45259.97013924769</v>
      </c>
      <c r="E62" s="27" t="inlineStr">
        <is>
          <t>Wrong size</t>
        </is>
      </c>
      <c r="F62" s="27" t="n">
        <v>80.94</v>
      </c>
      <c r="G62" s="27" t="n">
        <v>957</v>
      </c>
      <c r="H62" s="27" t="inlineStr">
        <is>
          <t>11</t>
        </is>
      </c>
      <c r="I62" s="27" t="n">
        <v>2023</v>
      </c>
    </row>
    <row r="63" ht="15" customHeight="1" s="24">
      <c r="A63" s="27" t="n">
        <v>9137</v>
      </c>
      <c r="B63" s="27" t="n">
        <v>126913</v>
      </c>
      <c r="C63" s="27" t="n">
        <v>1</v>
      </c>
      <c r="D63" s="41" t="n">
        <v>45260.74787591435</v>
      </c>
      <c r="E63" s="27" t="inlineStr">
        <is>
          <t>Changed mind</t>
        </is>
      </c>
      <c r="F63" s="27" t="n">
        <v>325.84</v>
      </c>
      <c r="G63" s="27" t="n">
        <v>205</v>
      </c>
      <c r="H63" s="27" t="inlineStr">
        <is>
          <t>11</t>
        </is>
      </c>
      <c r="I63" s="27" t="n">
        <v>2023</v>
      </c>
    </row>
    <row r="64" ht="15" customHeight="1" s="24">
      <c r="A64" s="27" t="n">
        <v>9581</v>
      </c>
      <c r="B64" s="27" t="n">
        <v>133155</v>
      </c>
      <c r="C64" s="27" t="n">
        <v>1</v>
      </c>
      <c r="D64" s="41" t="n">
        <v>45260.99138239583</v>
      </c>
      <c r="E64" s="27" t="inlineStr">
        <is>
          <t>Wrong size</t>
        </is>
      </c>
      <c r="F64" s="27" t="n">
        <v>719.75</v>
      </c>
      <c r="G64" s="27" t="n">
        <v>846</v>
      </c>
      <c r="H64" s="27" t="inlineStr">
        <is>
          <t>11</t>
        </is>
      </c>
      <c r="I64" s="27" t="n">
        <v>2023</v>
      </c>
    </row>
    <row r="65" ht="15" customHeight="1" s="24">
      <c r="A65" s="27" t="n">
        <v>8049</v>
      </c>
      <c r="B65" s="27" t="n">
        <v>112130</v>
      </c>
      <c r="C65" s="27" t="n">
        <v>1</v>
      </c>
      <c r="D65" s="41" t="n">
        <v>45261.13081172454</v>
      </c>
      <c r="E65" s="27" t="inlineStr">
        <is>
          <t>Not as described</t>
        </is>
      </c>
      <c r="F65" s="27" t="n">
        <v>39.68</v>
      </c>
      <c r="G65" s="27" t="n">
        <v>2373</v>
      </c>
      <c r="H65" s="27" t="inlineStr">
        <is>
          <t>11</t>
        </is>
      </c>
      <c r="I65" s="27" t="n">
        <v>2023</v>
      </c>
    </row>
    <row r="66" ht="15" customHeight="1" s="24">
      <c r="A66" s="27" t="n">
        <v>7981</v>
      </c>
      <c r="B66" s="27" t="n">
        <v>111343</v>
      </c>
      <c r="C66" s="27" t="n">
        <v>4</v>
      </c>
      <c r="D66" s="41" t="n">
        <v>45261.53963171296</v>
      </c>
      <c r="E66" s="27" t="inlineStr">
        <is>
          <t>Wrong item shipped</t>
        </is>
      </c>
      <c r="F66" s="27" t="n">
        <v>125.94</v>
      </c>
      <c r="G66" s="27" t="n">
        <v>2298</v>
      </c>
      <c r="H66" s="27" t="inlineStr">
        <is>
          <t>11</t>
        </is>
      </c>
      <c r="I66" s="27" t="n">
        <v>2023</v>
      </c>
    </row>
    <row r="67" ht="15" customHeight="1" s="24">
      <c r="A67" s="27" t="n">
        <v>6772</v>
      </c>
      <c r="B67" s="27" t="n">
        <v>95331</v>
      </c>
      <c r="C67" s="27" t="n">
        <v>4</v>
      </c>
      <c r="D67" s="41" t="n">
        <v>45261.87759188657</v>
      </c>
      <c r="E67" s="27" t="inlineStr">
        <is>
          <t>Not as described</t>
        </is>
      </c>
      <c r="F67" s="27" t="n">
        <v>168.39</v>
      </c>
      <c r="G67" s="27" t="n">
        <v>1632</v>
      </c>
      <c r="H67" s="27" t="inlineStr">
        <is>
          <t>11</t>
        </is>
      </c>
      <c r="I67" s="27" t="n">
        <v>2023</v>
      </c>
    </row>
    <row r="68" ht="15" customHeight="1" s="24">
      <c r="A68" s="27" t="n">
        <v>7316</v>
      </c>
      <c r="B68" s="27" t="n">
        <v>102649</v>
      </c>
      <c r="C68" s="27" t="n">
        <v>4</v>
      </c>
      <c r="D68" s="41" t="n">
        <v>45261.90775269676</v>
      </c>
      <c r="E68" s="27" t="inlineStr">
        <is>
          <t>Wrong size</t>
        </is>
      </c>
      <c r="F68" s="27" t="n">
        <v>278.21</v>
      </c>
      <c r="G68" s="27" t="n">
        <v>997</v>
      </c>
      <c r="H68" s="27" t="inlineStr">
        <is>
          <t>11</t>
        </is>
      </c>
      <c r="I68" s="27" t="n">
        <v>2023</v>
      </c>
    </row>
    <row r="69" ht="15" customHeight="1" s="24">
      <c r="A69" s="27" t="n">
        <v>8304</v>
      </c>
      <c r="B69" s="27" t="n">
        <v>115631</v>
      </c>
      <c r="C69" s="27" t="n">
        <v>5</v>
      </c>
      <c r="D69" s="41" t="n">
        <v>45268.91175063657</v>
      </c>
      <c r="E69" s="27" t="inlineStr">
        <is>
          <t>Wrong item shipped</t>
        </is>
      </c>
      <c r="F69" s="27" t="n">
        <v>382.87</v>
      </c>
      <c r="G69" s="27" t="n">
        <v>2892</v>
      </c>
      <c r="H69" s="27" t="inlineStr">
        <is>
          <t>11</t>
        </is>
      </c>
      <c r="I69" s="27" t="n">
        <v>2023</v>
      </c>
    </row>
    <row r="70" ht="15" customHeight="1" s="24">
      <c r="A70" s="27" t="n">
        <v>9017</v>
      </c>
      <c r="B70" s="27" t="n">
        <v>125434</v>
      </c>
      <c r="C70" s="27" t="n">
        <v>43</v>
      </c>
      <c r="D70" s="41" t="n">
        <v>45269.0751190625</v>
      </c>
      <c r="E70" s="27" t="inlineStr">
        <is>
          <t>Changed mind</t>
        </is>
      </c>
      <c r="F70" s="27" t="n">
        <v>184.36</v>
      </c>
      <c r="G70" s="27" t="n">
        <v>203</v>
      </c>
      <c r="H70" s="27" t="inlineStr">
        <is>
          <t>11</t>
        </is>
      </c>
      <c r="I70" s="27" t="n">
        <v>2023</v>
      </c>
    </row>
    <row r="71" ht="15" customHeight="1" s="24">
      <c r="A71" s="27" t="n">
        <v>9081</v>
      </c>
      <c r="B71" s="27" t="n">
        <v>126251</v>
      </c>
      <c r="C71" s="27" t="n">
        <v>1</v>
      </c>
      <c r="D71" s="41" t="n">
        <v>45275.57785109954</v>
      </c>
      <c r="E71" s="27" t="inlineStr">
        <is>
          <t>Changed mind</t>
        </is>
      </c>
      <c r="F71" s="27" t="n">
        <v>98.15000000000001</v>
      </c>
      <c r="G71" s="27" t="n">
        <v>1177</v>
      </c>
      <c r="H71" s="27" t="inlineStr">
        <is>
          <t>11</t>
        </is>
      </c>
      <c r="I71" s="27" t="n">
        <v>2023</v>
      </c>
    </row>
    <row r="72" ht="15" customHeight="1" s="24">
      <c r="A72" s="27" t="n">
        <v>10205</v>
      </c>
      <c r="B72" s="27" t="n">
        <v>141637</v>
      </c>
      <c r="C72" s="27" t="n">
        <v>67</v>
      </c>
      <c r="D72" s="41" t="n">
        <v>45282.32723204861</v>
      </c>
      <c r="E72" s="27" t="inlineStr">
        <is>
          <t>Better price elsewhere</t>
        </is>
      </c>
      <c r="F72" s="27" t="n">
        <v>273.36</v>
      </c>
      <c r="G72" s="27" t="n">
        <v>1238</v>
      </c>
      <c r="H72" s="27" t="inlineStr">
        <is>
          <t>12</t>
        </is>
      </c>
      <c r="I72" s="27" t="n">
        <v>2023</v>
      </c>
    </row>
    <row r="73" ht="15" customHeight="1" s="24">
      <c r="A73" s="27" t="n">
        <v>12120</v>
      </c>
      <c r="B73" s="27" t="n">
        <v>169014</v>
      </c>
      <c r="C73" s="27" t="n">
        <v>1</v>
      </c>
      <c r="D73" s="41" t="n">
        <v>45282.42273311342</v>
      </c>
      <c r="E73" s="27" t="inlineStr">
        <is>
          <t>Not as described</t>
        </is>
      </c>
      <c r="F73" s="27" t="n">
        <v>690.72</v>
      </c>
      <c r="G73" s="27" t="n">
        <v>2860</v>
      </c>
      <c r="H73" s="27" t="inlineStr">
        <is>
          <t>12</t>
        </is>
      </c>
      <c r="I73" s="27" t="n">
        <v>2023</v>
      </c>
    </row>
    <row r="74" ht="15" customHeight="1" s="24">
      <c r="A74" s="27" t="n">
        <v>12091</v>
      </c>
      <c r="B74" s="27" t="n">
        <v>168611</v>
      </c>
      <c r="C74" s="27" t="n">
        <v>129</v>
      </c>
      <c r="D74" s="41" t="n">
        <v>45282.636141875</v>
      </c>
      <c r="E74" s="27" t="inlineStr">
        <is>
          <t>Defective product</t>
        </is>
      </c>
      <c r="F74" s="27" t="n">
        <v>133.78</v>
      </c>
      <c r="G74" s="27" t="n">
        <v>3779</v>
      </c>
      <c r="H74" s="27" t="inlineStr">
        <is>
          <t>12</t>
        </is>
      </c>
      <c r="I74" s="27" t="n">
        <v>2023</v>
      </c>
    </row>
    <row r="75" ht="15" customHeight="1" s="24">
      <c r="A75" s="27" t="n">
        <v>12063</v>
      </c>
      <c r="B75" s="27" t="n">
        <v>168222</v>
      </c>
      <c r="C75" s="27" t="n">
        <v>111</v>
      </c>
      <c r="D75" s="41" t="n">
        <v>45284.99597525463</v>
      </c>
      <c r="E75" s="27" t="inlineStr">
        <is>
          <t>Wrong size</t>
        </is>
      </c>
      <c r="F75" s="27" t="n">
        <v>1504.66</v>
      </c>
      <c r="G75" s="27" t="n">
        <v>2588</v>
      </c>
      <c r="H75" s="27" t="inlineStr">
        <is>
          <t>12</t>
        </is>
      </c>
      <c r="I75" s="27" t="n">
        <v>2023</v>
      </c>
    </row>
    <row r="76" ht="15" customHeight="1" s="24">
      <c r="A76" s="27" t="n">
        <v>9910</v>
      </c>
      <c r="B76" s="27" t="n">
        <v>137608</v>
      </c>
      <c r="C76" s="27" t="n">
        <v>18</v>
      </c>
      <c r="D76" s="41" t="n">
        <v>45286.20528476852</v>
      </c>
      <c r="E76" s="27" t="inlineStr">
        <is>
          <t>Changed mind</t>
        </is>
      </c>
      <c r="F76" s="27" t="n">
        <v>51.37</v>
      </c>
      <c r="G76" s="27" t="n">
        <v>553</v>
      </c>
      <c r="H76" s="27" t="inlineStr">
        <is>
          <t>12</t>
        </is>
      </c>
      <c r="I76" s="27" t="n">
        <v>2023</v>
      </c>
    </row>
    <row r="77" ht="15" customHeight="1" s="24">
      <c r="A77" s="27" t="n">
        <v>10858</v>
      </c>
      <c r="B77" s="27" t="n">
        <v>151107</v>
      </c>
      <c r="C77" s="27" t="n">
        <v>7</v>
      </c>
      <c r="D77" s="41" t="n">
        <v>45289.67204418981</v>
      </c>
      <c r="E77" s="27" t="inlineStr">
        <is>
          <t>Defective product</t>
        </is>
      </c>
      <c r="F77" s="27" t="n">
        <v>653.27</v>
      </c>
      <c r="G77" s="27" t="n">
        <v>1297</v>
      </c>
      <c r="H77" s="27" t="inlineStr">
        <is>
          <t>12</t>
        </is>
      </c>
      <c r="I77" s="27" t="n">
        <v>2023</v>
      </c>
    </row>
    <row r="78" ht="15" customHeight="1" s="24">
      <c r="A78" s="27" t="n">
        <v>10269</v>
      </c>
      <c r="B78" s="27" t="n">
        <v>142395</v>
      </c>
      <c r="C78" s="27" t="n">
        <v>112</v>
      </c>
      <c r="D78" s="41" t="n">
        <v>45289.89679336805</v>
      </c>
      <c r="E78" s="27" t="inlineStr">
        <is>
          <t>Better price elsewhere</t>
        </is>
      </c>
      <c r="F78" s="27" t="n">
        <v>130.09</v>
      </c>
      <c r="G78" s="27" t="n">
        <v>1097</v>
      </c>
      <c r="H78" s="27" t="inlineStr">
        <is>
          <t>12</t>
        </is>
      </c>
      <c r="I78" s="27" t="n">
        <v>2023</v>
      </c>
    </row>
    <row r="79" ht="15" customHeight="1" s="24">
      <c r="A79" s="27" t="n">
        <v>11953</v>
      </c>
      <c r="B79" s="27" t="n">
        <v>166668</v>
      </c>
      <c r="C79" s="27" t="n">
        <v>1</v>
      </c>
      <c r="D79" s="41" t="n">
        <v>45290.16041559028</v>
      </c>
      <c r="E79" s="27" t="inlineStr">
        <is>
          <t>Wrong size</t>
        </is>
      </c>
      <c r="F79" s="27" t="n">
        <v>636.85</v>
      </c>
      <c r="G79" s="27" t="n">
        <v>1972</v>
      </c>
      <c r="H79" s="27" t="inlineStr">
        <is>
          <t>12</t>
        </is>
      </c>
      <c r="I79" s="27" t="n">
        <v>2023</v>
      </c>
    </row>
    <row r="80" ht="15" customHeight="1" s="24">
      <c r="A80" s="27" t="n">
        <v>9844</v>
      </c>
      <c r="B80" s="27" t="n">
        <v>136717</v>
      </c>
      <c r="C80" s="27" t="n">
        <v>1</v>
      </c>
      <c r="D80" s="41" t="n">
        <v>45294.29341833333</v>
      </c>
      <c r="E80" s="27" t="inlineStr">
        <is>
          <t>Changed mind</t>
        </is>
      </c>
      <c r="F80" s="27" t="n">
        <v>55.15</v>
      </c>
      <c r="G80" s="27" t="n">
        <v>2596</v>
      </c>
      <c r="H80" s="27" t="inlineStr">
        <is>
          <t>12</t>
        </is>
      </c>
      <c r="I80" s="27" t="n">
        <v>2023</v>
      </c>
    </row>
    <row r="81" ht="15" customHeight="1" s="24">
      <c r="A81" s="27" t="n">
        <v>10570</v>
      </c>
      <c r="B81" s="27" t="n">
        <v>146678</v>
      </c>
      <c r="C81" s="27" t="n">
        <v>81</v>
      </c>
      <c r="D81" s="41" t="n">
        <v>45295.04750018519</v>
      </c>
      <c r="E81" s="27" t="inlineStr">
        <is>
          <t>Wrong size</t>
        </is>
      </c>
      <c r="F81" s="27" t="n">
        <v>190.62</v>
      </c>
      <c r="G81" s="27" t="n">
        <v>1464</v>
      </c>
      <c r="H81" s="27" t="inlineStr">
        <is>
          <t>12</t>
        </is>
      </c>
      <c r="I81" s="27" t="n">
        <v>2023</v>
      </c>
    </row>
    <row r="82" ht="15" customHeight="1" s="24">
      <c r="A82" s="27" t="n">
        <v>10518</v>
      </c>
      <c r="B82" s="27" t="n">
        <v>145898</v>
      </c>
      <c r="C82" s="27" t="n">
        <v>4</v>
      </c>
      <c r="D82" s="41" t="n">
        <v>45296.75641868055</v>
      </c>
      <c r="E82" s="27" t="inlineStr">
        <is>
          <t>Wrong item shipped</t>
        </is>
      </c>
      <c r="F82" s="27" t="n">
        <v>180.43</v>
      </c>
      <c r="G82" s="27" t="n">
        <v>1142</v>
      </c>
      <c r="H82" s="27" t="inlineStr">
        <is>
          <t>12</t>
        </is>
      </c>
      <c r="I82" s="27" t="n">
        <v>2023</v>
      </c>
    </row>
    <row r="83" ht="15" customHeight="1" s="24">
      <c r="A83" s="27" t="n">
        <v>9989</v>
      </c>
      <c r="B83" s="27" t="n">
        <v>138690</v>
      </c>
      <c r="C83" s="27" t="n">
        <v>7</v>
      </c>
      <c r="D83" s="41" t="n">
        <v>45296.77591467593</v>
      </c>
      <c r="E83" s="27" t="inlineStr">
        <is>
          <t>Wrong item shipped</t>
        </is>
      </c>
      <c r="F83" s="27" t="n">
        <v>211.86</v>
      </c>
      <c r="G83" s="27" t="n">
        <v>3104</v>
      </c>
      <c r="H83" s="27" t="inlineStr">
        <is>
          <t>12</t>
        </is>
      </c>
      <c r="I83" s="27" t="n">
        <v>2023</v>
      </c>
    </row>
    <row r="84" ht="15" customHeight="1" s="24">
      <c r="A84" s="27" t="n">
        <v>10713</v>
      </c>
      <c r="B84" s="27" t="n">
        <v>148748</v>
      </c>
      <c r="C84" s="27" t="n">
        <v>1</v>
      </c>
      <c r="D84" s="41" t="n">
        <v>45299.98065008102</v>
      </c>
      <c r="E84" s="27" t="inlineStr">
        <is>
          <t>Better price elsewhere</t>
        </is>
      </c>
      <c r="F84" s="27" t="n">
        <v>187.85</v>
      </c>
      <c r="G84" s="27" t="n">
        <v>3105</v>
      </c>
      <c r="H84" s="27" t="inlineStr">
        <is>
          <t>12</t>
        </is>
      </c>
      <c r="I84" s="27" t="n">
        <v>2023</v>
      </c>
    </row>
    <row r="85" ht="15" customHeight="1" s="24">
      <c r="A85" s="27" t="n">
        <v>13388</v>
      </c>
      <c r="B85" s="27" t="n">
        <v>186700</v>
      </c>
      <c r="C85" s="27" t="n">
        <v>3</v>
      </c>
      <c r="D85" s="41" t="n">
        <v>45305.32645458333</v>
      </c>
      <c r="E85" s="27" t="inlineStr">
        <is>
          <t>Not as described</t>
        </is>
      </c>
      <c r="F85" s="27" t="n">
        <v>63.03</v>
      </c>
      <c r="G85" s="27" t="n">
        <v>819</v>
      </c>
      <c r="H85" s="27" t="inlineStr">
        <is>
          <t>01</t>
        </is>
      </c>
      <c r="I85" s="27" t="n">
        <v>2024</v>
      </c>
    </row>
    <row r="86" ht="15" customHeight="1" s="24">
      <c r="A86" s="27" t="n">
        <v>13288</v>
      </c>
      <c r="B86" s="27" t="n">
        <v>185281</v>
      </c>
      <c r="C86" s="27" t="n">
        <v>7</v>
      </c>
      <c r="D86" s="41" t="n">
        <v>45305.68119412037</v>
      </c>
      <c r="E86" s="27" t="inlineStr">
        <is>
          <t>Changed mind</t>
        </is>
      </c>
      <c r="F86" s="27" t="n">
        <v>345.41</v>
      </c>
      <c r="G86" s="27" t="n">
        <v>3025</v>
      </c>
      <c r="H86" s="27" t="inlineStr">
        <is>
          <t>01</t>
        </is>
      </c>
      <c r="I86" s="27" t="n">
        <v>2024</v>
      </c>
    </row>
    <row r="87" ht="15" customHeight="1" s="24">
      <c r="A87" s="27" t="n">
        <v>12428</v>
      </c>
      <c r="B87" s="27" t="n">
        <v>173322</v>
      </c>
      <c r="C87" s="27" t="n">
        <v>44</v>
      </c>
      <c r="D87" s="41" t="n">
        <v>45307.05351784722</v>
      </c>
      <c r="E87" s="27" t="inlineStr">
        <is>
          <t>Item damaged</t>
        </is>
      </c>
      <c r="F87" s="27" t="n">
        <v>127.25</v>
      </c>
      <c r="G87" s="27" t="n">
        <v>3513</v>
      </c>
      <c r="H87" s="27" t="inlineStr">
        <is>
          <t>01</t>
        </is>
      </c>
      <c r="I87" s="27" t="n">
        <v>2024</v>
      </c>
    </row>
    <row r="88" ht="15" customHeight="1" s="24">
      <c r="A88" s="27" t="n">
        <v>12493</v>
      </c>
      <c r="B88" s="27" t="n">
        <v>174163</v>
      </c>
      <c r="C88" s="27" t="n">
        <v>72</v>
      </c>
      <c r="D88" s="41" t="n">
        <v>45318.75876965278</v>
      </c>
      <c r="E88" s="27" t="inlineStr">
        <is>
          <t>Not as described</t>
        </is>
      </c>
      <c r="F88" s="27" t="n">
        <v>284.69</v>
      </c>
      <c r="G88" s="27" t="n">
        <v>1323</v>
      </c>
      <c r="H88" s="27" t="inlineStr">
        <is>
          <t>01</t>
        </is>
      </c>
      <c r="I88" s="27" t="n">
        <v>2024</v>
      </c>
    </row>
    <row r="89" ht="15" customHeight="1" s="24">
      <c r="A89" s="27" t="n">
        <v>13211</v>
      </c>
      <c r="B89" s="27" t="n">
        <v>184303</v>
      </c>
      <c r="C89" s="27" t="n">
        <v>8</v>
      </c>
      <c r="D89" s="41" t="n">
        <v>45319.43629299769</v>
      </c>
      <c r="E89" s="27" t="inlineStr">
        <is>
          <t>Arrived too late</t>
        </is>
      </c>
      <c r="F89" s="27" t="n">
        <v>246.25</v>
      </c>
      <c r="G89" s="27" t="n">
        <v>993</v>
      </c>
      <c r="H89" s="27" t="inlineStr">
        <is>
          <t>01</t>
        </is>
      </c>
      <c r="I89" s="27" t="n">
        <v>2024</v>
      </c>
    </row>
    <row r="90" ht="15" customHeight="1" s="24">
      <c r="A90" s="27" t="n">
        <v>14314</v>
      </c>
      <c r="B90" s="27" t="n">
        <v>198926</v>
      </c>
      <c r="C90" s="27" t="n">
        <v>1</v>
      </c>
      <c r="D90" s="41" t="n">
        <v>45337.38012732639</v>
      </c>
      <c r="E90" s="27" t="inlineStr">
        <is>
          <t>Arrived too late</t>
        </is>
      </c>
      <c r="F90" s="27" t="n">
        <v>232.19</v>
      </c>
      <c r="G90" s="27" t="n">
        <v>2149</v>
      </c>
      <c r="H90" s="27" t="inlineStr">
        <is>
          <t>02</t>
        </is>
      </c>
      <c r="I90" s="27" t="n">
        <v>2024</v>
      </c>
    </row>
    <row r="91" ht="15" customHeight="1" s="24">
      <c r="A91" s="27" t="n">
        <v>14339</v>
      </c>
      <c r="B91" s="27" t="n">
        <v>199366</v>
      </c>
      <c r="C91" s="27" t="n">
        <v>1</v>
      </c>
      <c r="D91" s="41" t="n">
        <v>45341.717085625</v>
      </c>
      <c r="E91" s="27" t="inlineStr">
        <is>
          <t>Not as described</t>
        </is>
      </c>
      <c r="F91" s="27" t="n">
        <v>209.67</v>
      </c>
      <c r="G91" s="27" t="n">
        <v>1881</v>
      </c>
      <c r="H91" s="27" t="inlineStr">
        <is>
          <t>02</t>
        </is>
      </c>
      <c r="I91" s="27" t="n">
        <v>2024</v>
      </c>
    </row>
    <row r="92" ht="15" customHeight="1" s="24">
      <c r="A92" s="27" t="n">
        <v>14653</v>
      </c>
      <c r="B92" s="27" t="n">
        <v>203945</v>
      </c>
      <c r="C92" s="27" t="n">
        <v>1</v>
      </c>
      <c r="D92" s="41" t="n">
        <v>45343.93931045139</v>
      </c>
      <c r="E92" s="27" t="inlineStr">
        <is>
          <t>Defective product</t>
        </is>
      </c>
      <c r="F92" s="27" t="n">
        <v>303.09</v>
      </c>
      <c r="G92" s="27" t="n">
        <v>3652</v>
      </c>
      <c r="H92" s="27" t="inlineStr">
        <is>
          <t>02</t>
        </is>
      </c>
      <c r="I92" s="27" t="n">
        <v>2024</v>
      </c>
    </row>
    <row r="93" ht="15" customHeight="1" s="24">
      <c r="A93" s="27" t="n">
        <v>14141</v>
      </c>
      <c r="B93" s="27" t="n">
        <v>196726</v>
      </c>
      <c r="C93" s="27" t="n">
        <v>4</v>
      </c>
      <c r="D93" s="41" t="n">
        <v>45344.25823423611</v>
      </c>
      <c r="E93" s="27" t="inlineStr">
        <is>
          <t>Wrong size</t>
        </is>
      </c>
      <c r="F93" s="27" t="n">
        <v>112.56</v>
      </c>
      <c r="G93" s="27" t="n">
        <v>3338</v>
      </c>
      <c r="H93" s="27" t="inlineStr">
        <is>
          <t>02</t>
        </is>
      </c>
      <c r="I93" s="27" t="n">
        <v>2024</v>
      </c>
    </row>
    <row r="94" ht="15" customHeight="1" s="24">
      <c r="A94" s="27" t="n">
        <v>14621</v>
      </c>
      <c r="B94" s="27" t="n">
        <v>203480</v>
      </c>
      <c r="C94" s="27" t="n">
        <v>1</v>
      </c>
      <c r="D94" s="41" t="n">
        <v>45344.85974203704</v>
      </c>
      <c r="E94" s="27" t="inlineStr">
        <is>
          <t>Arrived too late</t>
        </is>
      </c>
      <c r="F94" s="27" t="n">
        <v>264.19</v>
      </c>
      <c r="G94" s="27" t="n">
        <v>3585</v>
      </c>
      <c r="H94" s="27" t="inlineStr">
        <is>
          <t>02</t>
        </is>
      </c>
      <c r="I94" s="27" t="n">
        <v>2024</v>
      </c>
    </row>
    <row r="95" ht="15" customHeight="1" s="24">
      <c r="A95" s="27" t="n">
        <v>14244</v>
      </c>
      <c r="B95" s="27" t="n">
        <v>197974</v>
      </c>
      <c r="C95" s="27" t="n">
        <v>2</v>
      </c>
      <c r="D95" s="41" t="n">
        <v>45347.2959550463</v>
      </c>
      <c r="E95" s="27" t="inlineStr">
        <is>
          <t>Wrong size</t>
        </is>
      </c>
      <c r="F95" s="27" t="n">
        <v>49.06</v>
      </c>
      <c r="G95" s="27" t="n">
        <v>1238</v>
      </c>
      <c r="H95" s="27" t="inlineStr">
        <is>
          <t>02</t>
        </is>
      </c>
      <c r="I95" s="27" t="n">
        <v>2024</v>
      </c>
    </row>
    <row r="96" ht="15" customHeight="1" s="24">
      <c r="A96" s="27" t="n">
        <v>13592</v>
      </c>
      <c r="B96" s="27" t="n">
        <v>189446</v>
      </c>
      <c r="C96" s="27" t="n">
        <v>1</v>
      </c>
      <c r="D96" s="41" t="n">
        <v>45349.49416395833</v>
      </c>
      <c r="E96" s="27" t="inlineStr">
        <is>
          <t>Defective product</t>
        </is>
      </c>
      <c r="F96" s="27" t="n">
        <v>209.34</v>
      </c>
      <c r="G96" s="27" t="n">
        <v>3441</v>
      </c>
      <c r="H96" s="27" t="inlineStr">
        <is>
          <t>02</t>
        </is>
      </c>
      <c r="I96" s="27" t="n">
        <v>2024</v>
      </c>
    </row>
    <row r="97" ht="15" customHeight="1" s="24">
      <c r="A97" s="27" t="n">
        <v>14765</v>
      </c>
      <c r="B97" s="27" t="n">
        <v>205432</v>
      </c>
      <c r="C97" s="27" t="n">
        <v>1</v>
      </c>
      <c r="D97" s="41" t="n">
        <v>45354.5126378588</v>
      </c>
      <c r="E97" s="27" t="inlineStr">
        <is>
          <t>Not as described</t>
        </is>
      </c>
      <c r="F97" s="27" t="n">
        <v>475.05</v>
      </c>
      <c r="G97" s="27" t="n">
        <v>3755</v>
      </c>
      <c r="H97" s="27" t="inlineStr">
        <is>
          <t>02</t>
        </is>
      </c>
      <c r="I97" s="27" t="n">
        <v>2024</v>
      </c>
    </row>
    <row r="98" ht="15" customHeight="1" s="24">
      <c r="A98" s="27" t="n">
        <v>15128</v>
      </c>
      <c r="B98" s="27" t="n">
        <v>210336</v>
      </c>
      <c r="C98" s="27" t="n">
        <v>5</v>
      </c>
      <c r="D98" s="41" t="n">
        <v>45360.55099109954</v>
      </c>
      <c r="E98" s="27" t="inlineStr">
        <is>
          <t>Item damaged</t>
        </is>
      </c>
      <c r="F98" s="27" t="n">
        <v>55.63</v>
      </c>
      <c r="G98" s="27" t="n">
        <v>314</v>
      </c>
      <c r="H98" s="27" t="inlineStr">
        <is>
          <t>03</t>
        </is>
      </c>
      <c r="I98" s="27" t="n">
        <v>2024</v>
      </c>
    </row>
    <row r="99" ht="15" customHeight="1" s="24">
      <c r="A99" s="27" t="n">
        <v>15554</v>
      </c>
      <c r="B99" s="27" t="n">
        <v>216592</v>
      </c>
      <c r="C99" s="27" t="n">
        <v>1</v>
      </c>
      <c r="D99" s="41" t="n">
        <v>45361.66650372685</v>
      </c>
      <c r="E99" s="27" t="inlineStr">
        <is>
          <t>Not as described</t>
        </is>
      </c>
      <c r="F99" s="27" t="n">
        <v>116.86</v>
      </c>
      <c r="G99" s="27" t="n">
        <v>2814</v>
      </c>
      <c r="H99" s="27" t="inlineStr">
        <is>
          <t>03</t>
        </is>
      </c>
      <c r="I99" s="27" t="n">
        <v>2024</v>
      </c>
    </row>
    <row r="100" ht="15" customHeight="1" s="24">
      <c r="A100" s="27" t="n">
        <v>15780</v>
      </c>
      <c r="B100" s="27" t="n">
        <v>219550</v>
      </c>
      <c r="C100" s="27" t="n">
        <v>4</v>
      </c>
      <c r="D100" s="41" t="n">
        <v>45362.57537306713</v>
      </c>
      <c r="E100" s="27" t="inlineStr">
        <is>
          <t>Defective product</t>
        </is>
      </c>
      <c r="F100" s="27" t="n">
        <v>413.18</v>
      </c>
      <c r="G100" s="27" t="n">
        <v>3153</v>
      </c>
      <c r="H100" s="27" t="inlineStr">
        <is>
          <t>03</t>
        </is>
      </c>
      <c r="I100" s="27" t="n">
        <v>2024</v>
      </c>
    </row>
    <row r="101" ht="15" customHeight="1" s="24">
      <c r="A101" s="27" t="n">
        <v>15970</v>
      </c>
      <c r="B101" s="27" t="n">
        <v>221895</v>
      </c>
      <c r="C101" s="27" t="n">
        <v>3</v>
      </c>
      <c r="D101" s="41" t="n">
        <v>45366.51865675926</v>
      </c>
      <c r="E101" s="27" t="inlineStr">
        <is>
          <t>Changed mind</t>
        </is>
      </c>
      <c r="F101" s="27" t="n">
        <v>78.67</v>
      </c>
      <c r="G101" s="27" t="n">
        <v>2473</v>
      </c>
      <c r="H101" s="27" t="inlineStr">
        <is>
          <t>03</t>
        </is>
      </c>
      <c r="I101" s="27" t="n">
        <v>2024</v>
      </c>
    </row>
    <row r="102" ht="15" customHeight="1" s="24">
      <c r="A102" s="27" t="n">
        <v>15023</v>
      </c>
      <c r="B102" s="27" t="n">
        <v>209039</v>
      </c>
      <c r="C102" s="27" t="n">
        <v>1</v>
      </c>
      <c r="D102" s="41" t="n">
        <v>45373.41022459491</v>
      </c>
      <c r="E102" s="27" t="inlineStr">
        <is>
          <t>Wrong size</t>
        </is>
      </c>
      <c r="F102" s="27" t="n">
        <v>722.25</v>
      </c>
      <c r="G102" s="27" t="n">
        <v>1348</v>
      </c>
      <c r="H102" s="27" t="inlineStr">
        <is>
          <t>03</t>
        </is>
      </c>
      <c r="I102" s="27" t="n">
        <v>2024</v>
      </c>
    </row>
    <row r="103" ht="15" customHeight="1" s="24">
      <c r="A103" s="27" t="n">
        <v>16649</v>
      </c>
      <c r="B103" s="27" t="n">
        <v>231092</v>
      </c>
      <c r="C103" s="27" t="n">
        <v>91</v>
      </c>
      <c r="D103" s="41" t="n">
        <v>45379.84947246528</v>
      </c>
      <c r="E103" s="27" t="inlineStr">
        <is>
          <t>Wrong size</t>
        </is>
      </c>
      <c r="F103" s="27" t="n">
        <v>298.55</v>
      </c>
      <c r="G103" s="27" t="n">
        <v>1698</v>
      </c>
      <c r="H103" s="27" t="inlineStr">
        <is>
          <t>03</t>
        </is>
      </c>
      <c r="I103" s="27" t="n">
        <v>2024</v>
      </c>
    </row>
    <row r="104" ht="15" customHeight="1" s="24">
      <c r="A104" s="27" t="n">
        <v>16227</v>
      </c>
      <c r="B104" s="27" t="n">
        <v>225390</v>
      </c>
      <c r="C104" s="27" t="n">
        <v>7</v>
      </c>
      <c r="D104" s="41" t="n">
        <v>45380.18084894676</v>
      </c>
      <c r="E104" s="27" t="inlineStr">
        <is>
          <t>Defective product</t>
        </is>
      </c>
      <c r="F104" s="27" t="n">
        <v>514.6799999999999</v>
      </c>
      <c r="G104" s="27" t="n">
        <v>3040</v>
      </c>
      <c r="H104" s="27" t="inlineStr">
        <is>
          <t>03</t>
        </is>
      </c>
      <c r="I104" s="27" t="n">
        <v>2024</v>
      </c>
    </row>
    <row r="105" ht="15" customHeight="1" s="24">
      <c r="A105" s="27" t="n">
        <v>15195</v>
      </c>
      <c r="B105" s="27" t="n">
        <v>211466</v>
      </c>
      <c r="C105" s="27" t="n">
        <v>51</v>
      </c>
      <c r="D105" s="41" t="n">
        <v>45380.41757295139</v>
      </c>
      <c r="E105" s="27" t="inlineStr">
        <is>
          <t>Wrong size</t>
        </is>
      </c>
      <c r="F105" s="27" t="n">
        <v>784</v>
      </c>
      <c r="G105" s="27" t="n">
        <v>632</v>
      </c>
      <c r="H105" s="27" t="inlineStr">
        <is>
          <t>03</t>
        </is>
      </c>
      <c r="I105" s="27" t="n">
        <v>2024</v>
      </c>
    </row>
    <row r="106" ht="15" customHeight="1" s="24">
      <c r="A106" s="27" t="n">
        <v>15655</v>
      </c>
      <c r="B106" s="27" t="n">
        <v>217997</v>
      </c>
      <c r="C106" s="27" t="n">
        <v>1</v>
      </c>
      <c r="D106" s="41" t="n">
        <v>45381.3449346412</v>
      </c>
      <c r="E106" s="27" t="inlineStr">
        <is>
          <t>Wrong size</t>
        </is>
      </c>
      <c r="F106" s="27" t="n">
        <v>244.67</v>
      </c>
      <c r="G106" s="27" t="n">
        <v>2064</v>
      </c>
      <c r="H106" s="27" t="inlineStr">
        <is>
          <t>03</t>
        </is>
      </c>
      <c r="I106" s="27" t="n">
        <v>2024</v>
      </c>
    </row>
    <row r="107" ht="15" customHeight="1" s="24">
      <c r="A107" s="27" t="n">
        <v>15143</v>
      </c>
      <c r="B107" s="27" t="n">
        <v>210507</v>
      </c>
      <c r="C107" s="27" t="n">
        <v>1</v>
      </c>
      <c r="D107" s="41" t="n">
        <v>45390.46705202547</v>
      </c>
      <c r="E107" s="27" t="inlineStr">
        <is>
          <t>Not as described</t>
        </is>
      </c>
      <c r="F107" s="27" t="n">
        <v>266.17</v>
      </c>
      <c r="G107" s="27" t="n">
        <v>1065</v>
      </c>
      <c r="H107" s="27" t="inlineStr">
        <is>
          <t>03</t>
        </is>
      </c>
      <c r="I107" s="27" t="n">
        <v>2024</v>
      </c>
    </row>
    <row r="108" ht="15" customHeight="1" s="24">
      <c r="A108" s="27" t="n">
        <v>17624</v>
      </c>
      <c r="B108" s="27" t="n">
        <v>244616</v>
      </c>
      <c r="C108" s="27" t="n">
        <v>9</v>
      </c>
      <c r="D108" s="41" t="n">
        <v>45391.17878679398</v>
      </c>
      <c r="E108" s="27" t="inlineStr">
        <is>
          <t>Changed mind</t>
        </is>
      </c>
      <c r="F108" s="27" t="n">
        <v>358.46</v>
      </c>
      <c r="G108" s="27" t="n">
        <v>3170</v>
      </c>
      <c r="H108" s="27" t="inlineStr">
        <is>
          <t>04</t>
        </is>
      </c>
      <c r="I108" s="27" t="n">
        <v>2024</v>
      </c>
    </row>
    <row r="109" ht="15" customHeight="1" s="24">
      <c r="A109" s="27" t="n">
        <v>18049</v>
      </c>
      <c r="B109" s="27" t="n">
        <v>250796</v>
      </c>
      <c r="C109" s="27" t="n">
        <v>4</v>
      </c>
      <c r="D109" s="41" t="n">
        <v>45394.64751912037</v>
      </c>
      <c r="E109" s="27" t="inlineStr">
        <is>
          <t>Defective product</t>
        </is>
      </c>
      <c r="F109" s="27" t="n">
        <v>200.32</v>
      </c>
      <c r="G109" s="27" t="n">
        <v>1132</v>
      </c>
      <c r="H109" s="27" t="inlineStr">
        <is>
          <t>04</t>
        </is>
      </c>
      <c r="I109" s="27" t="n">
        <v>2024</v>
      </c>
    </row>
    <row r="110" ht="15" customHeight="1" s="24">
      <c r="A110" s="27" t="n">
        <v>15117</v>
      </c>
      <c r="B110" s="27" t="n">
        <v>210229</v>
      </c>
      <c r="C110" s="27" t="n">
        <v>5</v>
      </c>
      <c r="D110" s="41" t="n">
        <v>45397.37180560186</v>
      </c>
      <c r="E110" s="27" t="inlineStr">
        <is>
          <t>Wrong item shipped</t>
        </is>
      </c>
      <c r="F110" s="27" t="n">
        <v>581.5700000000001</v>
      </c>
      <c r="G110" s="27" t="n">
        <v>1893</v>
      </c>
      <c r="H110" s="27" t="inlineStr">
        <is>
          <t>03</t>
        </is>
      </c>
      <c r="I110" s="27" t="n">
        <v>2024</v>
      </c>
    </row>
    <row r="111" ht="15" customHeight="1" s="24">
      <c r="A111" s="27" t="n">
        <v>18320</v>
      </c>
      <c r="B111" s="27" t="n">
        <v>255046</v>
      </c>
      <c r="C111" s="27" t="n">
        <v>79</v>
      </c>
      <c r="D111" s="41" t="n">
        <v>45402.54497596065</v>
      </c>
      <c r="E111" s="27" t="inlineStr">
        <is>
          <t>Item damaged</t>
        </is>
      </c>
      <c r="F111" s="27" t="n">
        <v>207.09</v>
      </c>
      <c r="G111" s="27" t="n">
        <v>1017</v>
      </c>
      <c r="H111" s="27" t="inlineStr">
        <is>
          <t>04</t>
        </is>
      </c>
      <c r="I111" s="27" t="n">
        <v>2024</v>
      </c>
    </row>
    <row r="112" ht="15" customHeight="1" s="24">
      <c r="A112" s="27" t="n">
        <v>17744</v>
      </c>
      <c r="B112" s="27" t="n">
        <v>246412</v>
      </c>
      <c r="C112" s="27" t="n">
        <v>104</v>
      </c>
      <c r="D112" s="41" t="n">
        <v>45403.85206385417</v>
      </c>
      <c r="E112" s="27" t="inlineStr">
        <is>
          <t>Changed mind</t>
        </is>
      </c>
      <c r="F112" s="27" t="n">
        <v>290.95</v>
      </c>
      <c r="G112" s="27" t="n">
        <v>2389</v>
      </c>
      <c r="H112" s="27" t="inlineStr">
        <is>
          <t>04</t>
        </is>
      </c>
      <c r="I112" s="27" t="n">
        <v>2024</v>
      </c>
    </row>
    <row r="113" ht="15" customHeight="1" s="24">
      <c r="A113" s="27" t="n">
        <v>17408</v>
      </c>
      <c r="B113" s="27" t="n">
        <v>241891</v>
      </c>
      <c r="C113" s="27" t="n">
        <v>4</v>
      </c>
      <c r="D113" s="41" t="n">
        <v>45404.71346167824</v>
      </c>
      <c r="E113" s="27" t="inlineStr">
        <is>
          <t>Defective product</t>
        </is>
      </c>
      <c r="F113" s="27" t="n">
        <v>539.76</v>
      </c>
      <c r="G113" s="27" t="n">
        <v>1628</v>
      </c>
      <c r="H113" s="27" t="inlineStr">
        <is>
          <t>04</t>
        </is>
      </c>
      <c r="I113" s="27" t="n">
        <v>2024</v>
      </c>
    </row>
    <row r="114" ht="15" customHeight="1" s="24">
      <c r="A114" s="27" t="n">
        <v>18032</v>
      </c>
      <c r="B114" s="27" t="n">
        <v>250491</v>
      </c>
      <c r="C114" s="27" t="n">
        <v>52</v>
      </c>
      <c r="D114" s="41" t="n">
        <v>45407.13021726852</v>
      </c>
      <c r="E114" s="27" t="inlineStr">
        <is>
          <t>Wrong size</t>
        </is>
      </c>
      <c r="F114" s="27" t="n">
        <v>128.35</v>
      </c>
      <c r="G114" s="27" t="n">
        <v>3969</v>
      </c>
      <c r="H114" s="27" t="inlineStr">
        <is>
          <t>04</t>
        </is>
      </c>
      <c r="I114" s="27" t="n">
        <v>2024</v>
      </c>
    </row>
    <row r="115" ht="15" customHeight="1" s="24">
      <c r="A115" s="27" t="n">
        <v>17460</v>
      </c>
      <c r="B115" s="27" t="n">
        <v>242454</v>
      </c>
      <c r="C115" s="27" t="n">
        <v>1</v>
      </c>
      <c r="D115" s="41" t="n">
        <v>45408.53245856481</v>
      </c>
      <c r="E115" s="27" t="inlineStr">
        <is>
          <t>Wrong size</t>
        </is>
      </c>
      <c r="F115" s="27" t="n">
        <v>770.41</v>
      </c>
      <c r="G115" s="27" t="n">
        <v>1297</v>
      </c>
      <c r="H115" s="27" t="inlineStr">
        <is>
          <t>04</t>
        </is>
      </c>
      <c r="I115" s="27" t="n">
        <v>2024</v>
      </c>
    </row>
    <row r="116" ht="15" customHeight="1" s="24">
      <c r="A116" s="27" t="n">
        <v>17486</v>
      </c>
      <c r="B116" s="27" t="n">
        <v>242749</v>
      </c>
      <c r="C116" s="27" t="n">
        <v>1</v>
      </c>
      <c r="D116" s="41" t="n">
        <v>45413.95212228009</v>
      </c>
      <c r="E116" s="27" t="inlineStr">
        <is>
          <t>Wrong size</t>
        </is>
      </c>
      <c r="F116" s="27" t="n">
        <v>963.3</v>
      </c>
      <c r="G116" s="27" t="n">
        <v>28</v>
      </c>
      <c r="H116" s="27" t="inlineStr">
        <is>
          <t>04</t>
        </is>
      </c>
      <c r="I116" s="27" t="n">
        <v>2024</v>
      </c>
    </row>
    <row r="117" ht="15" customHeight="1" s="24">
      <c r="A117" s="27" t="n">
        <v>17918</v>
      </c>
      <c r="B117" s="27" t="n">
        <v>248904</v>
      </c>
      <c r="C117" s="27" t="n">
        <v>1</v>
      </c>
      <c r="D117" s="41" t="n">
        <v>45415.02203625</v>
      </c>
      <c r="E117" s="27" t="inlineStr">
        <is>
          <t>Defective product</t>
        </is>
      </c>
      <c r="F117" s="27" t="n">
        <v>86.53</v>
      </c>
      <c r="G117" s="27" t="n">
        <v>222</v>
      </c>
      <c r="H117" s="27" t="inlineStr">
        <is>
          <t>04</t>
        </is>
      </c>
      <c r="I117" s="27" t="n">
        <v>2024</v>
      </c>
    </row>
    <row r="118" ht="15" customHeight="1" s="24">
      <c r="A118" s="27" t="n">
        <v>18143</v>
      </c>
      <c r="B118" s="27" t="n">
        <v>252289</v>
      </c>
      <c r="C118" s="27" t="n">
        <v>4</v>
      </c>
      <c r="D118" s="41" t="n">
        <v>45416.2629655787</v>
      </c>
      <c r="E118" s="27" t="inlineStr">
        <is>
          <t>Changed mind</t>
        </is>
      </c>
      <c r="F118" s="27" t="n">
        <v>120.69</v>
      </c>
      <c r="G118" s="27" t="n">
        <v>3969</v>
      </c>
      <c r="H118" s="27" t="inlineStr">
        <is>
          <t>04</t>
        </is>
      </c>
      <c r="I118" s="27" t="n">
        <v>2024</v>
      </c>
    </row>
    <row r="119" ht="15" customHeight="1" s="24">
      <c r="A119" s="27" t="n">
        <v>17616</v>
      </c>
      <c r="B119" s="27" t="n">
        <v>244449</v>
      </c>
      <c r="C119" s="27" t="n">
        <v>6</v>
      </c>
      <c r="D119" s="41" t="n">
        <v>45416.30827059028</v>
      </c>
      <c r="E119" s="27" t="inlineStr">
        <is>
          <t>Wrong size</t>
        </is>
      </c>
      <c r="F119" s="27" t="n">
        <v>463.82</v>
      </c>
      <c r="G119" s="27" t="n">
        <v>1454</v>
      </c>
      <c r="H119" s="27" t="inlineStr">
        <is>
          <t>04</t>
        </is>
      </c>
      <c r="I119" s="27" t="n">
        <v>2024</v>
      </c>
    </row>
    <row r="120" ht="15" customHeight="1" s="24">
      <c r="A120" s="27" t="n">
        <v>18182</v>
      </c>
      <c r="B120" s="27" t="n">
        <v>252737</v>
      </c>
      <c r="C120" s="27" t="n">
        <v>1</v>
      </c>
      <c r="D120" s="41" t="n">
        <v>45417.57463592593</v>
      </c>
      <c r="E120" s="27" t="inlineStr">
        <is>
          <t>Not as described</t>
        </is>
      </c>
      <c r="F120" s="27" t="n">
        <v>232.29</v>
      </c>
      <c r="G120" s="27" t="n">
        <v>1813</v>
      </c>
      <c r="H120" s="27" t="inlineStr">
        <is>
          <t>04</t>
        </is>
      </c>
      <c r="I120" s="27" t="n">
        <v>2024</v>
      </c>
    </row>
    <row r="121" ht="15" customHeight="1" s="24">
      <c r="A121" s="27" t="n">
        <v>19476</v>
      </c>
      <c r="B121" s="27" t="n">
        <v>271416</v>
      </c>
      <c r="C121" s="27" t="n">
        <v>6</v>
      </c>
      <c r="D121" s="41" t="n">
        <v>45418.72068993055</v>
      </c>
      <c r="E121" s="27" t="inlineStr">
        <is>
          <t>Defective product</t>
        </is>
      </c>
      <c r="F121" s="27" t="n">
        <v>168.53</v>
      </c>
      <c r="G121" s="27" t="n">
        <v>2435</v>
      </c>
      <c r="H121" s="27" t="inlineStr">
        <is>
          <t>05</t>
        </is>
      </c>
      <c r="I121" s="27" t="n">
        <v>2024</v>
      </c>
    </row>
    <row r="122" ht="15" customHeight="1" s="24">
      <c r="A122" s="27" t="n">
        <v>19721</v>
      </c>
      <c r="B122" s="27" t="n">
        <v>274915</v>
      </c>
      <c r="C122" s="27" t="n">
        <v>4</v>
      </c>
      <c r="D122" s="41" t="n">
        <v>45428.13756601851</v>
      </c>
      <c r="E122" s="27" t="inlineStr">
        <is>
          <t>Changed mind</t>
        </is>
      </c>
      <c r="F122" s="27" t="n">
        <v>4826.58</v>
      </c>
      <c r="G122" s="27" t="n">
        <v>428</v>
      </c>
      <c r="H122" s="27" t="inlineStr">
        <is>
          <t>05</t>
        </is>
      </c>
      <c r="I122" s="27" t="n">
        <v>2024</v>
      </c>
    </row>
    <row r="123" ht="15" customHeight="1" s="24">
      <c r="A123" s="27" t="n">
        <v>18963</v>
      </c>
      <c r="B123" s="27" t="n">
        <v>263979</v>
      </c>
      <c r="C123" s="27" t="n">
        <v>43</v>
      </c>
      <c r="D123" s="41" t="n">
        <v>45439.07943945602</v>
      </c>
      <c r="E123" s="27" t="inlineStr">
        <is>
          <t>Wrong size</t>
        </is>
      </c>
      <c r="F123" s="27" t="n">
        <v>184.62</v>
      </c>
      <c r="G123" s="27" t="n">
        <v>896</v>
      </c>
      <c r="H123" s="27" t="inlineStr">
        <is>
          <t>05</t>
        </is>
      </c>
      <c r="I123" s="27" t="n">
        <v>2024</v>
      </c>
    </row>
    <row r="124" ht="15" customHeight="1" s="24">
      <c r="A124" s="27" t="n">
        <v>20315</v>
      </c>
      <c r="B124" s="27" t="n">
        <v>282763</v>
      </c>
      <c r="C124" s="27" t="n">
        <v>1</v>
      </c>
      <c r="D124" s="41" t="n">
        <v>45442.55387114584</v>
      </c>
      <c r="E124" s="27" t="inlineStr">
        <is>
          <t>Defective product</t>
        </is>
      </c>
      <c r="F124" s="27" t="n">
        <v>298.12</v>
      </c>
      <c r="G124" s="27" t="n">
        <v>3945</v>
      </c>
      <c r="H124" s="27" t="inlineStr">
        <is>
          <t>05</t>
        </is>
      </c>
      <c r="I124" s="27" t="n">
        <v>2024</v>
      </c>
    </row>
    <row r="125" ht="15" customHeight="1" s="24">
      <c r="A125" s="27" t="n">
        <v>20687</v>
      </c>
      <c r="B125" s="27" t="n">
        <v>288273</v>
      </c>
      <c r="C125" s="27" t="n">
        <v>5</v>
      </c>
      <c r="D125" s="41" t="n">
        <v>45442.84576473379</v>
      </c>
      <c r="E125" s="27" t="inlineStr">
        <is>
          <t>Not as described</t>
        </is>
      </c>
      <c r="F125" s="27" t="n">
        <v>46.14</v>
      </c>
      <c r="G125" s="27" t="n">
        <v>3264</v>
      </c>
      <c r="H125" s="27" t="inlineStr">
        <is>
          <t>05</t>
        </is>
      </c>
      <c r="I125" s="27" t="n">
        <v>2024</v>
      </c>
    </row>
    <row r="126" ht="15" customHeight="1" s="24">
      <c r="A126" s="27" t="n">
        <v>19750</v>
      </c>
      <c r="B126" s="27" t="n">
        <v>275213</v>
      </c>
      <c r="C126" s="27" t="n">
        <v>8</v>
      </c>
      <c r="D126" s="41" t="n">
        <v>45446.01195143518</v>
      </c>
      <c r="E126" s="27" t="inlineStr">
        <is>
          <t>Wrong size</t>
        </is>
      </c>
      <c r="F126" s="27" t="n">
        <v>178.56</v>
      </c>
      <c r="G126" s="27" t="n">
        <v>3490</v>
      </c>
      <c r="H126" s="27" t="inlineStr">
        <is>
          <t>05</t>
        </is>
      </c>
      <c r="I126" s="27" t="n">
        <v>2024</v>
      </c>
    </row>
    <row r="127" ht="15" customHeight="1" s="24">
      <c r="A127" s="27" t="n">
        <v>19953</v>
      </c>
      <c r="B127" s="27" t="n">
        <v>278144</v>
      </c>
      <c r="C127" s="27" t="n">
        <v>1</v>
      </c>
      <c r="D127" s="41" t="n">
        <v>45447.0717641088</v>
      </c>
      <c r="E127" s="27" t="inlineStr">
        <is>
          <t>Wrong size</t>
        </is>
      </c>
      <c r="F127" s="27" t="n">
        <v>200.87</v>
      </c>
      <c r="G127" s="27" t="n">
        <v>2793</v>
      </c>
      <c r="H127" s="27" t="inlineStr">
        <is>
          <t>05</t>
        </is>
      </c>
      <c r="I127" s="27" t="n">
        <v>2024</v>
      </c>
    </row>
    <row r="128" ht="15" customHeight="1" s="24">
      <c r="A128" s="27" t="n">
        <v>21267</v>
      </c>
      <c r="B128" s="27" t="n">
        <v>296769</v>
      </c>
      <c r="C128" s="27" t="n">
        <v>1</v>
      </c>
      <c r="D128" s="41" t="n">
        <v>45449.36416837963</v>
      </c>
      <c r="E128" s="27" t="inlineStr">
        <is>
          <t>Wrong item shipped</t>
        </is>
      </c>
      <c r="F128" s="27" t="n">
        <v>468.6</v>
      </c>
      <c r="G128" s="27" t="n">
        <v>2021</v>
      </c>
      <c r="H128" s="27" t="inlineStr">
        <is>
          <t>06</t>
        </is>
      </c>
      <c r="I128" s="27" t="n">
        <v>2024</v>
      </c>
    </row>
    <row r="129" ht="15" customHeight="1" s="24">
      <c r="A129" s="27" t="n">
        <v>20375</v>
      </c>
      <c r="B129" s="27" t="n">
        <v>283654</v>
      </c>
      <c r="C129" s="27" t="n">
        <v>2</v>
      </c>
      <c r="D129" s="41" t="n">
        <v>45449.80281962963</v>
      </c>
      <c r="E129" s="27" t="inlineStr">
        <is>
          <t>Wrong item shipped</t>
        </is>
      </c>
      <c r="F129" s="27" t="n">
        <v>328.49</v>
      </c>
      <c r="G129" s="27" t="n">
        <v>3299</v>
      </c>
      <c r="H129" s="27" t="inlineStr">
        <is>
          <t>05</t>
        </is>
      </c>
      <c r="I129" s="27" t="n">
        <v>2024</v>
      </c>
    </row>
    <row r="130" ht="15" customHeight="1" s="24">
      <c r="A130" s="27" t="n">
        <v>22516</v>
      </c>
      <c r="B130" s="27" t="n">
        <v>313481</v>
      </c>
      <c r="C130" s="27" t="n">
        <v>130</v>
      </c>
      <c r="D130" s="41" t="n">
        <v>45451.7449666088</v>
      </c>
      <c r="E130" s="27" t="inlineStr">
        <is>
          <t>Item damaged</t>
        </is>
      </c>
      <c r="F130" s="27" t="n">
        <v>371.78</v>
      </c>
      <c r="G130" s="27" t="n">
        <v>1989</v>
      </c>
      <c r="H130" s="27" t="inlineStr">
        <is>
          <t>06</t>
        </is>
      </c>
      <c r="I130" s="27" t="n">
        <v>2024</v>
      </c>
    </row>
    <row r="131" ht="15" customHeight="1" s="24">
      <c r="A131" s="27" t="n">
        <v>20084</v>
      </c>
      <c r="B131" s="27" t="n">
        <v>279696</v>
      </c>
      <c r="C131" s="27" t="n">
        <v>5</v>
      </c>
      <c r="D131" s="41" t="n">
        <v>45452.71794585648</v>
      </c>
      <c r="E131" s="27" t="inlineStr">
        <is>
          <t>Wrong item shipped</t>
        </is>
      </c>
      <c r="F131" s="27" t="n">
        <v>285.95</v>
      </c>
      <c r="G131" s="27" t="n">
        <v>2012</v>
      </c>
      <c r="H131" s="27" t="inlineStr">
        <is>
          <t>05</t>
        </is>
      </c>
      <c r="I131" s="27" t="n">
        <v>2024</v>
      </c>
    </row>
    <row r="132" ht="15" customHeight="1" s="24">
      <c r="A132" s="27" t="n">
        <v>21499</v>
      </c>
      <c r="B132" s="27" t="n">
        <v>300121</v>
      </c>
      <c r="C132" s="27" t="n">
        <v>145</v>
      </c>
      <c r="D132" s="41" t="n">
        <v>45455.59128331018</v>
      </c>
      <c r="E132" s="27" t="inlineStr">
        <is>
          <t>Not as described</t>
        </is>
      </c>
      <c r="F132" s="27" t="n">
        <v>84.36</v>
      </c>
      <c r="G132" s="27" t="n">
        <v>2667</v>
      </c>
      <c r="H132" s="27" t="inlineStr">
        <is>
          <t>06</t>
        </is>
      </c>
      <c r="I132" s="27" t="n">
        <v>2024</v>
      </c>
    </row>
    <row r="133" ht="15" customHeight="1" s="24">
      <c r="A133" s="27" t="n">
        <v>21524</v>
      </c>
      <c r="B133" s="27" t="n">
        <v>300567</v>
      </c>
      <c r="C133" s="27" t="n">
        <v>5</v>
      </c>
      <c r="D133" s="41" t="n">
        <v>45460.01816282408</v>
      </c>
      <c r="E133" s="27" t="inlineStr">
        <is>
          <t>Defective product</t>
        </is>
      </c>
      <c r="F133" s="27" t="n">
        <v>295.94</v>
      </c>
      <c r="G133" s="27" t="n">
        <v>993</v>
      </c>
      <c r="H133" s="27" t="inlineStr">
        <is>
          <t>06</t>
        </is>
      </c>
      <c r="I133" s="27" t="n">
        <v>2024</v>
      </c>
    </row>
    <row r="134" ht="15" customHeight="1" s="24">
      <c r="A134" s="27" t="n">
        <v>22327</v>
      </c>
      <c r="B134" s="27" t="n">
        <v>311041</v>
      </c>
      <c r="C134" s="27" t="n">
        <v>26</v>
      </c>
      <c r="D134" s="41" t="n">
        <v>45465.31227784722</v>
      </c>
      <c r="E134" s="27" t="inlineStr">
        <is>
          <t>Wrong size</t>
        </is>
      </c>
      <c r="F134" s="27" t="n">
        <v>502.38</v>
      </c>
      <c r="G134" s="27" t="n">
        <v>450</v>
      </c>
      <c r="H134" s="27" t="inlineStr">
        <is>
          <t>06</t>
        </is>
      </c>
      <c r="I134" s="27" t="n">
        <v>2024</v>
      </c>
    </row>
    <row r="135" ht="15" customHeight="1" s="24">
      <c r="A135" s="27" t="n">
        <v>22222</v>
      </c>
      <c r="B135" s="27" t="n">
        <v>309749</v>
      </c>
      <c r="C135" s="27" t="n">
        <v>1</v>
      </c>
      <c r="D135" s="41" t="n">
        <v>45468.26379869213</v>
      </c>
      <c r="E135" s="27" t="inlineStr">
        <is>
          <t>Wrong size</t>
        </is>
      </c>
      <c r="F135" s="27" t="n">
        <v>142.34</v>
      </c>
      <c r="G135" s="27" t="n">
        <v>3952</v>
      </c>
      <c r="H135" s="27" t="inlineStr">
        <is>
          <t>06</t>
        </is>
      </c>
      <c r="I135" s="27" t="n">
        <v>2024</v>
      </c>
    </row>
    <row r="136" ht="15" customHeight="1" s="24">
      <c r="A136" s="27" t="n">
        <v>21996</v>
      </c>
      <c r="B136" s="27" t="n">
        <v>306936</v>
      </c>
      <c r="C136" s="27" t="n">
        <v>4</v>
      </c>
      <c r="D136" s="41" t="n">
        <v>45470.97246225694</v>
      </c>
      <c r="E136" s="27" t="inlineStr">
        <is>
          <t>Changed mind</t>
        </is>
      </c>
      <c r="F136" s="27" t="n">
        <v>691.35</v>
      </c>
      <c r="G136" s="27" t="n">
        <v>2407</v>
      </c>
      <c r="H136" s="27" t="inlineStr">
        <is>
          <t>06</t>
        </is>
      </c>
      <c r="I136" s="27" t="n">
        <v>2024</v>
      </c>
    </row>
    <row r="137" ht="15" customHeight="1" s="24">
      <c r="A137" s="27" t="n">
        <v>21016</v>
      </c>
      <c r="B137" s="27" t="n">
        <v>292741</v>
      </c>
      <c r="C137" s="27" t="n">
        <v>4</v>
      </c>
      <c r="D137" s="41" t="n">
        <v>45471.75689449074</v>
      </c>
      <c r="E137" s="27" t="inlineStr">
        <is>
          <t>Wrong size</t>
        </is>
      </c>
      <c r="F137" s="27" t="n">
        <v>1120.99</v>
      </c>
      <c r="G137" s="27" t="n">
        <v>3715</v>
      </c>
      <c r="H137" s="27" t="inlineStr">
        <is>
          <t>06</t>
        </is>
      </c>
      <c r="I137" s="27" t="n">
        <v>2024</v>
      </c>
    </row>
    <row r="138" ht="15" customHeight="1" s="24">
      <c r="A138" s="27" t="n">
        <v>21024</v>
      </c>
      <c r="B138" s="27" t="n">
        <v>292895</v>
      </c>
      <c r="C138" s="27" t="n">
        <v>1</v>
      </c>
      <c r="D138" s="41" t="n">
        <v>45474.59428024306</v>
      </c>
      <c r="E138" s="27" t="inlineStr">
        <is>
          <t>Changed mind</t>
        </is>
      </c>
      <c r="F138" s="27" t="n">
        <v>856.35</v>
      </c>
      <c r="G138" s="27" t="n">
        <v>827</v>
      </c>
      <c r="H138" s="27" t="inlineStr">
        <is>
          <t>06</t>
        </is>
      </c>
      <c r="I138" s="27" t="n">
        <v>2024</v>
      </c>
    </row>
    <row r="139" ht="15" customHeight="1" s="24">
      <c r="A139" s="27" t="n">
        <v>23876</v>
      </c>
      <c r="B139" s="27" t="n">
        <v>332058</v>
      </c>
      <c r="C139" s="27" t="n">
        <v>6</v>
      </c>
      <c r="D139" s="41" t="n">
        <v>45479.48348706018</v>
      </c>
      <c r="E139" s="27" t="inlineStr">
        <is>
          <t>Better price elsewhere</t>
        </is>
      </c>
      <c r="F139" s="27" t="n">
        <v>103.37</v>
      </c>
      <c r="G139" s="27" t="n">
        <v>846</v>
      </c>
      <c r="H139" s="27" t="inlineStr">
        <is>
          <t>07</t>
        </is>
      </c>
      <c r="I139" s="27" t="n">
        <v>2024</v>
      </c>
    </row>
    <row r="140" ht="15" customHeight="1" s="24">
      <c r="A140" s="27" t="n">
        <v>21127</v>
      </c>
      <c r="B140" s="27" t="n">
        <v>294495</v>
      </c>
      <c r="C140" s="27" t="n">
        <v>1</v>
      </c>
      <c r="D140" s="41" t="n">
        <v>45480.34036065972</v>
      </c>
      <c r="E140" s="27" t="inlineStr">
        <is>
          <t>Wrong size</t>
        </is>
      </c>
      <c r="F140" s="27" t="n">
        <v>218.34</v>
      </c>
      <c r="G140" s="27" t="n">
        <v>719</v>
      </c>
      <c r="H140" s="27" t="inlineStr">
        <is>
          <t>06</t>
        </is>
      </c>
      <c r="I140" s="27" t="n">
        <v>2024</v>
      </c>
    </row>
    <row r="141" ht="15" customHeight="1" s="24">
      <c r="A141" s="27" t="n">
        <v>24384</v>
      </c>
      <c r="B141" s="27" t="n">
        <v>339919</v>
      </c>
      <c r="C141" s="27" t="n">
        <v>15</v>
      </c>
      <c r="D141" s="41" t="n">
        <v>45481.36218979167</v>
      </c>
      <c r="E141" s="27" t="inlineStr">
        <is>
          <t>Wrong size</t>
        </is>
      </c>
      <c r="F141" s="27" t="n">
        <v>1240.23</v>
      </c>
      <c r="G141" s="27" t="n">
        <v>3589</v>
      </c>
      <c r="H141" s="27" t="inlineStr">
        <is>
          <t>07</t>
        </is>
      </c>
      <c r="I141" s="27" t="n">
        <v>2024</v>
      </c>
    </row>
    <row r="142" ht="15" customHeight="1" s="24">
      <c r="A142" s="27" t="n">
        <v>21795</v>
      </c>
      <c r="B142" s="27" t="n">
        <v>304212</v>
      </c>
      <c r="C142" s="27" t="n">
        <v>1</v>
      </c>
      <c r="D142" s="41" t="n">
        <v>45484.896431875</v>
      </c>
      <c r="E142" s="27" t="inlineStr">
        <is>
          <t>Wrong size</t>
        </is>
      </c>
      <c r="F142" s="27" t="n">
        <v>757.42</v>
      </c>
      <c r="G142" s="27" t="n">
        <v>203</v>
      </c>
      <c r="H142" s="27" t="inlineStr">
        <is>
          <t>06</t>
        </is>
      </c>
      <c r="I142" s="27" t="n">
        <v>2024</v>
      </c>
    </row>
    <row r="143" ht="15" customHeight="1" s="24">
      <c r="A143" s="27" t="n">
        <v>24174</v>
      </c>
      <c r="B143" s="27" t="n">
        <v>336691</v>
      </c>
      <c r="C143" s="27" t="n">
        <v>8</v>
      </c>
      <c r="D143" s="41" t="n">
        <v>45485.52614671296</v>
      </c>
      <c r="E143" s="27" t="inlineStr">
        <is>
          <t>Defective product</t>
        </is>
      </c>
      <c r="F143" s="27" t="n">
        <v>324.88</v>
      </c>
      <c r="G143" s="27" t="n">
        <v>3337</v>
      </c>
      <c r="H143" s="27" t="inlineStr">
        <is>
          <t>07</t>
        </is>
      </c>
      <c r="I143" s="27" t="n">
        <v>2024</v>
      </c>
    </row>
    <row r="144" ht="15" customHeight="1" s="24">
      <c r="A144" s="27" t="n">
        <v>23940</v>
      </c>
      <c r="B144" s="27" t="n">
        <v>333098</v>
      </c>
      <c r="C144" s="27" t="n">
        <v>1</v>
      </c>
      <c r="D144" s="41" t="n">
        <v>45487.69321565972</v>
      </c>
      <c r="E144" s="27" t="inlineStr">
        <is>
          <t>Wrong size</t>
        </is>
      </c>
      <c r="F144" s="27" t="n">
        <v>367.19</v>
      </c>
      <c r="G144" s="27" t="n">
        <v>1296</v>
      </c>
      <c r="H144" s="27" t="inlineStr">
        <is>
          <t>07</t>
        </is>
      </c>
      <c r="I144" s="27" t="n">
        <v>2024</v>
      </c>
    </row>
    <row r="145" ht="15" customHeight="1" s="24">
      <c r="A145" s="27" t="n">
        <v>24627</v>
      </c>
      <c r="B145" s="27" t="n">
        <v>343182</v>
      </c>
      <c r="C145" s="27" t="n">
        <v>128</v>
      </c>
      <c r="D145" s="41" t="n">
        <v>45491.69553746528</v>
      </c>
      <c r="E145" s="27" t="inlineStr">
        <is>
          <t>Arrived too late</t>
        </is>
      </c>
      <c r="F145" s="27" t="n">
        <v>44.99</v>
      </c>
      <c r="G145" s="27" t="n">
        <v>659</v>
      </c>
      <c r="H145" s="27" t="inlineStr">
        <is>
          <t>07</t>
        </is>
      </c>
      <c r="I145" s="27" t="n">
        <v>2024</v>
      </c>
    </row>
    <row r="146" ht="15" customHeight="1" s="24">
      <c r="A146" s="27" t="n">
        <v>24118</v>
      </c>
      <c r="B146" s="27" t="n">
        <v>335670</v>
      </c>
      <c r="C146" s="27" t="n">
        <v>4</v>
      </c>
      <c r="D146" s="41" t="n">
        <v>45494.94169178241</v>
      </c>
      <c r="E146" s="27" t="inlineStr">
        <is>
          <t>Defective product</t>
        </is>
      </c>
      <c r="F146" s="27" t="n">
        <v>102.49</v>
      </c>
      <c r="G146" s="27" t="n">
        <v>683</v>
      </c>
      <c r="H146" s="27" t="inlineStr">
        <is>
          <t>07</t>
        </is>
      </c>
      <c r="I146" s="27" t="n">
        <v>2024</v>
      </c>
    </row>
    <row r="147" ht="15" customHeight="1" s="24">
      <c r="A147" s="27" t="n">
        <v>24090</v>
      </c>
      <c r="B147" s="27" t="n">
        <v>335344</v>
      </c>
      <c r="C147" s="27" t="n">
        <v>76</v>
      </c>
      <c r="D147" s="41" t="n">
        <v>45499.47559857639</v>
      </c>
      <c r="E147" s="27" t="inlineStr">
        <is>
          <t>Better price elsewhere</t>
        </is>
      </c>
      <c r="F147" s="27" t="n">
        <v>88.31999999999999</v>
      </c>
      <c r="G147" s="27" t="n">
        <v>1513</v>
      </c>
      <c r="H147" s="27" t="inlineStr">
        <is>
          <t>07</t>
        </is>
      </c>
      <c r="I147" s="27" t="n">
        <v>2024</v>
      </c>
    </row>
    <row r="148" ht="15" customHeight="1" s="24">
      <c r="A148" s="27" t="n">
        <v>22963</v>
      </c>
      <c r="B148" s="27" t="n">
        <v>319545</v>
      </c>
      <c r="C148" s="27" t="n">
        <v>2</v>
      </c>
      <c r="D148" s="41" t="n">
        <v>45500.25922921296</v>
      </c>
      <c r="E148" s="27" t="inlineStr">
        <is>
          <t>Wrong size</t>
        </is>
      </c>
      <c r="F148" s="27" t="n">
        <v>1443.72</v>
      </c>
      <c r="G148" s="27" t="n">
        <v>377</v>
      </c>
      <c r="H148" s="27" t="inlineStr">
        <is>
          <t>07</t>
        </is>
      </c>
      <c r="I148" s="27" t="n">
        <v>2024</v>
      </c>
    </row>
    <row r="149" ht="15" customHeight="1" s="24">
      <c r="A149" s="27" t="n">
        <v>23987</v>
      </c>
      <c r="B149" s="27" t="n">
        <v>333754</v>
      </c>
      <c r="C149" s="27" t="n">
        <v>7</v>
      </c>
      <c r="D149" s="41" t="n">
        <v>45500.58792743056</v>
      </c>
      <c r="E149" s="27" t="inlineStr">
        <is>
          <t>Not as described</t>
        </is>
      </c>
      <c r="F149" s="27" t="n">
        <v>28.9</v>
      </c>
      <c r="G149" s="27" t="n">
        <v>1908</v>
      </c>
      <c r="H149" s="27" t="inlineStr">
        <is>
          <t>07</t>
        </is>
      </c>
      <c r="I149" s="27" t="n">
        <v>2024</v>
      </c>
    </row>
    <row r="150" ht="15" customHeight="1" s="24">
      <c r="A150" s="27" t="n">
        <v>23962</v>
      </c>
      <c r="B150" s="27" t="n">
        <v>333415</v>
      </c>
      <c r="C150" s="27" t="n">
        <v>1</v>
      </c>
      <c r="D150" s="41" t="n">
        <v>45501.31449635416</v>
      </c>
      <c r="E150" s="27" t="inlineStr">
        <is>
          <t>Not as described</t>
        </is>
      </c>
      <c r="F150" s="27" t="n">
        <v>49.71</v>
      </c>
      <c r="G150" s="27" t="n">
        <v>726</v>
      </c>
      <c r="H150" s="27" t="inlineStr">
        <is>
          <t>07</t>
        </is>
      </c>
      <c r="I150" s="27" t="n">
        <v>2024</v>
      </c>
    </row>
    <row r="151" ht="15" customHeight="1" s="24">
      <c r="A151" s="27" t="n">
        <v>22928</v>
      </c>
      <c r="B151" s="27" t="n">
        <v>319048</v>
      </c>
      <c r="C151" s="27" t="n">
        <v>12</v>
      </c>
      <c r="D151" s="41" t="n">
        <v>45501.60034707176</v>
      </c>
      <c r="E151" s="27" t="inlineStr">
        <is>
          <t>Not as described</t>
        </is>
      </c>
      <c r="F151" s="27" t="n">
        <v>272.25</v>
      </c>
      <c r="G151" s="27" t="n">
        <v>871</v>
      </c>
      <c r="H151" s="27" t="inlineStr">
        <is>
          <t>07</t>
        </is>
      </c>
      <c r="I151" s="27" t="n">
        <v>2024</v>
      </c>
    </row>
    <row r="152" ht="15" customHeight="1" s="24">
      <c r="A152" s="27" t="n">
        <v>23762</v>
      </c>
      <c r="B152" s="27" t="n">
        <v>330685</v>
      </c>
      <c r="C152" s="27" t="n">
        <v>4</v>
      </c>
      <c r="D152" s="41" t="n">
        <v>45502.99017543982</v>
      </c>
      <c r="E152" s="27" t="inlineStr">
        <is>
          <t>Changed mind</t>
        </is>
      </c>
      <c r="F152" s="27" t="n">
        <v>229.37</v>
      </c>
      <c r="G152" s="27" t="n">
        <v>2905</v>
      </c>
      <c r="H152" s="27" t="inlineStr">
        <is>
          <t>07</t>
        </is>
      </c>
      <c r="I152" s="27" t="n">
        <v>2024</v>
      </c>
    </row>
    <row r="153" ht="15" customHeight="1" s="24">
      <c r="A153" s="27" t="n">
        <v>22847</v>
      </c>
      <c r="B153" s="27" t="n">
        <v>317867</v>
      </c>
      <c r="C153" s="27" t="n">
        <v>4</v>
      </c>
      <c r="D153" s="41" t="n">
        <v>45505.12303243056</v>
      </c>
      <c r="E153" s="27" t="inlineStr">
        <is>
          <t>Wrong size</t>
        </is>
      </c>
      <c r="F153" s="27" t="n">
        <v>294.45</v>
      </c>
      <c r="G153" s="27" t="n">
        <v>2948</v>
      </c>
      <c r="H153" s="27" t="inlineStr">
        <is>
          <t>07</t>
        </is>
      </c>
      <c r="I153" s="27" t="n">
        <v>2024</v>
      </c>
    </row>
    <row r="154" ht="15" customHeight="1" s="24">
      <c r="A154" s="27" t="n">
        <v>24050</v>
      </c>
      <c r="B154" s="27" t="n">
        <v>334722</v>
      </c>
      <c r="C154" s="27" t="n">
        <v>5</v>
      </c>
      <c r="D154" s="41" t="n">
        <v>45507.88386149306</v>
      </c>
      <c r="E154" s="27" t="inlineStr">
        <is>
          <t>Not as described</t>
        </is>
      </c>
      <c r="F154" s="27" t="n">
        <v>266.67</v>
      </c>
      <c r="G154" s="27" t="n">
        <v>2686</v>
      </c>
      <c r="H154" s="27" t="inlineStr">
        <is>
          <t>07</t>
        </is>
      </c>
      <c r="I154" s="27" t="n">
        <v>2024</v>
      </c>
    </row>
    <row r="155" ht="15" customHeight="1" s="24">
      <c r="A155" s="27" t="n">
        <v>23706</v>
      </c>
      <c r="B155" s="27" t="n">
        <v>329914</v>
      </c>
      <c r="C155" s="27" t="n">
        <v>95</v>
      </c>
      <c r="D155" s="41" t="n">
        <v>45515.75850131945</v>
      </c>
      <c r="E155" s="27" t="inlineStr">
        <is>
          <t>Not as described</t>
        </is>
      </c>
      <c r="F155" s="27" t="n">
        <v>69.45999999999999</v>
      </c>
      <c r="G155" s="27" t="n">
        <v>2046</v>
      </c>
      <c r="H155" s="27" t="inlineStr">
        <is>
          <t>07</t>
        </is>
      </c>
      <c r="I155" s="27" t="n">
        <v>2024</v>
      </c>
    </row>
    <row r="156" ht="15" customHeight="1" s="24">
      <c r="A156" s="27" t="n">
        <v>25968</v>
      </c>
      <c r="B156" s="27" t="n">
        <v>361067</v>
      </c>
      <c r="C156" s="27" t="n">
        <v>1</v>
      </c>
      <c r="D156" s="41" t="n">
        <v>45517.54505564814</v>
      </c>
      <c r="E156" s="27" t="inlineStr">
        <is>
          <t>Arrived too late</t>
        </is>
      </c>
      <c r="F156" s="27" t="n">
        <v>37.43</v>
      </c>
      <c r="G156" s="27" t="n">
        <v>2947</v>
      </c>
      <c r="H156" s="27" t="inlineStr">
        <is>
          <t>08</t>
        </is>
      </c>
      <c r="I156" s="27" t="n">
        <v>2024</v>
      </c>
    </row>
    <row r="157" ht="15" customHeight="1" s="24">
      <c r="A157" s="27" t="n">
        <v>25031</v>
      </c>
      <c r="B157" s="27" t="n">
        <v>348668</v>
      </c>
      <c r="C157" s="27" t="n">
        <v>1</v>
      </c>
      <c r="D157" s="41" t="n">
        <v>45521.51504689814</v>
      </c>
      <c r="E157" s="27" t="inlineStr">
        <is>
          <t>Wrong size</t>
        </is>
      </c>
      <c r="F157" s="27" t="n">
        <v>487.74</v>
      </c>
      <c r="G157" s="27" t="n">
        <v>897</v>
      </c>
      <c r="H157" s="27" t="inlineStr">
        <is>
          <t>08</t>
        </is>
      </c>
      <c r="I157" s="27" t="n">
        <v>2024</v>
      </c>
    </row>
    <row r="158" ht="15" customHeight="1" s="24">
      <c r="A158" s="27" t="n">
        <v>25072</v>
      </c>
      <c r="B158" s="27" t="n">
        <v>349247</v>
      </c>
      <c r="C158" s="27" t="n">
        <v>6</v>
      </c>
      <c r="D158" s="41" t="n">
        <v>45521.89166910879</v>
      </c>
      <c r="E158" s="27" t="inlineStr">
        <is>
          <t>Not as described</t>
        </is>
      </c>
      <c r="F158" s="27" t="n">
        <v>92.31</v>
      </c>
      <c r="G158" s="27" t="n">
        <v>2214</v>
      </c>
      <c r="H158" s="27" t="inlineStr">
        <is>
          <t>08</t>
        </is>
      </c>
      <c r="I158" s="27" t="n">
        <v>2024</v>
      </c>
    </row>
    <row r="159" ht="15" customHeight="1" s="24">
      <c r="A159" s="27" t="n">
        <v>26481</v>
      </c>
      <c r="B159" s="27" t="n">
        <v>367828</v>
      </c>
      <c r="C159" s="27" t="n">
        <v>1</v>
      </c>
      <c r="D159" s="41" t="n">
        <v>45523.09950293982</v>
      </c>
      <c r="E159" s="27" t="inlineStr">
        <is>
          <t>Not as described</t>
        </is>
      </c>
      <c r="F159" s="27" t="n">
        <v>104.99</v>
      </c>
      <c r="G159" s="27" t="n">
        <v>3250</v>
      </c>
      <c r="H159" s="27" t="inlineStr">
        <is>
          <t>08</t>
        </is>
      </c>
      <c r="I159" s="27" t="n">
        <v>2024</v>
      </c>
    </row>
    <row r="160" ht="15" customHeight="1" s="24">
      <c r="A160" s="27" t="n">
        <v>25687</v>
      </c>
      <c r="B160" s="27" t="n">
        <v>357338</v>
      </c>
      <c r="C160" s="27" t="n">
        <v>77</v>
      </c>
      <c r="D160" s="41" t="n">
        <v>45527.29482365741</v>
      </c>
      <c r="E160" s="27" t="inlineStr">
        <is>
          <t>Defective product</t>
        </is>
      </c>
      <c r="F160" s="27" t="n">
        <v>237.64</v>
      </c>
      <c r="G160" s="27" t="n">
        <v>1711</v>
      </c>
      <c r="H160" s="27" t="inlineStr">
        <is>
          <t>08</t>
        </is>
      </c>
      <c r="I160" s="27" t="n">
        <v>2024</v>
      </c>
    </row>
    <row r="161" ht="15" customHeight="1" s="24">
      <c r="A161" s="27" t="n">
        <v>25102</v>
      </c>
      <c r="B161" s="27" t="n">
        <v>349545</v>
      </c>
      <c r="C161" s="27" t="n">
        <v>1</v>
      </c>
      <c r="D161" s="41" t="n">
        <v>45531.64232853009</v>
      </c>
      <c r="E161" s="27" t="inlineStr">
        <is>
          <t>Wrong size</t>
        </is>
      </c>
      <c r="F161" s="27" t="n">
        <v>402.66</v>
      </c>
      <c r="G161" s="27" t="n">
        <v>1640</v>
      </c>
      <c r="H161" s="27" t="inlineStr">
        <is>
          <t>08</t>
        </is>
      </c>
      <c r="I161" s="27" t="n">
        <v>2024</v>
      </c>
    </row>
    <row r="162" ht="15" customHeight="1" s="24">
      <c r="A162" s="27" t="n">
        <v>24869</v>
      </c>
      <c r="B162" s="27" t="n">
        <v>346333</v>
      </c>
      <c r="C162" s="27" t="n">
        <v>6</v>
      </c>
      <c r="D162" s="41" t="n">
        <v>45532.02206089121</v>
      </c>
      <c r="E162" s="27" t="inlineStr">
        <is>
          <t>Defective product</t>
        </is>
      </c>
      <c r="F162" s="27" t="n">
        <v>1127.34</v>
      </c>
      <c r="G162" s="27" t="n">
        <v>3271</v>
      </c>
      <c r="H162" s="27" t="inlineStr">
        <is>
          <t>08</t>
        </is>
      </c>
      <c r="I162" s="27" t="n">
        <v>2024</v>
      </c>
    </row>
    <row r="163" ht="15" customHeight="1" s="24">
      <c r="A163" s="27" t="n">
        <v>26172</v>
      </c>
      <c r="B163" s="27" t="n">
        <v>363864</v>
      </c>
      <c r="C163" s="27" t="n">
        <v>1</v>
      </c>
      <c r="D163" s="41" t="n">
        <v>45535.43879894676</v>
      </c>
      <c r="E163" s="27" t="inlineStr">
        <is>
          <t>Wrong size</t>
        </is>
      </c>
      <c r="F163" s="27" t="n">
        <v>317.58</v>
      </c>
      <c r="G163" s="27" t="n">
        <v>221</v>
      </c>
      <c r="H163" s="27" t="inlineStr">
        <is>
          <t>08</t>
        </is>
      </c>
      <c r="I163" s="27" t="n">
        <v>2024</v>
      </c>
    </row>
    <row r="164" ht="15" customHeight="1" s="24">
      <c r="A164" s="27" t="n">
        <v>25916</v>
      </c>
      <c r="B164" s="27" t="n">
        <v>360387</v>
      </c>
      <c r="C164" s="27" t="n">
        <v>1</v>
      </c>
      <c r="D164" s="41" t="n">
        <v>45540.45820060185</v>
      </c>
      <c r="E164" s="27" t="inlineStr">
        <is>
          <t>Defective product</t>
        </is>
      </c>
      <c r="F164" s="27" t="n">
        <v>176.68</v>
      </c>
      <c r="G164" s="27" t="n">
        <v>2747</v>
      </c>
      <c r="H164" s="27" t="inlineStr">
        <is>
          <t>08</t>
        </is>
      </c>
      <c r="I164" s="27" t="n">
        <v>2024</v>
      </c>
    </row>
    <row r="165" ht="15" customHeight="1" s="24">
      <c r="A165" s="27" t="n">
        <v>26968</v>
      </c>
      <c r="B165" s="27" t="n">
        <v>375101</v>
      </c>
      <c r="C165" s="27" t="n">
        <v>1</v>
      </c>
      <c r="D165" s="41" t="n">
        <v>45541.68072981481</v>
      </c>
      <c r="E165" s="27" t="inlineStr">
        <is>
          <t>Item damaged</t>
        </is>
      </c>
      <c r="F165" s="27" t="n">
        <v>699.09</v>
      </c>
      <c r="G165" s="27" t="n">
        <v>1130</v>
      </c>
      <c r="H165" s="27" t="inlineStr">
        <is>
          <t>09</t>
        </is>
      </c>
      <c r="I165" s="27" t="n">
        <v>2024</v>
      </c>
    </row>
    <row r="166" ht="15" customHeight="1" s="24">
      <c r="A166" s="27" t="n">
        <v>28313</v>
      </c>
      <c r="B166" s="27" t="n">
        <v>393903</v>
      </c>
      <c r="C166" s="27" t="n">
        <v>6</v>
      </c>
      <c r="D166" s="41" t="n">
        <v>45550.26706067129</v>
      </c>
      <c r="E166" s="27" t="inlineStr">
        <is>
          <t>Not as described</t>
        </is>
      </c>
      <c r="F166" s="27" t="n">
        <v>135.51</v>
      </c>
      <c r="G166" s="27" t="n">
        <v>2686</v>
      </c>
      <c r="H166" s="27" t="inlineStr">
        <is>
          <t>09</t>
        </is>
      </c>
      <c r="I166" s="27" t="n">
        <v>2024</v>
      </c>
    </row>
    <row r="167" ht="15" customHeight="1" s="24">
      <c r="A167" s="27" t="n">
        <v>27126</v>
      </c>
      <c r="B167" s="27" t="n">
        <v>377288</v>
      </c>
      <c r="C167" s="27" t="n">
        <v>4</v>
      </c>
      <c r="D167" s="41" t="n">
        <v>45551.02727332176</v>
      </c>
      <c r="E167" s="27" t="inlineStr">
        <is>
          <t>Wrong size</t>
        </is>
      </c>
      <c r="F167" s="27" t="n">
        <v>105.7</v>
      </c>
      <c r="G167" s="27" t="n">
        <v>670</v>
      </c>
      <c r="H167" s="27" t="inlineStr">
        <is>
          <t>09</t>
        </is>
      </c>
      <c r="I167" s="27" t="n">
        <v>2024</v>
      </c>
    </row>
    <row r="168" ht="15" customHeight="1" s="24">
      <c r="A168" s="27" t="n">
        <v>28102</v>
      </c>
      <c r="B168" s="27" t="n">
        <v>390858</v>
      </c>
      <c r="C168" s="27" t="n">
        <v>1</v>
      </c>
      <c r="D168" s="41" t="n">
        <v>45552.10907942129</v>
      </c>
      <c r="E168" s="27" t="inlineStr">
        <is>
          <t>Item damaged</t>
        </is>
      </c>
      <c r="F168" s="27" t="n">
        <v>138.12</v>
      </c>
      <c r="G168" s="27" t="n">
        <v>3287</v>
      </c>
      <c r="H168" s="27" t="inlineStr">
        <is>
          <t>09</t>
        </is>
      </c>
      <c r="I168" s="27" t="n">
        <v>2024</v>
      </c>
    </row>
    <row r="169" ht="15" customHeight="1" s="24">
      <c r="A169" s="27" t="n">
        <v>28076</v>
      </c>
      <c r="B169" s="27" t="n">
        <v>390428</v>
      </c>
      <c r="C169" s="27" t="n">
        <v>79</v>
      </c>
      <c r="D169" s="41" t="n">
        <v>45555.39788903935</v>
      </c>
      <c r="E169" s="27" t="inlineStr">
        <is>
          <t>Defective product</t>
        </is>
      </c>
      <c r="F169" s="27" t="n">
        <v>268.27</v>
      </c>
      <c r="G169" s="27" t="n">
        <v>3841</v>
      </c>
      <c r="H169" s="27" t="inlineStr">
        <is>
          <t>09</t>
        </is>
      </c>
      <c r="I169" s="27" t="n">
        <v>2024</v>
      </c>
    </row>
    <row r="170" ht="15" customHeight="1" s="24">
      <c r="A170" s="27" t="n">
        <v>27106</v>
      </c>
      <c r="B170" s="27" t="n">
        <v>376863</v>
      </c>
      <c r="C170" s="27" t="n">
        <v>27</v>
      </c>
      <c r="D170" s="41" t="n">
        <v>45557.58345846065</v>
      </c>
      <c r="E170" s="27" t="inlineStr">
        <is>
          <t>Wrong size</t>
        </is>
      </c>
      <c r="F170" s="27" t="n">
        <v>49.01</v>
      </c>
      <c r="G170" s="27" t="n">
        <v>1951</v>
      </c>
      <c r="H170" s="27" t="inlineStr">
        <is>
          <t>09</t>
        </is>
      </c>
      <c r="I170" s="27" t="n">
        <v>2024</v>
      </c>
    </row>
    <row r="171" ht="15" customHeight="1" s="24">
      <c r="A171" s="27" t="n">
        <v>28051</v>
      </c>
      <c r="B171" s="27" t="n">
        <v>390026</v>
      </c>
      <c r="C171" s="27" t="n">
        <v>58</v>
      </c>
      <c r="D171" s="41" t="n">
        <v>45557.84434373843</v>
      </c>
      <c r="E171" s="27" t="inlineStr">
        <is>
          <t>Not as described</t>
        </is>
      </c>
      <c r="F171" s="27" t="n">
        <v>279.14</v>
      </c>
      <c r="G171" s="27" t="n">
        <v>2380</v>
      </c>
      <c r="H171" s="27" t="inlineStr">
        <is>
          <t>09</t>
        </is>
      </c>
      <c r="I171" s="27" t="n">
        <v>2024</v>
      </c>
    </row>
    <row r="172" ht="15" customHeight="1" s="24">
      <c r="A172" s="27" t="n">
        <v>27116</v>
      </c>
      <c r="B172" s="27" t="n">
        <v>377107</v>
      </c>
      <c r="C172" s="27" t="n">
        <v>1</v>
      </c>
      <c r="D172" s="41" t="n">
        <v>45557.91810420139</v>
      </c>
      <c r="E172" s="27" t="inlineStr">
        <is>
          <t>Item damaged</t>
        </is>
      </c>
      <c r="F172" s="27" t="n">
        <v>68.89</v>
      </c>
      <c r="G172" s="27" t="n">
        <v>2596</v>
      </c>
      <c r="H172" s="27" t="inlineStr">
        <is>
          <t>09</t>
        </is>
      </c>
      <c r="I172" s="27" t="n">
        <v>2024</v>
      </c>
    </row>
    <row r="173" ht="15" customHeight="1" s="24">
      <c r="A173" s="27" t="n">
        <v>28156</v>
      </c>
      <c r="B173" s="27" t="n">
        <v>391582</v>
      </c>
      <c r="C173" s="27" t="n">
        <v>1</v>
      </c>
      <c r="D173" s="41" t="n">
        <v>45559.92787209491</v>
      </c>
      <c r="E173" s="27" t="inlineStr">
        <is>
          <t>Changed mind</t>
        </is>
      </c>
      <c r="F173" s="27" t="n">
        <v>121.73</v>
      </c>
      <c r="G173" s="27" t="n">
        <v>1143</v>
      </c>
      <c r="H173" s="27" t="inlineStr">
        <is>
          <t>09</t>
        </is>
      </c>
      <c r="I173" s="27" t="n">
        <v>2024</v>
      </c>
    </row>
    <row r="174" ht="15" customHeight="1" s="24">
      <c r="A174" s="27" t="n">
        <v>27612</v>
      </c>
      <c r="B174" s="27" t="n">
        <v>383640</v>
      </c>
      <c r="C174" s="27" t="n">
        <v>26</v>
      </c>
      <c r="D174" s="41" t="n">
        <v>45564.78952454861</v>
      </c>
      <c r="E174" s="27" t="inlineStr">
        <is>
          <t>Item damaged</t>
        </is>
      </c>
      <c r="F174" s="27" t="n">
        <v>174.5</v>
      </c>
      <c r="G174" s="27" t="n">
        <v>3027</v>
      </c>
      <c r="H174" s="27" t="inlineStr">
        <is>
          <t>09</t>
        </is>
      </c>
      <c r="I174" s="27" t="n">
        <v>2024</v>
      </c>
    </row>
    <row r="175" ht="15" customHeight="1" s="24">
      <c r="A175" s="27" t="n">
        <v>28709</v>
      </c>
      <c r="B175" s="27" t="n">
        <v>399098</v>
      </c>
      <c r="C175" s="27" t="n">
        <v>6</v>
      </c>
      <c r="D175" s="41" t="n">
        <v>45567.95956689815</v>
      </c>
      <c r="E175" s="27" t="inlineStr">
        <is>
          <t>Not as described</t>
        </is>
      </c>
      <c r="F175" s="27" t="n">
        <v>52.28</v>
      </c>
      <c r="G175" s="27" t="n">
        <v>3906</v>
      </c>
      <c r="H175" s="27" t="inlineStr">
        <is>
          <t>09</t>
        </is>
      </c>
      <c r="I175" s="27" t="n">
        <v>2024</v>
      </c>
    </row>
    <row r="176" ht="15" customHeight="1" s="24">
      <c r="A176" s="27" t="n">
        <v>28113</v>
      </c>
      <c r="B176" s="27" t="n">
        <v>391062</v>
      </c>
      <c r="C176" s="27" t="n">
        <v>150</v>
      </c>
      <c r="D176" s="41" t="n">
        <v>45571.2054062963</v>
      </c>
      <c r="E176" s="27" t="inlineStr">
        <is>
          <t>Defective product</t>
        </is>
      </c>
      <c r="F176" s="27" t="n">
        <v>164.31</v>
      </c>
      <c r="G176" s="27" t="n">
        <v>3915</v>
      </c>
      <c r="H176" s="27" t="inlineStr">
        <is>
          <t>09</t>
        </is>
      </c>
      <c r="I176" s="27" t="n">
        <v>2024</v>
      </c>
    </row>
    <row r="177" ht="15" customHeight="1" s="24">
      <c r="A177" s="27" t="n">
        <v>30791</v>
      </c>
      <c r="B177" s="27" t="n">
        <v>428756</v>
      </c>
      <c r="C177" s="27" t="n">
        <v>51</v>
      </c>
      <c r="D177" s="41" t="n">
        <v>45571.87614457176</v>
      </c>
      <c r="E177" s="27" t="inlineStr">
        <is>
          <t>Wrong size</t>
        </is>
      </c>
      <c r="F177" s="27" t="n">
        <v>1136.85</v>
      </c>
      <c r="G177" s="27" t="n">
        <v>2464</v>
      </c>
      <c r="H177" s="27" t="inlineStr">
        <is>
          <t>10</t>
        </is>
      </c>
      <c r="I177" s="27" t="n">
        <v>2024</v>
      </c>
    </row>
    <row r="178" ht="15" customHeight="1" s="24">
      <c r="A178" s="27" t="n">
        <v>30506</v>
      </c>
      <c r="B178" s="27" t="n">
        <v>424803</v>
      </c>
      <c r="C178" s="27" t="n">
        <v>1</v>
      </c>
      <c r="D178" s="41" t="n">
        <v>45572.02087359954</v>
      </c>
      <c r="E178" s="27" t="inlineStr">
        <is>
          <t>Item damaged</t>
        </is>
      </c>
      <c r="F178" s="27" t="n">
        <v>161.56</v>
      </c>
      <c r="G178" s="27" t="n">
        <v>3942</v>
      </c>
      <c r="H178" s="27" t="inlineStr">
        <is>
          <t>10</t>
        </is>
      </c>
      <c r="I178" s="27" t="n">
        <v>2024</v>
      </c>
    </row>
    <row r="179" ht="15" customHeight="1" s="24">
      <c r="A179" s="27" t="n">
        <v>29849</v>
      </c>
      <c r="B179" s="27" t="n">
        <v>415330</v>
      </c>
      <c r="C179" s="27" t="n">
        <v>1</v>
      </c>
      <c r="D179" s="41" t="n">
        <v>45572.99429846065</v>
      </c>
      <c r="E179" s="27" t="inlineStr">
        <is>
          <t>Item damaged</t>
        </is>
      </c>
      <c r="F179" s="27" t="n">
        <v>308.92</v>
      </c>
      <c r="G179" s="27" t="n">
        <v>3569</v>
      </c>
      <c r="H179" s="27" t="inlineStr">
        <is>
          <t>10</t>
        </is>
      </c>
      <c r="I179" s="27" t="n">
        <v>2024</v>
      </c>
    </row>
    <row r="180" ht="15" customHeight="1" s="24">
      <c r="A180" s="27" t="n">
        <v>29295</v>
      </c>
      <c r="B180" s="27" t="n">
        <v>407435</v>
      </c>
      <c r="C180" s="27" t="n">
        <v>141</v>
      </c>
      <c r="D180" s="41" t="n">
        <v>45577.41187251158</v>
      </c>
      <c r="E180" s="27" t="inlineStr">
        <is>
          <t>Not as described</t>
        </is>
      </c>
      <c r="F180" s="27" t="n">
        <v>839.49</v>
      </c>
      <c r="G180" s="27" t="n">
        <v>3676</v>
      </c>
      <c r="H180" s="27" t="inlineStr">
        <is>
          <t>10</t>
        </is>
      </c>
      <c r="I180" s="27" t="n">
        <v>2024</v>
      </c>
    </row>
    <row r="181" ht="15" customHeight="1" s="24">
      <c r="A181" s="27" t="n">
        <v>30310</v>
      </c>
      <c r="B181" s="27" t="n">
        <v>421968</v>
      </c>
      <c r="C181" s="27" t="n">
        <v>18</v>
      </c>
      <c r="D181" s="41" t="n">
        <v>45590.49293303241</v>
      </c>
      <c r="E181" s="27" t="inlineStr">
        <is>
          <t>Better price elsewhere</t>
        </is>
      </c>
      <c r="F181" s="27" t="n">
        <v>108.54</v>
      </c>
      <c r="G181" s="27" t="n">
        <v>3056</v>
      </c>
      <c r="H181" s="27" t="inlineStr">
        <is>
          <t>10</t>
        </is>
      </c>
      <c r="I181" s="27" t="n">
        <v>2024</v>
      </c>
    </row>
    <row r="182" ht="15" customHeight="1" s="24">
      <c r="A182" s="27" t="n">
        <v>29532</v>
      </c>
      <c r="B182" s="27" t="n">
        <v>410717</v>
      </c>
      <c r="C182" s="27" t="n">
        <v>1</v>
      </c>
      <c r="D182" s="41" t="n">
        <v>45591.92458420139</v>
      </c>
      <c r="E182" s="27" t="inlineStr">
        <is>
          <t>Arrived too late</t>
        </is>
      </c>
      <c r="F182" s="27" t="n">
        <v>41.31</v>
      </c>
      <c r="G182" s="27" t="n">
        <v>1614</v>
      </c>
      <c r="H182" s="27" t="inlineStr">
        <is>
          <t>10</t>
        </is>
      </c>
      <c r="I182" s="27" t="n">
        <v>2024</v>
      </c>
    </row>
    <row r="183" ht="15" customHeight="1" s="24">
      <c r="A183" s="27" t="n">
        <v>30190</v>
      </c>
      <c r="B183" s="27" t="n">
        <v>420209</v>
      </c>
      <c r="C183" s="27" t="n">
        <v>8</v>
      </c>
      <c r="D183" s="41" t="n">
        <v>45593.00267924769</v>
      </c>
      <c r="E183" s="27" t="inlineStr">
        <is>
          <t>Wrong size</t>
        </is>
      </c>
      <c r="F183" s="27" t="n">
        <v>98.13</v>
      </c>
      <c r="G183" s="27" t="n">
        <v>3329</v>
      </c>
      <c r="H183" s="27" t="inlineStr">
        <is>
          <t>10</t>
        </is>
      </c>
      <c r="I183" s="27" t="n">
        <v>2024</v>
      </c>
    </row>
    <row r="184" ht="15" customHeight="1" s="24">
      <c r="A184" s="27" t="n">
        <v>30072</v>
      </c>
      <c r="B184" s="27" t="n">
        <v>418593</v>
      </c>
      <c r="C184" s="27" t="n">
        <v>5</v>
      </c>
      <c r="D184" s="41" t="n">
        <v>45593.450561875</v>
      </c>
      <c r="E184" s="27" t="inlineStr">
        <is>
          <t>Wrong size</t>
        </is>
      </c>
      <c r="F184" s="27" t="n">
        <v>325.43</v>
      </c>
      <c r="G184" s="27" t="n">
        <v>957</v>
      </c>
      <c r="H184" s="27" t="inlineStr">
        <is>
          <t>10</t>
        </is>
      </c>
      <c r="I184" s="27" t="n">
        <v>2024</v>
      </c>
    </row>
    <row r="185" ht="15" customHeight="1" s="24">
      <c r="A185" s="27" t="n">
        <v>30462</v>
      </c>
      <c r="B185" s="27" t="n">
        <v>424143</v>
      </c>
      <c r="C185" s="27" t="n">
        <v>31</v>
      </c>
      <c r="D185" s="41" t="n">
        <v>45595.82675796296</v>
      </c>
      <c r="E185" s="27" t="inlineStr">
        <is>
          <t>Item damaged</t>
        </is>
      </c>
      <c r="F185" s="27" t="n">
        <v>293.61</v>
      </c>
      <c r="G185" s="27" t="n">
        <v>2298</v>
      </c>
      <c r="H185" s="27" t="inlineStr">
        <is>
          <t>10</t>
        </is>
      </c>
      <c r="I185" s="27" t="n">
        <v>2024</v>
      </c>
    </row>
    <row r="186" ht="15" customHeight="1" s="24">
      <c r="A186" s="27" t="n">
        <v>29538</v>
      </c>
      <c r="B186" s="27" t="n">
        <v>410801</v>
      </c>
      <c r="C186" s="27" t="n">
        <v>4</v>
      </c>
      <c r="D186" s="41" t="n">
        <v>45598.83889378472</v>
      </c>
      <c r="E186" s="27" t="inlineStr">
        <is>
          <t>Wrong item shipped</t>
        </is>
      </c>
      <c r="F186" s="27" t="n">
        <v>182.08</v>
      </c>
      <c r="G186" s="27" t="n">
        <v>2445</v>
      </c>
      <c r="H186" s="27" t="inlineStr">
        <is>
          <t>10</t>
        </is>
      </c>
      <c r="I186" s="27" t="n">
        <v>2024</v>
      </c>
    </row>
    <row r="187" ht="15" customHeight="1" s="24">
      <c r="A187" s="27" t="n">
        <v>29672</v>
      </c>
      <c r="B187" s="27" t="n">
        <v>412700</v>
      </c>
      <c r="C187" s="27" t="n">
        <v>1</v>
      </c>
      <c r="D187" s="41" t="n">
        <v>45600.19365965278</v>
      </c>
      <c r="E187" s="27" t="inlineStr">
        <is>
          <t>Wrong item shipped</t>
        </is>
      </c>
      <c r="F187" s="27" t="n">
        <v>147.62</v>
      </c>
      <c r="G187" s="27" t="n">
        <v>392</v>
      </c>
      <c r="H187" s="27" t="inlineStr">
        <is>
          <t>10</t>
        </is>
      </c>
      <c r="I187" s="27" t="n">
        <v>2024</v>
      </c>
    </row>
    <row r="188" ht="15" customHeight="1" s="24">
      <c r="A188" s="27" t="n">
        <v>29240</v>
      </c>
      <c r="B188" s="27" t="n">
        <v>406544</v>
      </c>
      <c r="C188" s="27" t="n">
        <v>6</v>
      </c>
      <c r="D188" s="41" t="n">
        <v>45602.58314351852</v>
      </c>
      <c r="E188" s="27" t="inlineStr">
        <is>
          <t>Changed mind</t>
        </is>
      </c>
      <c r="F188" s="27" t="n">
        <v>258.53</v>
      </c>
      <c r="G188" s="27" t="n">
        <v>1861</v>
      </c>
      <c r="H188" s="27" t="inlineStr">
        <is>
          <t>10</t>
        </is>
      </c>
      <c r="I188" s="27" t="n">
        <v>2024</v>
      </c>
    </row>
    <row r="189" ht="15" customHeight="1" s="24">
      <c r="A189" s="27" t="n">
        <v>34354</v>
      </c>
      <c r="B189" s="27" t="n">
        <v>478318</v>
      </c>
      <c r="C189" s="27" t="n">
        <v>2</v>
      </c>
      <c r="D189" s="41" t="n">
        <v>45604.08198872685</v>
      </c>
      <c r="E189" s="27" t="inlineStr">
        <is>
          <t>Wrong size</t>
        </is>
      </c>
      <c r="F189" s="27" t="n">
        <v>192.81</v>
      </c>
      <c r="G189" s="27" t="n">
        <v>2531</v>
      </c>
      <c r="H189" s="27" t="inlineStr">
        <is>
          <t>11</t>
        </is>
      </c>
      <c r="I189" s="27" t="n">
        <v>2024</v>
      </c>
    </row>
    <row r="190" ht="15" customHeight="1" s="24">
      <c r="A190" s="27" t="n">
        <v>32753</v>
      </c>
      <c r="B190" s="27" t="n">
        <v>455708</v>
      </c>
      <c r="C190" s="27" t="n">
        <v>1</v>
      </c>
      <c r="D190" s="41" t="n">
        <v>45605.85067284722</v>
      </c>
      <c r="E190" s="27" t="inlineStr">
        <is>
          <t>Changed mind</t>
        </is>
      </c>
      <c r="F190" s="27" t="n">
        <v>462.65</v>
      </c>
      <c r="G190" s="27" t="n">
        <v>2584</v>
      </c>
      <c r="H190" s="27" t="inlineStr">
        <is>
          <t>11</t>
        </is>
      </c>
      <c r="I190" s="27" t="n">
        <v>2024</v>
      </c>
    </row>
    <row r="191" ht="15" customHeight="1" s="24">
      <c r="A191" s="27" t="n">
        <v>31519</v>
      </c>
      <c r="B191" s="27" t="n">
        <v>438825</v>
      </c>
      <c r="C191" s="27" t="n">
        <v>4</v>
      </c>
      <c r="D191" s="41" t="n">
        <v>45606.94674341435</v>
      </c>
      <c r="E191" s="27" t="inlineStr">
        <is>
          <t>Item damaged</t>
        </is>
      </c>
      <c r="F191" s="27" t="n">
        <v>276.59</v>
      </c>
      <c r="G191" s="27" t="n">
        <v>3224</v>
      </c>
      <c r="H191" s="27" t="inlineStr">
        <is>
          <t>11</t>
        </is>
      </c>
      <c r="I191" s="27" t="n">
        <v>2024</v>
      </c>
    </row>
    <row r="192" ht="15" customHeight="1" s="24">
      <c r="A192" s="27" t="n">
        <v>34884</v>
      </c>
      <c r="B192" s="27" t="n">
        <v>485208</v>
      </c>
      <c r="C192" s="27" t="n">
        <v>1</v>
      </c>
      <c r="D192" s="41" t="n">
        <v>45607.07382554398</v>
      </c>
      <c r="E192" s="27" t="inlineStr">
        <is>
          <t>Wrong size</t>
        </is>
      </c>
      <c r="F192" s="27" t="n">
        <v>105.43</v>
      </c>
      <c r="G192" s="27" t="n">
        <v>2617</v>
      </c>
      <c r="H192" s="27" t="inlineStr">
        <is>
          <t>11</t>
        </is>
      </c>
      <c r="I192" s="27" t="n">
        <v>2024</v>
      </c>
    </row>
    <row r="193" ht="15" customHeight="1" s="24">
      <c r="A193" s="27" t="n">
        <v>31463</v>
      </c>
      <c r="B193" s="27" t="n">
        <v>438147</v>
      </c>
      <c r="C193" s="27" t="n">
        <v>33</v>
      </c>
      <c r="D193" s="41" t="n">
        <v>45607.27187644676</v>
      </c>
      <c r="E193" s="27" t="inlineStr">
        <is>
          <t>Wrong size</t>
        </is>
      </c>
      <c r="F193" s="27" t="n">
        <v>160.5</v>
      </c>
      <c r="G193" s="27" t="n">
        <v>2260</v>
      </c>
      <c r="H193" s="27" t="inlineStr">
        <is>
          <t>11</t>
        </is>
      </c>
      <c r="I193" s="27" t="n">
        <v>2024</v>
      </c>
    </row>
    <row r="194" ht="15" customHeight="1" s="24">
      <c r="A194" s="27" t="n">
        <v>31275</v>
      </c>
      <c r="B194" s="27" t="n">
        <v>435501</v>
      </c>
      <c r="C194" s="27" t="n">
        <v>1</v>
      </c>
      <c r="D194" s="41" t="n">
        <v>45607.32956893519</v>
      </c>
      <c r="E194" s="27" t="inlineStr">
        <is>
          <t>Wrong size</t>
        </is>
      </c>
      <c r="F194" s="27" t="n">
        <v>88.70999999999999</v>
      </c>
      <c r="G194" s="27" t="n">
        <v>997</v>
      </c>
      <c r="H194" s="27" t="inlineStr">
        <is>
          <t>11</t>
        </is>
      </c>
      <c r="I194" s="27" t="n">
        <v>2024</v>
      </c>
    </row>
    <row r="195" ht="15" customHeight="1" s="24">
      <c r="A195" s="27" t="n">
        <v>31254</v>
      </c>
      <c r="B195" s="27" t="n">
        <v>435236</v>
      </c>
      <c r="C195" s="27" t="n">
        <v>1</v>
      </c>
      <c r="D195" s="41" t="n">
        <v>45608.54318582176</v>
      </c>
      <c r="E195" s="27" t="inlineStr">
        <is>
          <t>Item damaged</t>
        </is>
      </c>
      <c r="F195" s="27" t="n">
        <v>515.63</v>
      </c>
      <c r="G195" s="27" t="n">
        <v>3773</v>
      </c>
      <c r="H195" s="27" t="inlineStr">
        <is>
          <t>11</t>
        </is>
      </c>
      <c r="I195" s="27" t="n">
        <v>2024</v>
      </c>
    </row>
    <row r="196" ht="15" customHeight="1" s="24">
      <c r="A196" s="27" t="n">
        <v>34117</v>
      </c>
      <c r="B196" s="27" t="n">
        <v>474922</v>
      </c>
      <c r="C196" s="27" t="n">
        <v>1</v>
      </c>
      <c r="D196" s="41" t="n">
        <v>45608.75797989583</v>
      </c>
      <c r="E196" s="27" t="inlineStr">
        <is>
          <t>Wrong size</t>
        </is>
      </c>
      <c r="F196" s="27" t="n">
        <v>412.91</v>
      </c>
      <c r="G196" s="27" t="n">
        <v>888</v>
      </c>
      <c r="H196" s="27" t="inlineStr">
        <is>
          <t>11</t>
        </is>
      </c>
      <c r="I196" s="27" t="n">
        <v>2024</v>
      </c>
    </row>
    <row r="197" ht="15" customHeight="1" s="24">
      <c r="A197" s="27" t="n">
        <v>34851</v>
      </c>
      <c r="B197" s="27" t="n">
        <v>484873</v>
      </c>
      <c r="C197" s="27" t="n">
        <v>68</v>
      </c>
      <c r="D197" s="41" t="n">
        <v>45608.85992583333</v>
      </c>
      <c r="E197" s="27" t="inlineStr">
        <is>
          <t>Wrong size</t>
        </is>
      </c>
      <c r="F197" s="27" t="n">
        <v>205.53</v>
      </c>
      <c r="G197" s="27" t="n">
        <v>3736</v>
      </c>
      <c r="H197" s="27" t="inlineStr">
        <is>
          <t>11</t>
        </is>
      </c>
      <c r="I197" s="27" t="n">
        <v>2024</v>
      </c>
    </row>
    <row r="198" ht="15" customHeight="1" s="24">
      <c r="A198" s="27" t="n">
        <v>33896</v>
      </c>
      <c r="B198" s="27" t="n">
        <v>471649</v>
      </c>
      <c r="C198" s="27" t="n">
        <v>129</v>
      </c>
      <c r="D198" s="41" t="n">
        <v>45610.43844951389</v>
      </c>
      <c r="E198" s="27" t="inlineStr">
        <is>
          <t>Defective product</t>
        </is>
      </c>
      <c r="F198" s="27" t="n">
        <v>304.41</v>
      </c>
      <c r="G198" s="27" t="n">
        <v>778</v>
      </c>
      <c r="H198" s="27" t="inlineStr">
        <is>
          <t>11</t>
        </is>
      </c>
      <c r="I198" s="27" t="n">
        <v>2024</v>
      </c>
    </row>
    <row r="199" ht="15" customHeight="1" s="24">
      <c r="A199" s="27" t="n">
        <v>29340</v>
      </c>
      <c r="B199" s="27" t="n">
        <v>408043</v>
      </c>
      <c r="C199" s="27" t="n">
        <v>1</v>
      </c>
      <c r="D199" s="41" t="n">
        <v>45613.85495611111</v>
      </c>
      <c r="E199" s="27" t="inlineStr">
        <is>
          <t>Defective product</t>
        </is>
      </c>
      <c r="F199" s="27" t="n">
        <v>943.58</v>
      </c>
      <c r="G199" s="27" t="n">
        <v>2875</v>
      </c>
      <c r="H199" s="27" t="inlineStr">
        <is>
          <t>10</t>
        </is>
      </c>
      <c r="I199" s="27" t="n">
        <v>2024</v>
      </c>
    </row>
    <row r="200" ht="15" customHeight="1" s="24">
      <c r="A200" s="27" t="n">
        <v>31578</v>
      </c>
      <c r="B200" s="27" t="n">
        <v>439619</v>
      </c>
      <c r="C200" s="27" t="n">
        <v>18</v>
      </c>
      <c r="D200" s="41" t="n">
        <v>45615.20854351852</v>
      </c>
      <c r="E200" s="27" t="inlineStr">
        <is>
          <t>Changed mind</t>
        </is>
      </c>
      <c r="F200" s="27" t="n">
        <v>236.7</v>
      </c>
      <c r="G200" s="27" t="n">
        <v>2745</v>
      </c>
      <c r="H200" s="27" t="inlineStr">
        <is>
          <t>11</t>
        </is>
      </c>
      <c r="I200" s="27" t="n">
        <v>2024</v>
      </c>
    </row>
    <row r="201" ht="15" customHeight="1" s="24">
      <c r="A201" s="27" t="n">
        <v>31740</v>
      </c>
      <c r="B201" s="27" t="n">
        <v>441881</v>
      </c>
      <c r="C201" s="27" t="n">
        <v>112</v>
      </c>
      <c r="D201" s="41" t="n">
        <v>45615.47370177083</v>
      </c>
      <c r="E201" s="27" t="inlineStr">
        <is>
          <t>Item damaged</t>
        </is>
      </c>
      <c r="F201" s="27" t="n">
        <v>301.04</v>
      </c>
      <c r="G201" s="27" t="n">
        <v>2386</v>
      </c>
      <c r="H201" s="27" t="inlineStr">
        <is>
          <t>11</t>
        </is>
      </c>
      <c r="I201" s="27" t="n">
        <v>2024</v>
      </c>
    </row>
    <row r="202" ht="15" customHeight="1" s="24">
      <c r="A202" s="27" t="n">
        <v>31784</v>
      </c>
      <c r="B202" s="27" t="n">
        <v>442430</v>
      </c>
      <c r="C202" s="27" t="n">
        <v>6</v>
      </c>
      <c r="D202" s="41" t="n">
        <v>45615.91850207176</v>
      </c>
      <c r="E202" s="27" t="inlineStr">
        <is>
          <t>Defective product</t>
        </is>
      </c>
      <c r="F202" s="27" t="n">
        <v>657.16</v>
      </c>
      <c r="G202" s="27" t="n">
        <v>867</v>
      </c>
      <c r="H202" s="27" t="inlineStr">
        <is>
          <t>11</t>
        </is>
      </c>
      <c r="I202" s="27" t="n">
        <v>2024</v>
      </c>
    </row>
    <row r="203" ht="15" customHeight="1" s="24">
      <c r="A203" s="27" t="n">
        <v>33423</v>
      </c>
      <c r="B203" s="27" t="n">
        <v>464987</v>
      </c>
      <c r="C203" s="27" t="n">
        <v>1</v>
      </c>
      <c r="D203" s="41" t="n">
        <v>45618.61592863426</v>
      </c>
      <c r="E203" s="27" t="inlineStr">
        <is>
          <t>Not as described</t>
        </is>
      </c>
      <c r="F203" s="27" t="n">
        <v>125.24</v>
      </c>
      <c r="G203" s="27" t="n">
        <v>3025</v>
      </c>
      <c r="H203" s="27" t="inlineStr">
        <is>
          <t>11</t>
        </is>
      </c>
      <c r="I203" s="27" t="n">
        <v>2024</v>
      </c>
    </row>
    <row r="204" ht="15" customHeight="1" s="24">
      <c r="A204" s="27" t="n">
        <v>34113</v>
      </c>
      <c r="B204" s="27" t="n">
        <v>474875</v>
      </c>
      <c r="C204" s="27" t="n">
        <v>2</v>
      </c>
      <c r="D204" s="41" t="n">
        <v>45619.10551657408</v>
      </c>
      <c r="E204" s="27" t="inlineStr">
        <is>
          <t>Wrong size</t>
        </is>
      </c>
      <c r="F204" s="27" t="n">
        <v>97.56</v>
      </c>
      <c r="G204" s="27" t="n">
        <v>1156</v>
      </c>
      <c r="H204" s="27" t="inlineStr">
        <is>
          <t>11</t>
        </is>
      </c>
      <c r="I204" s="27" t="n">
        <v>2024</v>
      </c>
    </row>
    <row r="205" ht="15" customHeight="1" s="24">
      <c r="A205" s="27" t="n">
        <v>34768</v>
      </c>
      <c r="B205" s="27" t="n">
        <v>483873</v>
      </c>
      <c r="C205" s="27" t="n">
        <v>2</v>
      </c>
      <c r="D205" s="41" t="n">
        <v>45621.35242966435</v>
      </c>
      <c r="E205" s="27" t="inlineStr">
        <is>
          <t>Wrong size</t>
        </is>
      </c>
      <c r="F205" s="27" t="n">
        <v>151.96</v>
      </c>
      <c r="G205" s="27" t="n">
        <v>2331</v>
      </c>
      <c r="H205" s="27" t="inlineStr">
        <is>
          <t>11</t>
        </is>
      </c>
      <c r="I205" s="27" t="n">
        <v>2024</v>
      </c>
    </row>
    <row r="206" ht="15" customHeight="1" s="24">
      <c r="A206" s="27" t="n">
        <v>32064</v>
      </c>
      <c r="B206" s="27" t="n">
        <v>446509</v>
      </c>
      <c r="C206" s="27" t="n">
        <v>6</v>
      </c>
      <c r="D206" s="41" t="n">
        <v>45622.78611555556</v>
      </c>
      <c r="E206" s="27" t="inlineStr">
        <is>
          <t>Arrived too late</t>
        </is>
      </c>
      <c r="F206" s="27" t="n">
        <v>567.27</v>
      </c>
      <c r="G206" s="27" t="n">
        <v>2390</v>
      </c>
      <c r="H206" s="27" t="inlineStr">
        <is>
          <t>11</t>
        </is>
      </c>
      <c r="I206" s="27" t="n">
        <v>2024</v>
      </c>
    </row>
    <row r="207" ht="15" customHeight="1" s="24">
      <c r="A207" s="27" t="n">
        <v>31301</v>
      </c>
      <c r="B207" s="27" t="n">
        <v>435947</v>
      </c>
      <c r="C207" s="27" t="n">
        <v>1</v>
      </c>
      <c r="D207" s="41" t="n">
        <v>45623.8153266088</v>
      </c>
      <c r="E207" s="27" t="inlineStr">
        <is>
          <t>Wrong size</t>
        </is>
      </c>
      <c r="F207" s="27" t="n">
        <v>132.89</v>
      </c>
      <c r="G207" s="27" t="n">
        <v>2048</v>
      </c>
      <c r="H207" s="27" t="inlineStr">
        <is>
          <t>11</t>
        </is>
      </c>
      <c r="I207" s="27" t="n">
        <v>2024</v>
      </c>
    </row>
    <row r="208" ht="15" customHeight="1" s="24">
      <c r="A208" s="27" t="n">
        <v>34184</v>
      </c>
      <c r="B208" s="27" t="n">
        <v>475913</v>
      </c>
      <c r="C208" s="27" t="n">
        <v>1</v>
      </c>
      <c r="D208" s="41" t="n">
        <v>45624.01430430556</v>
      </c>
      <c r="E208" s="27" t="inlineStr">
        <is>
          <t>Arrived too late</t>
        </is>
      </c>
      <c r="F208" s="27" t="n">
        <v>242.49</v>
      </c>
      <c r="G208" s="27" t="n">
        <v>2959</v>
      </c>
      <c r="H208" s="27" t="inlineStr">
        <is>
          <t>11</t>
        </is>
      </c>
      <c r="I208" s="27" t="n">
        <v>2024</v>
      </c>
    </row>
    <row r="209" ht="15" customHeight="1" s="24">
      <c r="A209" s="27" t="n">
        <v>32959</v>
      </c>
      <c r="B209" s="27" t="n">
        <v>458649</v>
      </c>
      <c r="C209" s="27" t="n">
        <v>141</v>
      </c>
      <c r="D209" s="41" t="n">
        <v>45624.06195127315</v>
      </c>
      <c r="E209" s="27" t="inlineStr">
        <is>
          <t>Wrong item shipped</t>
        </is>
      </c>
      <c r="F209" s="27" t="n">
        <v>42.86</v>
      </c>
      <c r="G209" s="27" t="n">
        <v>2190</v>
      </c>
      <c r="H209" s="27" t="inlineStr">
        <is>
          <t>11</t>
        </is>
      </c>
      <c r="I209" s="27" t="n">
        <v>2024</v>
      </c>
    </row>
    <row r="210" ht="15" customHeight="1" s="24">
      <c r="A210" s="27" t="n">
        <v>33228</v>
      </c>
      <c r="B210" s="27" t="n">
        <v>462421</v>
      </c>
      <c r="C210" s="27" t="n">
        <v>3</v>
      </c>
      <c r="D210" s="41" t="n">
        <v>45624.6305356713</v>
      </c>
      <c r="E210" s="27" t="inlineStr">
        <is>
          <t>Wrong size</t>
        </is>
      </c>
      <c r="F210" s="27" t="n">
        <v>917.45</v>
      </c>
      <c r="G210" s="27" t="n">
        <v>1179</v>
      </c>
      <c r="H210" s="27" t="inlineStr">
        <is>
          <t>11</t>
        </is>
      </c>
      <c r="I210" s="27" t="n">
        <v>2024</v>
      </c>
    </row>
    <row r="211" ht="15" customHeight="1" s="24">
      <c r="A211" s="27" t="n">
        <v>34393</v>
      </c>
      <c r="B211" s="27" t="n">
        <v>478776</v>
      </c>
      <c r="C211" s="27" t="n">
        <v>47</v>
      </c>
      <c r="D211" s="41" t="n">
        <v>45626.45232309028</v>
      </c>
      <c r="E211" s="27" t="inlineStr">
        <is>
          <t>Wrong size</t>
        </is>
      </c>
      <c r="F211" s="27" t="n">
        <v>321.56</v>
      </c>
      <c r="G211" s="27" t="n">
        <v>2334</v>
      </c>
      <c r="H211" s="27" t="inlineStr">
        <is>
          <t>11</t>
        </is>
      </c>
      <c r="I211" s="27" t="n">
        <v>2024</v>
      </c>
    </row>
    <row r="212" ht="15" customHeight="1" s="24">
      <c r="A212" s="27" t="n">
        <v>32139</v>
      </c>
      <c r="B212" s="27" t="n">
        <v>447518</v>
      </c>
      <c r="C212" s="27" t="n">
        <v>1</v>
      </c>
      <c r="D212" s="41" t="n">
        <v>45627.73417684028</v>
      </c>
      <c r="E212" s="27" t="inlineStr">
        <is>
          <t>Wrong item shipped</t>
        </is>
      </c>
      <c r="F212" s="27" t="n">
        <v>81.05</v>
      </c>
      <c r="G212" s="27" t="n">
        <v>1075</v>
      </c>
      <c r="H212" s="27" t="inlineStr">
        <is>
          <t>11</t>
        </is>
      </c>
      <c r="I212" s="27" t="n">
        <v>2024</v>
      </c>
    </row>
    <row r="213" ht="15" customHeight="1" s="24">
      <c r="A213" s="27" t="n">
        <v>33992</v>
      </c>
      <c r="B213" s="27" t="n">
        <v>473076</v>
      </c>
      <c r="C213" s="27" t="n">
        <v>47</v>
      </c>
      <c r="D213" s="41" t="n">
        <v>45628.34568331019</v>
      </c>
      <c r="E213" s="27" t="inlineStr">
        <is>
          <t>Not as described</t>
        </is>
      </c>
      <c r="F213" s="27" t="n">
        <v>61.11</v>
      </c>
      <c r="G213" s="27" t="n">
        <v>1672</v>
      </c>
      <c r="H213" s="27" t="inlineStr">
        <is>
          <t>11</t>
        </is>
      </c>
      <c r="I213" s="27" t="n">
        <v>2024</v>
      </c>
    </row>
    <row r="214" ht="15" customHeight="1" s="24">
      <c r="A214" s="27" t="n">
        <v>32514</v>
      </c>
      <c r="B214" s="27" t="n">
        <v>452444</v>
      </c>
      <c r="C214" s="27" t="n">
        <v>98</v>
      </c>
      <c r="D214" s="41" t="n">
        <v>45629.27006298611</v>
      </c>
      <c r="E214" s="27" t="inlineStr">
        <is>
          <t>Wrong item shipped</t>
        </is>
      </c>
      <c r="F214" s="27" t="n">
        <v>93.16</v>
      </c>
      <c r="G214" s="27" t="n">
        <v>2905</v>
      </c>
      <c r="H214" s="27" t="inlineStr">
        <is>
          <t>11</t>
        </is>
      </c>
      <c r="I214" s="27" t="n">
        <v>2024</v>
      </c>
    </row>
    <row r="215" ht="15" customHeight="1" s="24">
      <c r="A215" s="27" t="n">
        <v>32219</v>
      </c>
      <c r="B215" s="27" t="n">
        <v>448511</v>
      </c>
      <c r="C215" s="27" t="n">
        <v>19</v>
      </c>
      <c r="D215" s="41" t="n">
        <v>45634.20639265046</v>
      </c>
      <c r="E215" s="27" t="inlineStr">
        <is>
          <t>Item damaged</t>
        </is>
      </c>
      <c r="F215" s="27" t="n">
        <v>572.88</v>
      </c>
      <c r="G215" s="27" t="n">
        <v>2936</v>
      </c>
      <c r="H215" s="27" t="inlineStr">
        <is>
          <t>11</t>
        </is>
      </c>
      <c r="I215" s="27" t="n">
        <v>2024</v>
      </c>
    </row>
    <row r="216" ht="15" customHeight="1" s="24">
      <c r="A216" s="27" t="n">
        <v>33469</v>
      </c>
      <c r="B216" s="27" t="n">
        <v>465621</v>
      </c>
      <c r="C216" s="27" t="n">
        <v>2</v>
      </c>
      <c r="D216" s="41" t="n">
        <v>45634.41338211806</v>
      </c>
      <c r="E216" s="27" t="inlineStr">
        <is>
          <t>Changed mind</t>
        </is>
      </c>
      <c r="F216" s="27" t="n">
        <v>488.22</v>
      </c>
      <c r="G216" s="27" t="n">
        <v>229</v>
      </c>
      <c r="H216" s="27" t="inlineStr">
        <is>
          <t>11</t>
        </is>
      </c>
      <c r="I216" s="27" t="n">
        <v>2024</v>
      </c>
    </row>
    <row r="217" ht="15" customHeight="1" s="24">
      <c r="A217" s="27" t="n">
        <v>37717</v>
      </c>
      <c r="B217" s="27" t="n">
        <v>525303</v>
      </c>
      <c r="C217" s="27" t="n">
        <v>18</v>
      </c>
      <c r="D217" s="41" t="n">
        <v>45635.99384645833</v>
      </c>
      <c r="E217" s="27" t="inlineStr">
        <is>
          <t>Not as described</t>
        </is>
      </c>
      <c r="F217" s="27" t="n">
        <v>162.34</v>
      </c>
      <c r="G217" s="27" t="n">
        <v>3106</v>
      </c>
      <c r="H217" s="27" t="inlineStr">
        <is>
          <t>12</t>
        </is>
      </c>
      <c r="I217" s="27" t="n">
        <v>2024</v>
      </c>
    </row>
    <row r="218" ht="15" customHeight="1" s="24">
      <c r="A218" s="27" t="n">
        <v>37062</v>
      </c>
      <c r="B218" s="27" t="n">
        <v>516176</v>
      </c>
      <c r="C218" s="27" t="n">
        <v>1</v>
      </c>
      <c r="D218" s="41" t="n">
        <v>45637.6353216088</v>
      </c>
      <c r="E218" s="27" t="inlineStr">
        <is>
          <t>Wrong size</t>
        </is>
      </c>
      <c r="F218" s="27" t="n">
        <v>473.12</v>
      </c>
      <c r="G218" s="27" t="n">
        <v>206</v>
      </c>
      <c r="H218" s="27" t="inlineStr">
        <is>
          <t>12</t>
        </is>
      </c>
      <c r="I218" s="27" t="n">
        <v>2024</v>
      </c>
    </row>
    <row r="219" ht="15" customHeight="1" s="24">
      <c r="A219" s="27" t="n">
        <v>37457</v>
      </c>
      <c r="B219" s="27" t="n">
        <v>521366</v>
      </c>
      <c r="C219" s="27" t="n">
        <v>4</v>
      </c>
      <c r="D219" s="41" t="n">
        <v>45637.79639306713</v>
      </c>
      <c r="E219" s="27" t="inlineStr">
        <is>
          <t>Better price elsewhere</t>
        </is>
      </c>
      <c r="F219" s="27" t="n">
        <v>500.63</v>
      </c>
      <c r="G219" s="27" t="n">
        <v>1150</v>
      </c>
      <c r="H219" s="27" t="inlineStr">
        <is>
          <t>12</t>
        </is>
      </c>
      <c r="I219" s="27" t="n">
        <v>2024</v>
      </c>
    </row>
    <row r="220" ht="15" customHeight="1" s="24">
      <c r="A220" s="27" t="n">
        <v>35265</v>
      </c>
      <c r="B220" s="27" t="n">
        <v>490306</v>
      </c>
      <c r="C220" s="27" t="n">
        <v>77</v>
      </c>
      <c r="D220" s="41" t="n">
        <v>45641.79783549769</v>
      </c>
      <c r="E220" s="27" t="inlineStr">
        <is>
          <t>Changed mind</t>
        </is>
      </c>
      <c r="F220" s="27" t="n">
        <v>52.47</v>
      </c>
      <c r="G220" s="27" t="n">
        <v>1657</v>
      </c>
      <c r="H220" s="27" t="inlineStr">
        <is>
          <t>12</t>
        </is>
      </c>
      <c r="I220" s="27" t="n">
        <v>2024</v>
      </c>
    </row>
    <row r="221" ht="15" customHeight="1" s="24">
      <c r="A221" s="27" t="n">
        <v>36329</v>
      </c>
      <c r="B221" s="27" t="n">
        <v>505552</v>
      </c>
      <c r="C221" s="27" t="n">
        <v>6</v>
      </c>
      <c r="D221" s="41" t="n">
        <v>45648.09888009259</v>
      </c>
      <c r="E221" s="27" t="inlineStr">
        <is>
          <t>Item damaged</t>
        </is>
      </c>
      <c r="F221" s="27" t="n">
        <v>242.84</v>
      </c>
      <c r="G221" s="27" t="n">
        <v>3814</v>
      </c>
      <c r="H221" s="27" t="inlineStr">
        <is>
          <t>12</t>
        </is>
      </c>
      <c r="I221" s="27" t="n">
        <v>2024</v>
      </c>
    </row>
    <row r="222" ht="15" customHeight="1" s="24">
      <c r="A222" s="27" t="n">
        <v>36553</v>
      </c>
      <c r="B222" s="27" t="n">
        <v>508627</v>
      </c>
      <c r="C222" s="27" t="n">
        <v>3</v>
      </c>
      <c r="D222" s="41" t="n">
        <v>45648.64073576389</v>
      </c>
      <c r="E222" s="27" t="inlineStr">
        <is>
          <t>Changed mind</t>
        </is>
      </c>
      <c r="F222" s="27" t="n">
        <v>238.81</v>
      </c>
      <c r="G222" s="27" t="n">
        <v>276</v>
      </c>
      <c r="H222" s="27" t="inlineStr">
        <is>
          <t>12</t>
        </is>
      </c>
      <c r="I222" s="27" t="n">
        <v>2024</v>
      </c>
    </row>
    <row r="223" ht="15" customHeight="1" s="24">
      <c r="A223" s="27" t="n">
        <v>37313</v>
      </c>
      <c r="B223" s="27" t="n">
        <v>519522</v>
      </c>
      <c r="C223" s="27" t="n">
        <v>7</v>
      </c>
      <c r="D223" s="41" t="n">
        <v>45651.72083612269</v>
      </c>
      <c r="E223" s="27" t="inlineStr">
        <is>
          <t>Wrong size</t>
        </is>
      </c>
      <c r="F223" s="27" t="n">
        <v>363.97</v>
      </c>
      <c r="G223" s="27" t="n">
        <v>1297</v>
      </c>
      <c r="H223" s="27" t="inlineStr">
        <is>
          <t>12</t>
        </is>
      </c>
      <c r="I223" s="27" t="n">
        <v>2024</v>
      </c>
    </row>
    <row r="224" ht="15" customHeight="1" s="24">
      <c r="A224" s="27" t="n">
        <v>36357</v>
      </c>
      <c r="B224" s="27" t="n">
        <v>505930</v>
      </c>
      <c r="C224" s="27" t="n">
        <v>1</v>
      </c>
      <c r="D224" s="41" t="n">
        <v>45655.99973456019</v>
      </c>
      <c r="E224" s="27" t="inlineStr">
        <is>
          <t>Wrong size</t>
        </is>
      </c>
      <c r="F224" s="27" t="n">
        <v>141.47</v>
      </c>
      <c r="G224" s="27" t="n">
        <v>2984</v>
      </c>
      <c r="H224" s="27" t="inlineStr">
        <is>
          <t>12</t>
        </is>
      </c>
      <c r="I224" s="27" t="n">
        <v>2024</v>
      </c>
    </row>
    <row r="225" ht="15" customHeight="1" s="24">
      <c r="A225" s="27" t="n">
        <v>35900</v>
      </c>
      <c r="B225" s="27" t="n">
        <v>499357</v>
      </c>
      <c r="C225" s="27" t="n">
        <v>7</v>
      </c>
      <c r="D225" s="41" t="n">
        <v>45656.48181290509</v>
      </c>
      <c r="E225" s="27" t="inlineStr">
        <is>
          <t>Wrong size</t>
        </is>
      </c>
      <c r="F225" s="27" t="n">
        <v>201.34</v>
      </c>
      <c r="G225" s="27" t="n">
        <v>745</v>
      </c>
      <c r="H225" s="27" t="inlineStr">
        <is>
          <t>12</t>
        </is>
      </c>
      <c r="I225" s="27" t="n">
        <v>2024</v>
      </c>
    </row>
    <row r="226" ht="15" customHeight="1" s="24">
      <c r="A226" s="27" t="n">
        <v>36945</v>
      </c>
      <c r="B226" s="27" t="n">
        <v>514572</v>
      </c>
      <c r="C226" s="27" t="n">
        <v>1</v>
      </c>
      <c r="D226" s="41" t="n">
        <v>45656.49174405092</v>
      </c>
      <c r="E226" s="27" t="inlineStr">
        <is>
          <t>Not as described</t>
        </is>
      </c>
      <c r="F226" s="27" t="n">
        <v>119.12</v>
      </c>
      <c r="G226" s="27" t="n">
        <v>416</v>
      </c>
      <c r="H226" s="27" t="inlineStr">
        <is>
          <t>12</t>
        </is>
      </c>
      <c r="I226" s="27" t="n">
        <v>2024</v>
      </c>
    </row>
    <row r="227" ht="15" customHeight="1" s="24">
      <c r="A227" s="27" t="n">
        <v>35434</v>
      </c>
      <c r="B227" s="27" t="n">
        <v>492760</v>
      </c>
      <c r="C227" s="27" t="n">
        <v>5</v>
      </c>
      <c r="D227" s="41" t="n">
        <v>45656.60698207176</v>
      </c>
      <c r="E227" s="27" t="inlineStr">
        <is>
          <t>Wrong item shipped</t>
        </is>
      </c>
      <c r="F227" s="27" t="n">
        <v>269.56</v>
      </c>
      <c r="G227" s="27" t="n">
        <v>2562</v>
      </c>
      <c r="H227" s="27" t="inlineStr">
        <is>
          <t>12</t>
        </is>
      </c>
      <c r="I227" s="27" t="n">
        <v>2024</v>
      </c>
    </row>
    <row r="228" ht="15" customHeight="1" s="24">
      <c r="A228" s="27" t="n">
        <v>35266</v>
      </c>
      <c r="B228" s="27" t="n">
        <v>490324</v>
      </c>
      <c r="C228" s="27" t="n">
        <v>14</v>
      </c>
      <c r="D228" s="41" t="n">
        <v>45657.22769615741</v>
      </c>
      <c r="E228" s="27" t="inlineStr">
        <is>
          <t>Defective product</t>
        </is>
      </c>
      <c r="F228" s="27" t="n">
        <v>332.99</v>
      </c>
      <c r="G228" s="27" t="n">
        <v>2585</v>
      </c>
      <c r="H228" s="27" t="inlineStr">
        <is>
          <t>12</t>
        </is>
      </c>
      <c r="I228" s="27" t="n">
        <v>2024</v>
      </c>
    </row>
    <row r="229" ht="15" customHeight="1" s="24">
      <c r="A229" s="27" t="n">
        <v>36044</v>
      </c>
      <c r="B229" s="27" t="n">
        <v>501289</v>
      </c>
      <c r="C229" s="27" t="n">
        <v>20</v>
      </c>
      <c r="D229" s="41" t="n">
        <v>45658.35766868055</v>
      </c>
      <c r="E229" s="27" t="inlineStr">
        <is>
          <t>Wrong size</t>
        </is>
      </c>
      <c r="F229" s="27" t="n">
        <v>109.13</v>
      </c>
      <c r="G229" s="27" t="n">
        <v>1972</v>
      </c>
      <c r="H229" s="27" t="inlineStr">
        <is>
          <t>12</t>
        </is>
      </c>
      <c r="I229" s="27" t="n">
        <v>2024</v>
      </c>
    </row>
    <row r="230" ht="15" customHeight="1" s="24">
      <c r="A230" s="27" t="n">
        <v>35491</v>
      </c>
      <c r="B230" s="27" t="n">
        <v>493587</v>
      </c>
      <c r="C230" s="27" t="n">
        <v>84</v>
      </c>
      <c r="D230" s="41" t="n">
        <v>45658.74884880787</v>
      </c>
      <c r="E230" s="27" t="inlineStr">
        <is>
          <t>Changed mind</t>
        </is>
      </c>
      <c r="F230" s="27" t="n">
        <v>131.88</v>
      </c>
      <c r="G230" s="27" t="n">
        <v>599</v>
      </c>
      <c r="H230" s="27" t="inlineStr">
        <is>
          <t>12</t>
        </is>
      </c>
      <c r="I230" s="27" t="n">
        <v>2024</v>
      </c>
    </row>
    <row r="231" ht="15" customHeight="1" s="24">
      <c r="A231" s="27" t="n">
        <v>35498</v>
      </c>
      <c r="B231" s="27" t="n">
        <v>493648</v>
      </c>
      <c r="C231" s="27" t="n">
        <v>1</v>
      </c>
      <c r="D231" s="41" t="n">
        <v>45659.65111787037</v>
      </c>
      <c r="E231" s="27" t="inlineStr">
        <is>
          <t>Arrived too late</t>
        </is>
      </c>
      <c r="F231" s="27" t="n">
        <v>172.25</v>
      </c>
      <c r="G231" s="27" t="n">
        <v>2495</v>
      </c>
      <c r="H231" s="27" t="inlineStr">
        <is>
          <t>12</t>
        </is>
      </c>
      <c r="I231" s="27" t="n">
        <v>2024</v>
      </c>
    </row>
    <row r="232" ht="15" customHeight="1" s="24">
      <c r="A232" s="27" t="n">
        <v>37542</v>
      </c>
      <c r="B232" s="27" t="n">
        <v>522857</v>
      </c>
      <c r="C232" s="27" t="n">
        <v>7</v>
      </c>
      <c r="D232" s="41" t="n">
        <v>45660.35983854167</v>
      </c>
      <c r="E232" s="27" t="inlineStr">
        <is>
          <t>Defective product</t>
        </is>
      </c>
      <c r="F232" s="27" t="n">
        <v>214.69</v>
      </c>
      <c r="G232" s="27" t="n">
        <v>1922</v>
      </c>
      <c r="H232" s="27" t="inlineStr">
        <is>
          <t>12</t>
        </is>
      </c>
      <c r="I232" s="27" t="n">
        <v>2024</v>
      </c>
    </row>
    <row r="233" ht="15" customHeight="1" s="24">
      <c r="A233" s="27" t="n">
        <v>35427</v>
      </c>
      <c r="B233" s="27" t="n">
        <v>492674</v>
      </c>
      <c r="C233" s="27" t="n">
        <v>5</v>
      </c>
      <c r="D233" s="41" t="n">
        <v>45662.8026225463</v>
      </c>
      <c r="E233" s="27" t="inlineStr">
        <is>
          <t>Not as described</t>
        </is>
      </c>
      <c r="F233" s="27" t="n">
        <v>125.24</v>
      </c>
      <c r="G233" s="27" t="n">
        <v>2913</v>
      </c>
      <c r="H233" s="27" t="inlineStr">
        <is>
          <t>12</t>
        </is>
      </c>
      <c r="I233" s="27" t="n">
        <v>2024</v>
      </c>
    </row>
    <row r="234" ht="15" customHeight="1" s="24">
      <c r="A234" s="27" t="n">
        <v>36126</v>
      </c>
      <c r="B234" s="27" t="n">
        <v>502515</v>
      </c>
      <c r="C234" s="27" t="n">
        <v>1</v>
      </c>
      <c r="D234" s="41" t="n">
        <v>45671.55123465278</v>
      </c>
      <c r="E234" s="27" t="inlineStr">
        <is>
          <t>Arrived too late</t>
        </is>
      </c>
      <c r="F234" s="27" t="n">
        <v>298.36</v>
      </c>
      <c r="G234" s="27" t="n">
        <v>1993</v>
      </c>
      <c r="H234" s="27" t="inlineStr">
        <is>
          <t>12</t>
        </is>
      </c>
      <c r="I234" s="27" t="n">
        <v>2024</v>
      </c>
    </row>
    <row r="235" ht="15" customHeight="1" s="24">
      <c r="A235" s="27" t="n">
        <v>39324</v>
      </c>
      <c r="B235" s="27" t="n">
        <v>548016</v>
      </c>
      <c r="C235" s="27" t="n">
        <v>18</v>
      </c>
      <c r="D235" s="41" t="n">
        <v>45673.7600587037</v>
      </c>
      <c r="E235" s="27" t="inlineStr">
        <is>
          <t>Item damaged</t>
        </is>
      </c>
      <c r="F235" s="27" t="n">
        <v>770.36</v>
      </c>
      <c r="G235" s="27" t="n">
        <v>3695</v>
      </c>
      <c r="H235" s="27" t="inlineStr">
        <is>
          <t>01</t>
        </is>
      </c>
      <c r="I235" s="27" t="n">
        <v>2025</v>
      </c>
    </row>
    <row r="236" ht="15" customHeight="1" s="24">
      <c r="A236" s="27" t="n">
        <v>39455</v>
      </c>
      <c r="B236" s="27" t="n">
        <v>549766</v>
      </c>
      <c r="C236" s="27" t="n">
        <v>2</v>
      </c>
      <c r="D236" s="41" t="n">
        <v>45683.24264354166</v>
      </c>
      <c r="E236" s="27" t="inlineStr">
        <is>
          <t>Wrong size</t>
        </is>
      </c>
      <c r="F236" s="27" t="n">
        <v>565.77</v>
      </c>
      <c r="G236" s="27" t="n">
        <v>3757</v>
      </c>
      <c r="H236" s="27" t="inlineStr">
        <is>
          <t>01</t>
        </is>
      </c>
      <c r="I236" s="27" t="n">
        <v>2025</v>
      </c>
    </row>
    <row r="237" ht="15" customHeight="1" s="24">
      <c r="A237" s="27" t="n">
        <v>38951</v>
      </c>
      <c r="B237" s="27" t="n">
        <v>542460</v>
      </c>
      <c r="C237" s="27" t="n">
        <v>1</v>
      </c>
      <c r="D237" s="41" t="n">
        <v>45686.0929608912</v>
      </c>
      <c r="E237" s="27" t="inlineStr">
        <is>
          <t>Changed mind</t>
        </is>
      </c>
      <c r="F237" s="27" t="n">
        <v>100.29</v>
      </c>
      <c r="G237" s="27" t="n">
        <v>668</v>
      </c>
      <c r="H237" s="27" t="inlineStr">
        <is>
          <t>01</t>
        </is>
      </c>
      <c r="I237" s="27" t="n">
        <v>2025</v>
      </c>
    </row>
    <row r="238" ht="15" customHeight="1" s="24">
      <c r="A238" s="27" t="n">
        <v>39530</v>
      </c>
      <c r="B238" s="27" t="n">
        <v>550945</v>
      </c>
      <c r="C238" s="27" t="n">
        <v>64</v>
      </c>
      <c r="D238" s="41" t="n">
        <v>45692.27069725694</v>
      </c>
      <c r="E238" s="27" t="inlineStr">
        <is>
          <t>Wrong item shipped</t>
        </is>
      </c>
      <c r="F238" s="27" t="n">
        <v>224.34</v>
      </c>
      <c r="G238" s="27" t="n">
        <v>2228</v>
      </c>
      <c r="H238" s="27" t="inlineStr">
        <is>
          <t>01</t>
        </is>
      </c>
      <c r="I238" s="27" t="n">
        <v>2025</v>
      </c>
    </row>
    <row r="239" ht="15" customHeight="1" s="24">
      <c r="A239" s="27" t="n">
        <v>39360</v>
      </c>
      <c r="B239" s="27" t="n">
        <v>548479</v>
      </c>
      <c r="C239" s="27" t="n">
        <v>63</v>
      </c>
      <c r="D239" s="41" t="n">
        <v>45697.15336607639</v>
      </c>
      <c r="E239" s="27" t="inlineStr">
        <is>
          <t>Item damaged</t>
        </is>
      </c>
      <c r="F239" s="27" t="n">
        <v>295.5</v>
      </c>
      <c r="G239" s="27" t="n">
        <v>1519</v>
      </c>
      <c r="H239" s="27" t="inlineStr">
        <is>
          <t>01</t>
        </is>
      </c>
      <c r="I239" s="27" t="n">
        <v>2025</v>
      </c>
    </row>
    <row r="240" ht="15" customHeight="1" s="24">
      <c r="A240" s="27" t="n">
        <v>40963</v>
      </c>
      <c r="B240" s="27" t="n">
        <v>570503</v>
      </c>
      <c r="C240" s="27" t="n">
        <v>1</v>
      </c>
      <c r="D240" s="41" t="n">
        <v>45697.93754605324</v>
      </c>
      <c r="E240" s="27" t="inlineStr">
        <is>
          <t>Wrong size</t>
        </is>
      </c>
      <c r="F240" s="27" t="n">
        <v>274.15</v>
      </c>
      <c r="G240" s="27" t="n">
        <v>1563</v>
      </c>
      <c r="H240" s="27" t="inlineStr">
        <is>
          <t>02</t>
        </is>
      </c>
      <c r="I240" s="27" t="n">
        <v>2025</v>
      </c>
    </row>
    <row r="241" ht="15" customHeight="1" s="24">
      <c r="A241" s="27" t="n">
        <v>41170</v>
      </c>
      <c r="B241" s="27" t="n">
        <v>573833</v>
      </c>
      <c r="C241" s="27" t="n">
        <v>6</v>
      </c>
      <c r="D241" s="41" t="n">
        <v>45698.20782466435</v>
      </c>
      <c r="E241" s="27" t="inlineStr">
        <is>
          <t>Wrong item shipped</t>
        </is>
      </c>
      <c r="F241" s="27" t="n">
        <v>29.68</v>
      </c>
      <c r="G241" s="27" t="n">
        <v>2169</v>
      </c>
      <c r="H241" s="27" t="inlineStr">
        <is>
          <t>02</t>
        </is>
      </c>
      <c r="I241" s="27" t="n">
        <v>2025</v>
      </c>
    </row>
    <row r="242" ht="15" customHeight="1" s="24">
      <c r="A242" s="27" t="n">
        <v>40320</v>
      </c>
      <c r="B242" s="27" t="n">
        <v>561661</v>
      </c>
      <c r="C242" s="27" t="n">
        <v>30</v>
      </c>
      <c r="D242" s="41" t="n">
        <v>45701.79647532407</v>
      </c>
      <c r="E242" s="27" t="inlineStr">
        <is>
          <t>Wrong size</t>
        </is>
      </c>
      <c r="F242" s="27" t="n">
        <v>206.35</v>
      </c>
      <c r="G242" s="27" t="n">
        <v>2905</v>
      </c>
      <c r="H242" s="27" t="inlineStr">
        <is>
          <t>02</t>
        </is>
      </c>
      <c r="I242" s="27" t="n">
        <v>2025</v>
      </c>
    </row>
    <row r="243" ht="15" customHeight="1" s="24">
      <c r="A243" s="27" t="n">
        <v>40281</v>
      </c>
      <c r="B243" s="27" t="n">
        <v>561202</v>
      </c>
      <c r="C243" s="27" t="n">
        <v>12</v>
      </c>
      <c r="D243" s="41" t="n">
        <v>45702.66969649305</v>
      </c>
      <c r="E243" s="27" t="inlineStr">
        <is>
          <t>Item damaged</t>
        </is>
      </c>
      <c r="F243" s="27" t="n">
        <v>179.15</v>
      </c>
      <c r="G243" s="27" t="n">
        <v>504</v>
      </c>
      <c r="H243" s="27" t="inlineStr">
        <is>
          <t>02</t>
        </is>
      </c>
      <c r="I243" s="27" t="n">
        <v>2025</v>
      </c>
    </row>
    <row r="244" ht="15" customHeight="1" s="24">
      <c r="A244" s="27" t="n">
        <v>41723</v>
      </c>
      <c r="B244" s="27" t="n">
        <v>581397</v>
      </c>
      <c r="C244" s="27" t="n">
        <v>2</v>
      </c>
      <c r="D244" s="41" t="n">
        <v>45704.04445574074</v>
      </c>
      <c r="E244" s="27" t="inlineStr">
        <is>
          <t>Wrong size</t>
        </is>
      </c>
      <c r="F244" s="27" t="n">
        <v>68.53</v>
      </c>
      <c r="G244" s="27" t="n">
        <v>2779</v>
      </c>
      <c r="H244" s="27" t="inlineStr">
        <is>
          <t>02</t>
        </is>
      </c>
      <c r="I244" s="27" t="n">
        <v>2025</v>
      </c>
    </row>
    <row r="245" ht="15" customHeight="1" s="24">
      <c r="A245" s="27" t="n">
        <v>41699</v>
      </c>
      <c r="B245" s="27" t="n">
        <v>581003</v>
      </c>
      <c r="C245" s="27" t="n">
        <v>1</v>
      </c>
      <c r="D245" s="41" t="n">
        <v>45708.40047202546</v>
      </c>
      <c r="E245" s="27" t="inlineStr">
        <is>
          <t>Item damaged</t>
        </is>
      </c>
      <c r="F245" s="27" t="n">
        <v>202.75</v>
      </c>
      <c r="G245" s="27" t="n">
        <v>3554</v>
      </c>
      <c r="H245" s="27" t="inlineStr">
        <is>
          <t>02</t>
        </is>
      </c>
      <c r="I245" s="27" t="n">
        <v>2025</v>
      </c>
    </row>
    <row r="246" ht="15" customHeight="1" s="24">
      <c r="A246" s="27" t="n">
        <v>40227</v>
      </c>
      <c r="B246" s="27" t="n">
        <v>560544</v>
      </c>
      <c r="C246" s="27" t="n">
        <v>10</v>
      </c>
      <c r="D246" s="41" t="n">
        <v>45713.34992635417</v>
      </c>
      <c r="E246" s="27" t="inlineStr">
        <is>
          <t>Wrong size</t>
        </is>
      </c>
      <c r="F246" s="27" t="n">
        <v>525.25</v>
      </c>
      <c r="G246" s="27" t="n">
        <v>2187</v>
      </c>
      <c r="H246" s="27" t="inlineStr">
        <is>
          <t>02</t>
        </is>
      </c>
      <c r="I246" s="27" t="n">
        <v>2025</v>
      </c>
    </row>
    <row r="247" ht="15" customHeight="1" s="24">
      <c r="A247" s="27" t="n">
        <v>41559</v>
      </c>
      <c r="B247" s="27" t="n">
        <v>578953</v>
      </c>
      <c r="C247" s="27" t="n">
        <v>112</v>
      </c>
      <c r="D247" s="41" t="n">
        <v>45713.96572846065</v>
      </c>
      <c r="E247" s="27" t="inlineStr">
        <is>
          <t>Not as described</t>
        </is>
      </c>
      <c r="F247" s="27" t="n">
        <v>95.08</v>
      </c>
      <c r="G247" s="27" t="n">
        <v>3058</v>
      </c>
      <c r="H247" s="27" t="inlineStr">
        <is>
          <t>02</t>
        </is>
      </c>
      <c r="I247" s="27" t="n">
        <v>2025</v>
      </c>
    </row>
    <row r="248" ht="15" customHeight="1" s="24">
      <c r="A248" s="27" t="n">
        <v>40783</v>
      </c>
      <c r="B248" s="27" t="n">
        <v>568104</v>
      </c>
      <c r="C248" s="27" t="n">
        <v>1</v>
      </c>
      <c r="D248" s="41" t="n">
        <v>45719.84168638889</v>
      </c>
      <c r="E248" s="27" t="inlineStr">
        <is>
          <t>Wrong size</t>
        </is>
      </c>
      <c r="F248" s="27" t="n">
        <v>163.35</v>
      </c>
      <c r="G248" s="27" t="n">
        <v>3815</v>
      </c>
      <c r="H248" s="27" t="inlineStr">
        <is>
          <t>02</t>
        </is>
      </c>
      <c r="I248" s="27" t="n">
        <v>2025</v>
      </c>
    </row>
    <row r="249" ht="15" customHeight="1" s="24">
      <c r="A249" s="27" t="n">
        <v>40119</v>
      </c>
      <c r="B249" s="27" t="n">
        <v>559149</v>
      </c>
      <c r="C249" s="27" t="n">
        <v>1</v>
      </c>
      <c r="D249" s="41" t="n">
        <v>45724.22886489583</v>
      </c>
      <c r="E249" s="27" t="inlineStr">
        <is>
          <t>Item damaged</t>
        </is>
      </c>
      <c r="F249" s="27" t="n">
        <v>517.6799999999999</v>
      </c>
      <c r="G249" s="27" t="n">
        <v>1715</v>
      </c>
      <c r="H249" s="27" t="inlineStr">
        <is>
          <t>02</t>
        </is>
      </c>
      <c r="I249" s="27" t="n">
        <v>2025</v>
      </c>
    </row>
    <row r="250" ht="15" customHeight="1" s="24">
      <c r="A250" s="27" t="n">
        <v>41930</v>
      </c>
      <c r="B250" s="27" t="n">
        <v>584234</v>
      </c>
      <c r="C250" s="27" t="n">
        <v>1</v>
      </c>
      <c r="D250" s="41" t="n">
        <v>45727.21576857639</v>
      </c>
      <c r="E250" s="27" t="inlineStr">
        <is>
          <t>Defective product</t>
        </is>
      </c>
      <c r="F250" s="27" t="n">
        <v>445.85</v>
      </c>
      <c r="G250" s="27" t="n">
        <v>214</v>
      </c>
      <c r="H250" s="27" t="inlineStr">
        <is>
          <t>03</t>
        </is>
      </c>
      <c r="I250" s="27" t="n">
        <v>2025</v>
      </c>
    </row>
    <row r="251" ht="15" customHeight="1" s="24">
      <c r="A251" s="27" t="n">
        <v>40387</v>
      </c>
      <c r="B251" s="27" t="n">
        <v>562764</v>
      </c>
      <c r="C251" s="27" t="n">
        <v>1</v>
      </c>
      <c r="D251" s="41" t="n">
        <v>45728.04966542824</v>
      </c>
      <c r="E251" s="27" t="inlineStr">
        <is>
          <t>Wrong size</t>
        </is>
      </c>
      <c r="F251" s="27" t="n">
        <v>82.25</v>
      </c>
      <c r="G251" s="27" t="n">
        <v>2904</v>
      </c>
      <c r="H251" s="27" t="inlineStr">
        <is>
          <t>02</t>
        </is>
      </c>
      <c r="I251" s="27" t="n">
        <v>2025</v>
      </c>
    </row>
    <row r="252" ht="15" customHeight="1" s="24">
      <c r="A252" s="27" t="n">
        <v>42112</v>
      </c>
      <c r="B252" s="27" t="n">
        <v>586643</v>
      </c>
      <c r="C252" s="27" t="n">
        <v>1</v>
      </c>
      <c r="D252" s="41" t="n">
        <v>45729.89709177084</v>
      </c>
      <c r="E252" s="27" t="inlineStr">
        <is>
          <t>Not as described</t>
        </is>
      </c>
      <c r="F252" s="27" t="n">
        <v>625.21</v>
      </c>
      <c r="G252" s="27" t="n">
        <v>1672</v>
      </c>
      <c r="H252" s="27" t="inlineStr">
        <is>
          <t>03</t>
        </is>
      </c>
      <c r="I252" s="27" t="n">
        <v>2025</v>
      </c>
    </row>
    <row r="253" ht="15" customHeight="1" s="24">
      <c r="A253" s="27" t="n">
        <v>43447</v>
      </c>
      <c r="B253" s="27" t="n">
        <v>605028</v>
      </c>
      <c r="C253" s="27" t="n">
        <v>6</v>
      </c>
      <c r="D253" s="41" t="n">
        <v>45732.58838585648</v>
      </c>
      <c r="E253" s="27" t="inlineStr">
        <is>
          <t>Wrong size</t>
        </is>
      </c>
      <c r="F253" s="27" t="n">
        <v>90.05</v>
      </c>
      <c r="G253" s="27" t="n">
        <v>3008</v>
      </c>
      <c r="H253" s="27" t="inlineStr">
        <is>
          <t>03</t>
        </is>
      </c>
      <c r="I253" s="27" t="n">
        <v>2025</v>
      </c>
    </row>
    <row r="254" ht="15" customHeight="1" s="24">
      <c r="A254" s="27" t="n">
        <v>44048</v>
      </c>
      <c r="B254" s="27" t="n">
        <v>613273</v>
      </c>
      <c r="C254" s="27" t="n">
        <v>4</v>
      </c>
      <c r="D254" s="41" t="n">
        <v>45733.53752125</v>
      </c>
      <c r="E254" s="27" t="inlineStr">
        <is>
          <t>Arrived too late</t>
        </is>
      </c>
      <c r="F254" s="27" t="n">
        <v>198.83</v>
      </c>
      <c r="G254" s="27" t="n">
        <v>3821</v>
      </c>
      <c r="H254" s="27" t="inlineStr">
        <is>
          <t>03</t>
        </is>
      </c>
      <c r="I254" s="27" t="n">
        <v>2025</v>
      </c>
    </row>
    <row r="255" ht="15" customHeight="1" s="24">
      <c r="A255" s="27" t="n">
        <v>42997</v>
      </c>
      <c r="B255" s="27" t="n">
        <v>598950</v>
      </c>
      <c r="C255" s="27" t="n">
        <v>63</v>
      </c>
      <c r="D255" s="41" t="n">
        <v>45734.58169305555</v>
      </c>
      <c r="E255" s="27" t="inlineStr">
        <is>
          <t>Wrong size</t>
        </is>
      </c>
      <c r="F255" s="27" t="n">
        <v>286.91</v>
      </c>
      <c r="G255" s="27" t="n">
        <v>3810</v>
      </c>
      <c r="H255" s="27" t="inlineStr">
        <is>
          <t>03</t>
        </is>
      </c>
      <c r="I255" s="27" t="n">
        <v>2025</v>
      </c>
    </row>
    <row r="256" ht="15" customHeight="1" s="24">
      <c r="A256" s="27" t="n">
        <v>42856</v>
      </c>
      <c r="B256" s="27" t="n">
        <v>596982</v>
      </c>
      <c r="C256" s="27" t="n">
        <v>8</v>
      </c>
      <c r="D256" s="41" t="n">
        <v>45735.96916953703</v>
      </c>
      <c r="E256" s="27" t="inlineStr">
        <is>
          <t>Better price elsewhere</t>
        </is>
      </c>
      <c r="F256" s="27" t="n">
        <v>83.90000000000001</v>
      </c>
      <c r="G256" s="27" t="n">
        <v>2175</v>
      </c>
      <c r="H256" s="27" t="inlineStr">
        <is>
          <t>03</t>
        </is>
      </c>
      <c r="I256" s="27" t="n">
        <v>2025</v>
      </c>
    </row>
    <row r="257" ht="15" customHeight="1" s="24">
      <c r="A257" s="27" t="n">
        <v>43225</v>
      </c>
      <c r="B257" s="27" t="n">
        <v>602091</v>
      </c>
      <c r="C257" s="27" t="n">
        <v>84</v>
      </c>
      <c r="D257" s="41" t="n">
        <v>45737.60830373842</v>
      </c>
      <c r="E257" s="27" t="inlineStr">
        <is>
          <t>Wrong size</t>
        </is>
      </c>
      <c r="F257" s="27" t="n">
        <v>538.21</v>
      </c>
      <c r="G257" s="27" t="n">
        <v>2958</v>
      </c>
      <c r="H257" s="27" t="inlineStr">
        <is>
          <t>03</t>
        </is>
      </c>
      <c r="I257" s="27" t="n">
        <v>2025</v>
      </c>
    </row>
    <row r="258" ht="15" customHeight="1" s="24">
      <c r="A258" s="27" t="n">
        <v>42249</v>
      </c>
      <c r="B258" s="27" t="n">
        <v>588170</v>
      </c>
      <c r="C258" s="27" t="n">
        <v>2</v>
      </c>
      <c r="D258" s="41" t="n">
        <v>45742.48097693287</v>
      </c>
      <c r="E258" s="27" t="inlineStr">
        <is>
          <t>Wrong size</t>
        </is>
      </c>
      <c r="F258" s="27" t="n">
        <v>283.55</v>
      </c>
      <c r="G258" s="27" t="n">
        <v>3490</v>
      </c>
      <c r="H258" s="27" t="inlineStr">
        <is>
          <t>03</t>
        </is>
      </c>
      <c r="I258" s="27" t="n">
        <v>2025</v>
      </c>
    </row>
    <row r="259" ht="15" customHeight="1" s="24">
      <c r="A259" s="27" t="n">
        <v>42369</v>
      </c>
      <c r="B259" s="27" t="n">
        <v>589819</v>
      </c>
      <c r="C259" s="27" t="n">
        <v>91</v>
      </c>
      <c r="D259" s="41" t="n">
        <v>45746.35978670139</v>
      </c>
      <c r="E259" s="27" t="inlineStr">
        <is>
          <t>Changed mind</t>
        </is>
      </c>
      <c r="F259" s="27" t="n">
        <v>529.49</v>
      </c>
      <c r="G259" s="27" t="n">
        <v>3382</v>
      </c>
      <c r="H259" s="27" t="inlineStr">
        <is>
          <t>03</t>
        </is>
      </c>
      <c r="I259" s="27" t="n">
        <v>2025</v>
      </c>
    </row>
    <row r="260" ht="15" customHeight="1" s="24">
      <c r="A260" s="27" t="n">
        <v>42404</v>
      </c>
      <c r="B260" s="27" t="n">
        <v>590261</v>
      </c>
      <c r="C260" s="27" t="n">
        <v>26</v>
      </c>
      <c r="D260" s="41" t="n">
        <v>45746.66296219907</v>
      </c>
      <c r="E260" s="27" t="inlineStr">
        <is>
          <t>Wrong size</t>
        </is>
      </c>
      <c r="F260" s="27" t="n">
        <v>169.13</v>
      </c>
      <c r="G260" s="27" t="n">
        <v>3695</v>
      </c>
      <c r="H260" s="27" t="inlineStr">
        <is>
          <t>03</t>
        </is>
      </c>
      <c r="I260" s="27" t="n">
        <v>2025</v>
      </c>
    </row>
    <row r="261" ht="15" customHeight="1" s="24">
      <c r="A261" s="27" t="n">
        <v>42749</v>
      </c>
      <c r="B261" s="27" t="n">
        <v>595454</v>
      </c>
      <c r="C261" s="27" t="n">
        <v>7</v>
      </c>
      <c r="D261" s="41" t="n">
        <v>45747.38127923611</v>
      </c>
      <c r="E261" s="27" t="inlineStr">
        <is>
          <t>Defective product</t>
        </is>
      </c>
      <c r="F261" s="27" t="n">
        <v>122.32</v>
      </c>
      <c r="G261" s="27" t="n">
        <v>3469</v>
      </c>
      <c r="H261" s="27" t="inlineStr">
        <is>
          <t>03</t>
        </is>
      </c>
      <c r="I261" s="27" t="n">
        <v>2025</v>
      </c>
    </row>
    <row r="262" ht="15" customHeight="1" s="24">
      <c r="A262" s="27" t="n">
        <v>42628</v>
      </c>
      <c r="B262" s="27" t="n">
        <v>593655</v>
      </c>
      <c r="C262" s="27" t="n">
        <v>1</v>
      </c>
      <c r="D262" s="41" t="n">
        <v>45747.59325403936</v>
      </c>
      <c r="E262" s="27" t="inlineStr">
        <is>
          <t>Wrong size</t>
        </is>
      </c>
      <c r="F262" s="27" t="n">
        <v>157.01</v>
      </c>
      <c r="G262" s="27" t="n">
        <v>2280</v>
      </c>
      <c r="H262" s="27" t="inlineStr">
        <is>
          <t>03</t>
        </is>
      </c>
      <c r="I262" s="27" t="n">
        <v>2025</v>
      </c>
    </row>
    <row r="263" ht="15" customHeight="1" s="24">
      <c r="A263" s="27" t="n">
        <v>43668</v>
      </c>
      <c r="B263" s="27" t="n">
        <v>608106</v>
      </c>
      <c r="C263" s="27" t="n">
        <v>85</v>
      </c>
      <c r="D263" s="41" t="n">
        <v>45748.92962436342</v>
      </c>
      <c r="E263" s="27" t="inlineStr">
        <is>
          <t>Wrong size</t>
        </is>
      </c>
      <c r="F263" s="27" t="n">
        <v>833.62</v>
      </c>
      <c r="G263" s="27" t="n">
        <v>2307</v>
      </c>
      <c r="H263" s="27" t="inlineStr">
        <is>
          <t>03</t>
        </is>
      </c>
      <c r="I263" s="27" t="n">
        <v>2025</v>
      </c>
    </row>
    <row r="264" ht="15" customHeight="1" s="24">
      <c r="A264" s="27" t="n">
        <v>45742</v>
      </c>
      <c r="B264" s="27" t="n">
        <v>637447</v>
      </c>
      <c r="C264" s="27" t="n">
        <v>66</v>
      </c>
      <c r="D264" s="41" t="n">
        <v>45752.702288125</v>
      </c>
      <c r="E264" s="27" t="inlineStr">
        <is>
          <t>Not as described</t>
        </is>
      </c>
      <c r="F264" s="27" t="n">
        <v>604.23</v>
      </c>
      <c r="G264" s="27" t="n">
        <v>2837</v>
      </c>
      <c r="H264" s="27" t="inlineStr">
        <is>
          <t>04</t>
        </is>
      </c>
      <c r="I264" s="27" t="n">
        <v>2025</v>
      </c>
    </row>
    <row r="265" ht="15" customHeight="1" s="24">
      <c r="A265" s="27" t="n">
        <v>44979</v>
      </c>
      <c r="B265" s="27" t="n">
        <v>626462</v>
      </c>
      <c r="C265" s="27" t="n">
        <v>1</v>
      </c>
      <c r="D265" s="41" t="n">
        <v>45758.80696836806</v>
      </c>
      <c r="E265" s="27" t="inlineStr">
        <is>
          <t>Arrived too late</t>
        </is>
      </c>
      <c r="F265" s="27" t="n">
        <v>222.22</v>
      </c>
      <c r="G265" s="27" t="n">
        <v>2630</v>
      </c>
      <c r="H265" s="27" t="inlineStr">
        <is>
          <t>04</t>
        </is>
      </c>
      <c r="I265" s="27" t="n">
        <v>2025</v>
      </c>
    </row>
    <row r="266" ht="15" customHeight="1" s="24">
      <c r="A266" s="27" t="n">
        <v>45216</v>
      </c>
      <c r="B266" s="27" t="n">
        <v>630454</v>
      </c>
      <c r="C266" s="27" t="n">
        <v>112</v>
      </c>
      <c r="D266" s="41" t="n">
        <v>45759.9499319213</v>
      </c>
      <c r="E266" s="27" t="inlineStr">
        <is>
          <t>Better price elsewhere</t>
        </is>
      </c>
      <c r="F266" s="27" t="n">
        <v>600.9400000000001</v>
      </c>
      <c r="G266" s="27" t="n">
        <v>612</v>
      </c>
      <c r="H266" s="27" t="inlineStr">
        <is>
          <t>04</t>
        </is>
      </c>
      <c r="I266" s="27" t="n">
        <v>2025</v>
      </c>
    </row>
    <row r="267" ht="15" customHeight="1" s="24">
      <c r="A267" s="27" t="n">
        <v>44517</v>
      </c>
      <c r="B267" s="27" t="n">
        <v>619698</v>
      </c>
      <c r="C267" s="27" t="n">
        <v>112</v>
      </c>
      <c r="D267" s="41" t="n">
        <v>45762.0791865162</v>
      </c>
      <c r="E267" s="27" t="inlineStr">
        <is>
          <t>Wrong size</t>
        </is>
      </c>
      <c r="F267" s="27" t="n">
        <v>269.91</v>
      </c>
      <c r="G267" s="27" t="n">
        <v>3695</v>
      </c>
      <c r="H267" s="27" t="inlineStr">
        <is>
          <t>04</t>
        </is>
      </c>
      <c r="I267" s="27" t="n">
        <v>2025</v>
      </c>
    </row>
    <row r="268" ht="15" customHeight="1" s="24">
      <c r="A268" s="27" t="n">
        <v>46288</v>
      </c>
      <c r="B268" s="27" t="n">
        <v>645897</v>
      </c>
      <c r="C268" s="27" t="n">
        <v>36</v>
      </c>
      <c r="D268" s="41" t="n">
        <v>45763.83125387732</v>
      </c>
      <c r="E268" s="27" t="inlineStr">
        <is>
          <t>Defective product</t>
        </is>
      </c>
      <c r="F268" s="27" t="n">
        <v>158.87</v>
      </c>
      <c r="G268" s="27" t="n">
        <v>1274</v>
      </c>
      <c r="H268" s="27" t="inlineStr">
        <is>
          <t>04</t>
        </is>
      </c>
      <c r="I268" s="27" t="n">
        <v>2025</v>
      </c>
    </row>
    <row r="269" ht="15" customHeight="1" s="24">
      <c r="A269" s="27" t="n">
        <v>44634</v>
      </c>
      <c r="B269" s="27" t="n">
        <v>621420</v>
      </c>
      <c r="C269" s="27" t="n">
        <v>112</v>
      </c>
      <c r="D269" s="41" t="n">
        <v>45765.38437689815</v>
      </c>
      <c r="E269" s="27" t="inlineStr">
        <is>
          <t>Item damaged</t>
        </is>
      </c>
      <c r="F269" s="27" t="n">
        <v>353.17</v>
      </c>
      <c r="G269" s="27" t="n">
        <v>2710</v>
      </c>
      <c r="H269" s="27" t="inlineStr">
        <is>
          <t>04</t>
        </is>
      </c>
      <c r="I269" s="27" t="n">
        <v>2025</v>
      </c>
    </row>
    <row r="270" ht="15" customHeight="1" s="24">
      <c r="A270" s="27" t="n">
        <v>45182</v>
      </c>
      <c r="B270" s="27" t="n">
        <v>629886</v>
      </c>
      <c r="C270" s="27" t="n">
        <v>1</v>
      </c>
      <c r="D270" s="41" t="n">
        <v>45767.8458065162</v>
      </c>
      <c r="E270" s="27" t="inlineStr">
        <is>
          <t>Better price elsewhere</t>
        </is>
      </c>
      <c r="F270" s="27" t="n">
        <v>390.25</v>
      </c>
      <c r="G270" s="27" t="n">
        <v>2000</v>
      </c>
      <c r="H270" s="27" t="inlineStr">
        <is>
          <t>04</t>
        </is>
      </c>
      <c r="I270" s="27" t="n">
        <v>2025</v>
      </c>
    </row>
    <row r="271" ht="15" customHeight="1" s="24">
      <c r="A271" s="27" t="n">
        <v>44569</v>
      </c>
      <c r="B271" s="27" t="n">
        <v>620462</v>
      </c>
      <c r="C271" s="27" t="n">
        <v>51</v>
      </c>
      <c r="D271" s="41" t="n">
        <v>45769.00272935185</v>
      </c>
      <c r="E271" s="27" t="inlineStr">
        <is>
          <t>Arrived too late</t>
        </is>
      </c>
      <c r="F271" s="27" t="n">
        <v>177.22</v>
      </c>
      <c r="G271" s="27" t="n">
        <v>1991</v>
      </c>
      <c r="H271" s="27" t="inlineStr">
        <is>
          <t>04</t>
        </is>
      </c>
      <c r="I271" s="27" t="n">
        <v>2025</v>
      </c>
    </row>
    <row r="272" ht="15" customHeight="1" s="24">
      <c r="A272" s="27" t="n">
        <v>44416</v>
      </c>
      <c r="B272" s="27" t="n">
        <v>618506</v>
      </c>
      <c r="C272" s="27" t="n">
        <v>4</v>
      </c>
      <c r="D272" s="41" t="n">
        <v>45772.33914609953</v>
      </c>
      <c r="E272" s="27" t="inlineStr">
        <is>
          <t>Changed mind</t>
        </is>
      </c>
      <c r="F272" s="27" t="n">
        <v>184.58</v>
      </c>
      <c r="G272" s="27" t="n">
        <v>1770</v>
      </c>
      <c r="H272" s="27" t="inlineStr">
        <is>
          <t>04</t>
        </is>
      </c>
      <c r="I272" s="27" t="n">
        <v>2025</v>
      </c>
    </row>
    <row r="273" ht="15" customHeight="1" s="24">
      <c r="A273" s="27" t="n">
        <v>45829</v>
      </c>
      <c r="B273" s="27" t="n">
        <v>638559</v>
      </c>
      <c r="C273" s="27" t="n">
        <v>1</v>
      </c>
      <c r="D273" s="41" t="n">
        <v>45777.16966938657</v>
      </c>
      <c r="E273" s="27" t="inlineStr">
        <is>
          <t>Wrong size</t>
        </is>
      </c>
      <c r="F273" s="27" t="n">
        <v>180.66</v>
      </c>
      <c r="G273" s="27" t="n">
        <v>726</v>
      </c>
      <c r="H273" s="27" t="inlineStr">
        <is>
          <t>04</t>
        </is>
      </c>
      <c r="I273" s="27" t="n">
        <v>2025</v>
      </c>
    </row>
    <row r="274" ht="15" customHeight="1" s="24">
      <c r="A274" s="27" t="n">
        <v>45806</v>
      </c>
      <c r="B274" s="27" t="n">
        <v>638263</v>
      </c>
      <c r="C274" s="27" t="n">
        <v>15</v>
      </c>
      <c r="D274" s="41" t="n">
        <v>45780.28640112268</v>
      </c>
      <c r="E274" s="27" t="inlineStr">
        <is>
          <t>Wrong size</t>
        </is>
      </c>
      <c r="F274" s="27" t="n">
        <v>121.74</v>
      </c>
      <c r="G274" s="27" t="n">
        <v>481</v>
      </c>
      <c r="H274" s="27" t="inlineStr">
        <is>
          <t>04</t>
        </is>
      </c>
      <c r="I274" s="27" t="n">
        <v>2025</v>
      </c>
    </row>
    <row r="275" ht="15" customHeight="1" s="24">
      <c r="A275" s="27" t="n">
        <v>46626</v>
      </c>
      <c r="B275" s="27" t="n">
        <v>650725</v>
      </c>
      <c r="C275" s="27" t="n">
        <v>1</v>
      </c>
      <c r="D275" s="41" t="n">
        <v>45786.45476072917</v>
      </c>
      <c r="E275" s="27" t="inlineStr">
        <is>
          <t>Wrong item shipped</t>
        </is>
      </c>
      <c r="F275" s="27" t="n">
        <v>387.01</v>
      </c>
      <c r="G275" s="27" t="n">
        <v>1529</v>
      </c>
      <c r="H275" s="27" t="inlineStr">
        <is>
          <t>05</t>
        </is>
      </c>
      <c r="I275" s="27" t="n">
        <v>2025</v>
      </c>
    </row>
    <row r="276" ht="15" customHeight="1" s="24">
      <c r="A276" s="27" t="n">
        <v>47863</v>
      </c>
      <c r="B276" s="27" t="n">
        <v>668167</v>
      </c>
      <c r="C276" s="27" t="n">
        <v>5</v>
      </c>
      <c r="D276" s="41" t="n">
        <v>45788.32702615741</v>
      </c>
      <c r="E276" s="27" t="inlineStr">
        <is>
          <t>Item damaged</t>
        </is>
      </c>
      <c r="F276" s="27" t="n">
        <v>2093.97</v>
      </c>
      <c r="G276" s="27" t="n">
        <v>3</v>
      </c>
      <c r="H276" s="27" t="inlineStr">
        <is>
          <t>05</t>
        </is>
      </c>
      <c r="I276" s="27" t="n">
        <v>2025</v>
      </c>
    </row>
    <row r="277" ht="15" customHeight="1" s="24">
      <c r="A277" s="27" t="n">
        <v>44455</v>
      </c>
      <c r="B277" s="27" t="n">
        <v>618981</v>
      </c>
      <c r="C277" s="27" t="n">
        <v>2</v>
      </c>
      <c r="D277" s="41" t="n">
        <v>45789.06153207176</v>
      </c>
      <c r="E277" s="27" t="inlineStr">
        <is>
          <t>Changed mind</t>
        </is>
      </c>
      <c r="F277" s="27" t="n">
        <v>295.16</v>
      </c>
      <c r="G277" s="27" t="n">
        <v>2170</v>
      </c>
      <c r="H277" s="27" t="inlineStr">
        <is>
          <t>04</t>
        </is>
      </c>
      <c r="I277" s="27" t="n">
        <v>2025</v>
      </c>
    </row>
    <row r="278" ht="15" customHeight="1" s="24">
      <c r="A278" s="27" t="n">
        <v>46860</v>
      </c>
      <c r="B278" s="27" t="n">
        <v>653974</v>
      </c>
      <c r="C278" s="27" t="n">
        <v>1</v>
      </c>
      <c r="D278" s="41" t="n">
        <v>45790.24784997685</v>
      </c>
      <c r="E278" s="27" t="inlineStr">
        <is>
          <t>Wrong item shipped</t>
        </is>
      </c>
      <c r="F278" s="27" t="n">
        <v>323.25</v>
      </c>
      <c r="G278" s="27" t="n">
        <v>1238</v>
      </c>
      <c r="H278" s="27" t="inlineStr">
        <is>
          <t>05</t>
        </is>
      </c>
      <c r="I278" s="27" t="n">
        <v>2025</v>
      </c>
    </row>
    <row r="279" ht="15" customHeight="1" s="24">
      <c r="A279" s="27" t="n">
        <v>48862</v>
      </c>
      <c r="B279" s="27" t="n">
        <v>681829</v>
      </c>
      <c r="C279" s="27" t="n">
        <v>46</v>
      </c>
      <c r="D279" s="41" t="n">
        <v>45795.13803918981</v>
      </c>
      <c r="E279" s="27" t="inlineStr">
        <is>
          <t>Better price elsewhere</t>
        </is>
      </c>
      <c r="F279" s="27" t="n">
        <v>289.4</v>
      </c>
      <c r="G279" s="27" t="n">
        <v>2285</v>
      </c>
      <c r="H279" s="27" t="inlineStr">
        <is>
          <t>05</t>
        </is>
      </c>
      <c r="I279" s="27" t="n">
        <v>2025</v>
      </c>
    </row>
    <row r="280" ht="15" customHeight="1" s="24">
      <c r="A280" s="27" t="n">
        <v>46974</v>
      </c>
      <c r="B280" s="27" t="n">
        <v>655334</v>
      </c>
      <c r="C280" s="27" t="n">
        <v>117</v>
      </c>
      <c r="D280" s="41" t="n">
        <v>45795.57298839121</v>
      </c>
      <c r="E280" s="27" t="inlineStr">
        <is>
          <t>Changed mind</t>
        </is>
      </c>
      <c r="F280" s="27" t="n">
        <v>753.03</v>
      </c>
      <c r="G280" s="27" t="n">
        <v>2893</v>
      </c>
      <c r="H280" s="27" t="inlineStr">
        <is>
          <t>05</t>
        </is>
      </c>
      <c r="I280" s="27" t="n">
        <v>2025</v>
      </c>
    </row>
    <row r="281" ht="15" customHeight="1" s="24">
      <c r="A281" s="27" t="n">
        <v>47728</v>
      </c>
      <c r="B281" s="27" t="n">
        <v>666620</v>
      </c>
      <c r="C281" s="27" t="n">
        <v>1</v>
      </c>
      <c r="D281" s="41" t="n">
        <v>45798.06926811342</v>
      </c>
      <c r="E281" s="27" t="inlineStr">
        <is>
          <t>Changed mind</t>
        </is>
      </c>
      <c r="F281" s="27" t="n">
        <v>185.02</v>
      </c>
      <c r="G281" s="27" t="n">
        <v>1291</v>
      </c>
      <c r="H281" s="27" t="inlineStr">
        <is>
          <t>05</t>
        </is>
      </c>
      <c r="I281" s="27" t="n">
        <v>2025</v>
      </c>
    </row>
    <row r="282" ht="15" customHeight="1" s="24">
      <c r="A282" s="27" t="n">
        <v>48118</v>
      </c>
      <c r="B282" s="27" t="n">
        <v>671778</v>
      </c>
      <c r="C282" s="27" t="n">
        <v>1</v>
      </c>
      <c r="D282" s="41" t="n">
        <v>45798.57460024305</v>
      </c>
      <c r="E282" s="27" t="inlineStr">
        <is>
          <t>Changed mind</t>
        </is>
      </c>
      <c r="F282" s="27" t="n">
        <v>108.98</v>
      </c>
      <c r="G282" s="27" t="n">
        <v>997</v>
      </c>
      <c r="H282" s="27" t="inlineStr">
        <is>
          <t>05</t>
        </is>
      </c>
      <c r="I282" s="27" t="n">
        <v>2025</v>
      </c>
    </row>
    <row r="283" ht="15" customHeight="1" s="24">
      <c r="A283" s="27" t="n">
        <v>48492</v>
      </c>
      <c r="B283" s="27" t="n">
        <v>676669</v>
      </c>
      <c r="C283" s="27" t="n">
        <v>1</v>
      </c>
      <c r="D283" s="41" t="n">
        <v>45801.22412616899</v>
      </c>
      <c r="E283" s="27" t="inlineStr">
        <is>
          <t>Item damaged</t>
        </is>
      </c>
      <c r="F283" s="27" t="n">
        <v>135.3</v>
      </c>
      <c r="G283" s="27" t="n">
        <v>3333</v>
      </c>
      <c r="H283" s="27" t="inlineStr">
        <is>
          <t>05</t>
        </is>
      </c>
      <c r="I283" s="27" t="n">
        <v>2025</v>
      </c>
    </row>
    <row r="284" ht="15" customHeight="1" s="24">
      <c r="A284" s="27" t="n">
        <v>46761</v>
      </c>
      <c r="B284" s="27" t="n">
        <v>652573</v>
      </c>
      <c r="C284" s="27" t="n">
        <v>1</v>
      </c>
      <c r="D284" s="41" t="n">
        <v>45806.60373181713</v>
      </c>
      <c r="E284" s="27" t="inlineStr">
        <is>
          <t>Better price elsewhere</t>
        </is>
      </c>
      <c r="F284" s="27" t="n">
        <v>408.53</v>
      </c>
      <c r="G284" s="27" t="n">
        <v>2112</v>
      </c>
      <c r="H284" s="27" t="inlineStr">
        <is>
          <t>05</t>
        </is>
      </c>
      <c r="I284" s="27" t="n">
        <v>2025</v>
      </c>
    </row>
    <row r="285" ht="15" customHeight="1" s="24">
      <c r="A285" s="27" t="n">
        <v>48191</v>
      </c>
      <c r="B285" s="27" t="n">
        <v>672840</v>
      </c>
      <c r="C285" s="27" t="n">
        <v>2</v>
      </c>
      <c r="D285" s="41" t="n">
        <v>45806.93978649306</v>
      </c>
      <c r="E285" s="27" t="inlineStr">
        <is>
          <t>Defective product</t>
        </is>
      </c>
      <c r="F285" s="27" t="n">
        <v>59.78</v>
      </c>
      <c r="G285" s="27" t="n">
        <v>3695</v>
      </c>
      <c r="H285" s="27" t="inlineStr">
        <is>
          <t>05</t>
        </is>
      </c>
      <c r="I285" s="27" t="n">
        <v>2025</v>
      </c>
    </row>
    <row r="286" ht="15" customHeight="1" s="24">
      <c r="A286" s="27" t="n">
        <v>46798</v>
      </c>
      <c r="B286" s="27" t="n">
        <v>653061</v>
      </c>
      <c r="C286" s="27" t="n">
        <v>1</v>
      </c>
      <c r="D286" s="41" t="n">
        <v>45808.44403896991</v>
      </c>
      <c r="E286" s="27" t="inlineStr">
        <is>
          <t>Wrong item shipped</t>
        </is>
      </c>
      <c r="F286" s="27" t="n">
        <v>107.85</v>
      </c>
      <c r="G286" s="27" t="n">
        <v>728</v>
      </c>
      <c r="H286" s="27" t="inlineStr">
        <is>
          <t>05</t>
        </is>
      </c>
      <c r="I286" s="27" t="n">
        <v>2025</v>
      </c>
    </row>
    <row r="287" ht="15" customHeight="1" s="24">
      <c r="A287" s="27" t="n">
        <v>47774</v>
      </c>
      <c r="B287" s="27" t="n">
        <v>667148</v>
      </c>
      <c r="C287" s="27" t="n">
        <v>4</v>
      </c>
      <c r="D287" s="41" t="n">
        <v>45810.41047947916</v>
      </c>
      <c r="E287" s="27" t="inlineStr">
        <is>
          <t>Wrong size</t>
        </is>
      </c>
      <c r="F287" s="27" t="n">
        <v>26.82</v>
      </c>
      <c r="G287" s="27" t="n">
        <v>2044</v>
      </c>
      <c r="H287" s="27" t="inlineStr">
        <is>
          <t>05</t>
        </is>
      </c>
      <c r="I287" s="27" t="n">
        <v>2025</v>
      </c>
    </row>
    <row r="288" ht="15" customHeight="1" s="24">
      <c r="A288" s="27" t="n">
        <v>48132</v>
      </c>
      <c r="B288" s="27" t="n">
        <v>672007</v>
      </c>
      <c r="C288" s="27" t="n">
        <v>1</v>
      </c>
      <c r="D288" s="41" t="n">
        <v>45811.82477361111</v>
      </c>
      <c r="E288" s="27" t="inlineStr">
        <is>
          <t>Changed mind</t>
        </is>
      </c>
      <c r="F288" s="27" t="n">
        <v>300.76</v>
      </c>
      <c r="G288" s="27" t="n">
        <v>3787</v>
      </c>
      <c r="H288" s="27" t="inlineStr">
        <is>
          <t>05</t>
        </is>
      </c>
      <c r="I288" s="27" t="n">
        <v>2025</v>
      </c>
    </row>
    <row r="289" ht="15" customHeight="1" s="24">
      <c r="A289" s="27" t="n">
        <v>48711</v>
      </c>
      <c r="B289" s="27" t="n">
        <v>679881</v>
      </c>
      <c r="C289" s="27" t="n">
        <v>4</v>
      </c>
      <c r="D289" s="41" t="n">
        <v>45813.84608399306</v>
      </c>
      <c r="E289" s="27" t="inlineStr">
        <is>
          <t>Wrong size</t>
        </is>
      </c>
      <c r="F289" s="27" t="n">
        <v>386.78</v>
      </c>
      <c r="G289" s="27" t="n">
        <v>2877</v>
      </c>
      <c r="H289" s="27" t="inlineStr">
        <is>
          <t>05</t>
        </is>
      </c>
      <c r="I289" s="27" t="n">
        <v>2025</v>
      </c>
    </row>
    <row r="290" ht="15" customHeight="1" s="24">
      <c r="A290" s="27" t="n">
        <v>50179</v>
      </c>
      <c r="B290" s="27" t="n">
        <v>699665</v>
      </c>
      <c r="C290" s="27" t="n">
        <v>1</v>
      </c>
      <c r="D290" s="41" t="n">
        <v>45816.68944101852</v>
      </c>
      <c r="E290" s="27" t="inlineStr">
        <is>
          <t>Wrong size</t>
        </is>
      </c>
      <c r="F290" s="27" t="n">
        <v>107.24</v>
      </c>
      <c r="G290" s="27" t="n">
        <v>1041</v>
      </c>
      <c r="H290" s="27" t="inlineStr">
        <is>
          <t>06</t>
        </is>
      </c>
      <c r="I290" s="27" t="n">
        <v>2025</v>
      </c>
    </row>
    <row r="291" ht="15" customHeight="1" s="24">
      <c r="A291" s="27" t="n">
        <v>50945</v>
      </c>
      <c r="B291" s="27" t="n">
        <v>710303</v>
      </c>
      <c r="C291" s="27" t="n">
        <v>93</v>
      </c>
      <c r="D291" s="41" t="n">
        <v>45818.87092667824</v>
      </c>
      <c r="E291" s="27" t="inlineStr">
        <is>
          <t>Changed mind</t>
        </is>
      </c>
      <c r="F291" s="27" t="n">
        <v>504.31</v>
      </c>
      <c r="G291" s="27" t="n">
        <v>3231</v>
      </c>
      <c r="H291" s="27" t="inlineStr">
        <is>
          <t>06</t>
        </is>
      </c>
      <c r="I291" s="27" t="n">
        <v>2025</v>
      </c>
    </row>
    <row r="292" ht="15" customHeight="1" s="24">
      <c r="A292" s="27" t="n">
        <v>49470</v>
      </c>
      <c r="B292" s="27" t="n">
        <v>689785</v>
      </c>
      <c r="C292" s="27" t="n">
        <v>4</v>
      </c>
      <c r="D292" s="41" t="n">
        <v>45820.27786284722</v>
      </c>
      <c r="E292" s="27" t="inlineStr">
        <is>
          <t>Wrong size</t>
        </is>
      </c>
      <c r="F292" s="27" t="n">
        <v>63.64</v>
      </c>
      <c r="G292" s="27" t="n">
        <v>2174</v>
      </c>
      <c r="H292" s="27" t="inlineStr">
        <is>
          <t>06</t>
        </is>
      </c>
      <c r="I292" s="27" t="n">
        <v>2025</v>
      </c>
    </row>
    <row r="293" ht="15" customHeight="1" s="24">
      <c r="A293" s="27" t="n">
        <v>50314</v>
      </c>
      <c r="B293" s="27" t="n">
        <v>701477</v>
      </c>
      <c r="C293" s="27" t="n">
        <v>2</v>
      </c>
      <c r="D293" s="41" t="n">
        <v>45824.3772215162</v>
      </c>
      <c r="E293" s="27" t="inlineStr">
        <is>
          <t>Wrong size</t>
        </is>
      </c>
      <c r="F293" s="27" t="n">
        <v>298.1</v>
      </c>
      <c r="G293" s="27" t="n">
        <v>825</v>
      </c>
      <c r="H293" s="27" t="inlineStr">
        <is>
          <t>06</t>
        </is>
      </c>
      <c r="I293" s="27" t="n">
        <v>2025</v>
      </c>
    </row>
    <row r="294" ht="15" customHeight="1" s="24">
      <c r="A294" s="27" t="n">
        <v>49304</v>
      </c>
      <c r="B294" s="27" t="n">
        <v>687561</v>
      </c>
      <c r="C294" s="27" t="n">
        <v>1</v>
      </c>
      <c r="D294" s="41" t="n">
        <v>45825.52899846065</v>
      </c>
      <c r="E294" s="27" t="inlineStr">
        <is>
          <t>Item damaged</t>
        </is>
      </c>
      <c r="F294" s="27" t="n">
        <v>243.97</v>
      </c>
      <c r="G294" s="27" t="n">
        <v>3706</v>
      </c>
      <c r="H294" s="27" t="inlineStr">
        <is>
          <t>06</t>
        </is>
      </c>
      <c r="I294" s="27" t="n">
        <v>2025</v>
      </c>
    </row>
    <row r="295" ht="15" customHeight="1" s="24">
      <c r="A295" s="27" t="n">
        <v>51252</v>
      </c>
      <c r="B295" s="27" t="n">
        <v>714533</v>
      </c>
      <c r="C295" s="27" t="n">
        <v>143</v>
      </c>
      <c r="D295" s="41" t="n">
        <v>45828.75711902778</v>
      </c>
      <c r="E295" s="27" t="inlineStr">
        <is>
          <t>Arrived too late</t>
        </is>
      </c>
      <c r="F295" s="27" t="n">
        <v>136.59</v>
      </c>
      <c r="G295" s="27" t="n">
        <v>1511</v>
      </c>
      <c r="H295" s="27" t="inlineStr">
        <is>
          <t>06</t>
        </is>
      </c>
      <c r="I295" s="27" t="n">
        <v>2025</v>
      </c>
    </row>
    <row r="296" ht="15" customHeight="1" s="24">
      <c r="A296" s="27" t="n">
        <v>51130</v>
      </c>
      <c r="B296" s="27" t="n">
        <v>712789</v>
      </c>
      <c r="C296" s="27" t="n">
        <v>1</v>
      </c>
      <c r="D296" s="41" t="n">
        <v>45830.835585</v>
      </c>
      <c r="E296" s="27" t="inlineStr">
        <is>
          <t>Changed mind</t>
        </is>
      </c>
      <c r="F296" s="27" t="n">
        <v>1180.21</v>
      </c>
      <c r="G296" s="27" t="n">
        <v>3713</v>
      </c>
      <c r="H296" s="27" t="inlineStr">
        <is>
          <t>06</t>
        </is>
      </c>
      <c r="I296" s="27" t="n">
        <v>2025</v>
      </c>
    </row>
    <row r="297" ht="15" customHeight="1" s="24">
      <c r="A297" s="27" t="n">
        <v>50019</v>
      </c>
      <c r="B297" s="27" t="n">
        <v>697457</v>
      </c>
      <c r="C297" s="27" t="n">
        <v>47</v>
      </c>
      <c r="D297" s="41" t="n">
        <v>45833.93371122685</v>
      </c>
      <c r="E297" s="27" t="inlineStr">
        <is>
          <t>Wrong item shipped</t>
        </is>
      </c>
      <c r="F297" s="27" t="n">
        <v>349.52</v>
      </c>
      <c r="G297" s="27" t="n">
        <v>3898</v>
      </c>
      <c r="H297" s="27" t="inlineStr">
        <is>
          <t>06</t>
        </is>
      </c>
      <c r="I297" s="27" t="n">
        <v>2025</v>
      </c>
    </row>
    <row r="298" ht="15" customHeight="1" s="24">
      <c r="A298" s="27" t="n">
        <v>50341</v>
      </c>
      <c r="B298" s="27" t="n">
        <v>701938</v>
      </c>
      <c r="C298" s="27" t="n">
        <v>1</v>
      </c>
      <c r="D298" s="41" t="n">
        <v>45835.68613608796</v>
      </c>
      <c r="E298" s="27" t="inlineStr">
        <is>
          <t>Better price elsewhere</t>
        </is>
      </c>
      <c r="F298" s="27" t="n">
        <v>64.48</v>
      </c>
      <c r="G298" s="27" t="n">
        <v>97</v>
      </c>
      <c r="H298" s="27" t="inlineStr">
        <is>
          <t>06</t>
        </is>
      </c>
      <c r="I298" s="27" t="n">
        <v>2025</v>
      </c>
    </row>
    <row r="299" ht="15" customHeight="1" s="24">
      <c r="A299" s="27" t="n">
        <v>51087</v>
      </c>
      <c r="B299" s="27" t="n">
        <v>712298</v>
      </c>
      <c r="C299" s="27" t="n">
        <v>4</v>
      </c>
      <c r="D299" s="41" t="n">
        <v>45836.22476172454</v>
      </c>
      <c r="E299" s="27" t="inlineStr">
        <is>
          <t>Item damaged</t>
        </is>
      </c>
      <c r="F299" s="27" t="n">
        <v>138.39</v>
      </c>
      <c r="G299" s="27" t="n">
        <v>2947</v>
      </c>
      <c r="H299" s="27" t="inlineStr">
        <is>
          <t>06</t>
        </is>
      </c>
      <c r="I299" s="27" t="n">
        <v>2025</v>
      </c>
    </row>
    <row r="300" ht="15" customHeight="1" s="24">
      <c r="A300" s="27" t="n">
        <v>50315</v>
      </c>
      <c r="B300" s="27" t="n">
        <v>701492</v>
      </c>
      <c r="C300" s="27" t="n">
        <v>68</v>
      </c>
      <c r="D300" s="41" t="n">
        <v>45836.31997105324</v>
      </c>
      <c r="E300" s="27" t="inlineStr">
        <is>
          <t>Item damaged</t>
        </is>
      </c>
      <c r="F300" s="27" t="n">
        <v>201.95</v>
      </c>
      <c r="G300" s="27" t="n">
        <v>804</v>
      </c>
      <c r="H300" s="27" t="inlineStr">
        <is>
          <t>06</t>
        </is>
      </c>
      <c r="I300" s="27" t="n">
        <v>2025</v>
      </c>
    </row>
    <row r="301" ht="15" customHeight="1" s="24">
      <c r="A301" s="27" t="n">
        <v>49177</v>
      </c>
      <c r="B301" s="27" t="n">
        <v>685947</v>
      </c>
      <c r="C301" s="27" t="n">
        <v>1</v>
      </c>
      <c r="D301" s="41" t="n">
        <v>45840.08872457176</v>
      </c>
      <c r="E301" s="27" t="inlineStr">
        <is>
          <t>Changed mind</t>
        </is>
      </c>
      <c r="F301" s="27" t="n">
        <v>354.86</v>
      </c>
      <c r="G301" s="27" t="n">
        <v>1301</v>
      </c>
      <c r="H301" s="27" t="inlineStr">
        <is>
          <t>06</t>
        </is>
      </c>
      <c r="I301" s="27" t="n">
        <v>2025</v>
      </c>
    </row>
    <row r="302" ht="15" customHeight="1" s="24">
      <c r="A302" s="27" t="n">
        <v>50195</v>
      </c>
      <c r="B302" s="27" t="n">
        <v>699872</v>
      </c>
      <c r="C302" s="27" t="n">
        <v>52</v>
      </c>
      <c r="D302" s="41" t="n">
        <v>45840.73866121528</v>
      </c>
      <c r="E302" s="27" t="inlineStr">
        <is>
          <t>Changed mind</t>
        </is>
      </c>
      <c r="F302" s="27" t="n">
        <v>890.25</v>
      </c>
      <c r="G302" s="27" t="n">
        <v>3391</v>
      </c>
      <c r="H302" s="27" t="inlineStr">
        <is>
          <t>06</t>
        </is>
      </c>
      <c r="I302" s="27" t="n">
        <v>2025</v>
      </c>
    </row>
    <row r="303" ht="15" customHeight="1" s="24">
      <c r="A303" s="27" t="n">
        <v>49937</v>
      </c>
      <c r="B303" s="27" t="n">
        <v>696312</v>
      </c>
      <c r="C303" s="27" t="n">
        <v>1</v>
      </c>
      <c r="D303" s="41" t="n">
        <v>45842.68634771991</v>
      </c>
      <c r="E303" s="27" t="inlineStr">
        <is>
          <t>Wrong size</t>
        </is>
      </c>
      <c r="F303" s="27" t="n">
        <v>73.45999999999999</v>
      </c>
      <c r="G303" s="27" t="n">
        <v>140</v>
      </c>
      <c r="H303" s="27" t="inlineStr">
        <is>
          <t>06</t>
        </is>
      </c>
      <c r="I303" s="27" t="n">
        <v>2025</v>
      </c>
    </row>
    <row r="304" ht="15" customHeight="1" s="24">
      <c r="A304" s="27" t="n">
        <v>49502</v>
      </c>
      <c r="B304" s="27" t="n">
        <v>690288</v>
      </c>
      <c r="C304" s="27" t="n">
        <v>146</v>
      </c>
      <c r="D304" s="41" t="n">
        <v>45843.79604958333</v>
      </c>
      <c r="E304" s="27" t="inlineStr">
        <is>
          <t>Not as described</t>
        </is>
      </c>
      <c r="F304" s="27" t="n">
        <v>324.85</v>
      </c>
      <c r="G304" s="27" t="n">
        <v>2331</v>
      </c>
      <c r="H304" s="27" t="inlineStr">
        <is>
          <t>06</t>
        </is>
      </c>
      <c r="I304" s="27" t="n">
        <v>2025</v>
      </c>
    </row>
    <row r="305" ht="15" customHeight="1" s="24">
      <c r="A305" s="27" t="n">
        <v>49597</v>
      </c>
      <c r="B305" s="27" t="n">
        <v>691648</v>
      </c>
      <c r="C305" s="27" t="n">
        <v>1</v>
      </c>
      <c r="D305" s="41" t="n">
        <v>45845.33447774305</v>
      </c>
      <c r="E305" s="27" t="inlineStr">
        <is>
          <t>Item damaged</t>
        </is>
      </c>
      <c r="F305" s="27" t="n">
        <v>1821.63</v>
      </c>
      <c r="G305" s="27" t="n">
        <v>2302</v>
      </c>
      <c r="H305" s="27" t="inlineStr">
        <is>
          <t>06</t>
        </is>
      </c>
      <c r="I305" s="27" t="n">
        <v>2025</v>
      </c>
    </row>
    <row r="306" ht="15" customHeight="1" s="24">
      <c r="A306" s="27" t="n">
        <v>51974</v>
      </c>
      <c r="B306" s="27" t="n">
        <v>724508</v>
      </c>
      <c r="C306" s="27" t="n">
        <v>129</v>
      </c>
      <c r="D306" s="41" t="n">
        <v>45846.14808197917</v>
      </c>
      <c r="E306" s="27" t="inlineStr">
        <is>
          <t>Changed mind</t>
        </is>
      </c>
      <c r="F306" s="27" t="n">
        <v>101.04</v>
      </c>
      <c r="G306" s="27" t="n">
        <v>612</v>
      </c>
      <c r="H306" s="27" t="inlineStr">
        <is>
          <t>07</t>
        </is>
      </c>
      <c r="I306" s="27" t="n">
        <v>2025</v>
      </c>
    </row>
    <row r="307" ht="15" customHeight="1" s="24">
      <c r="A307" s="27" t="n">
        <v>50012</v>
      </c>
      <c r="B307" s="27" t="n">
        <v>697385</v>
      </c>
      <c r="C307" s="27" t="n">
        <v>7</v>
      </c>
      <c r="D307" s="41" t="n">
        <v>45846.76080623842</v>
      </c>
      <c r="E307" s="27" t="inlineStr">
        <is>
          <t>Item damaged</t>
        </is>
      </c>
      <c r="F307" s="27" t="n">
        <v>232.58</v>
      </c>
      <c r="G307" s="27" t="n">
        <v>1869</v>
      </c>
      <c r="H307" s="27" t="inlineStr">
        <is>
          <t>06</t>
        </is>
      </c>
      <c r="I307" s="27" t="n">
        <v>2025</v>
      </c>
    </row>
    <row r="308" ht="15" customHeight="1" s="24">
      <c r="A308" s="27" t="n">
        <v>49525</v>
      </c>
      <c r="B308" s="27" t="n">
        <v>690590</v>
      </c>
      <c r="C308" s="27" t="n">
        <v>56</v>
      </c>
      <c r="D308" s="41" t="n">
        <v>45847.1627212963</v>
      </c>
      <c r="E308" s="27" t="inlineStr">
        <is>
          <t>Wrong size</t>
        </is>
      </c>
      <c r="F308" s="27" t="n">
        <v>63.43</v>
      </c>
      <c r="G308" s="27" t="n">
        <v>1742</v>
      </c>
      <c r="H308" s="27" t="inlineStr">
        <is>
          <t>06</t>
        </is>
      </c>
      <c r="I308" s="27" t="n">
        <v>2025</v>
      </c>
    </row>
    <row r="309" ht="15" customHeight="1" s="24">
      <c r="A309" s="27" t="n">
        <v>51640</v>
      </c>
      <c r="B309" s="27" t="n">
        <v>719945</v>
      </c>
      <c r="C309" s="27" t="n">
        <v>1</v>
      </c>
      <c r="D309" s="41" t="n">
        <v>45847.37111621528</v>
      </c>
      <c r="E309" s="27" t="inlineStr">
        <is>
          <t>Wrong size</t>
        </is>
      </c>
      <c r="F309" s="27" t="n">
        <v>208.87</v>
      </c>
      <c r="G309" s="27" t="n">
        <v>3475</v>
      </c>
      <c r="H309" s="27" t="inlineStr">
        <is>
          <t>07</t>
        </is>
      </c>
      <c r="I309" s="27" t="n">
        <v>2025</v>
      </c>
    </row>
    <row r="310" ht="15" customHeight="1" s="24">
      <c r="A310" s="27" t="n">
        <v>52922</v>
      </c>
      <c r="B310" s="27" t="n">
        <v>737531</v>
      </c>
      <c r="C310" s="27" t="n">
        <v>7</v>
      </c>
      <c r="D310" s="41" t="n">
        <v>45850.08299267361</v>
      </c>
      <c r="E310" s="27" t="inlineStr">
        <is>
          <t>Wrong item shipped</t>
        </is>
      </c>
      <c r="F310" s="27" t="n">
        <v>487.87</v>
      </c>
      <c r="G310" s="27" t="n">
        <v>1614</v>
      </c>
      <c r="H310" s="27" t="inlineStr">
        <is>
          <t>07</t>
        </is>
      </c>
      <c r="I310" s="27" t="n">
        <v>2025</v>
      </c>
    </row>
    <row r="311" ht="15" customHeight="1" s="24">
      <c r="A311" s="27" t="n">
        <v>51518</v>
      </c>
      <c r="B311" s="27" t="n">
        <v>718400</v>
      </c>
      <c r="C311" s="27" t="n">
        <v>8</v>
      </c>
      <c r="D311" s="41" t="n">
        <v>45850.24245042824</v>
      </c>
      <c r="E311" s="27" t="inlineStr">
        <is>
          <t>Not as described</t>
        </is>
      </c>
      <c r="F311" s="27" t="n">
        <v>1075.78</v>
      </c>
      <c r="G311" s="27" t="n">
        <v>741</v>
      </c>
      <c r="H311" s="27" t="inlineStr">
        <is>
          <t>07</t>
        </is>
      </c>
      <c r="I311" s="27" t="n">
        <v>2025</v>
      </c>
    </row>
    <row r="312" ht="15" customHeight="1" s="24">
      <c r="A312" s="27" t="n">
        <v>50446</v>
      </c>
      <c r="B312" s="27" t="n">
        <v>703387</v>
      </c>
      <c r="C312" s="27" t="n">
        <v>1</v>
      </c>
      <c r="D312" s="41" t="n">
        <v>45853.66886392361</v>
      </c>
      <c r="E312" s="27" t="inlineStr">
        <is>
          <t>Item damaged</t>
        </is>
      </c>
      <c r="F312" s="27" t="n">
        <v>424.62</v>
      </c>
      <c r="G312" s="27" t="n">
        <v>3934</v>
      </c>
      <c r="H312" s="27" t="inlineStr">
        <is>
          <t>06</t>
        </is>
      </c>
      <c r="I312" s="27" t="n">
        <v>2025</v>
      </c>
    </row>
    <row r="313" ht="15" customHeight="1" s="24">
      <c r="A313" s="27" t="n">
        <v>53286</v>
      </c>
      <c r="B313" s="27" t="n">
        <v>742525</v>
      </c>
      <c r="C313" s="27" t="n">
        <v>4</v>
      </c>
      <c r="D313" s="41" t="n">
        <v>45854.27151</v>
      </c>
      <c r="E313" s="27" t="inlineStr">
        <is>
          <t>Not as described</t>
        </is>
      </c>
      <c r="F313" s="27" t="n">
        <v>2753.19</v>
      </c>
      <c r="G313" s="27" t="n">
        <v>869</v>
      </c>
      <c r="H313" s="27" t="inlineStr">
        <is>
          <t>07</t>
        </is>
      </c>
      <c r="I313" s="27" t="n">
        <v>2025</v>
      </c>
    </row>
    <row r="314" ht="15" customHeight="1" s="24">
      <c r="A314" s="27" t="n">
        <v>52134</v>
      </c>
      <c r="B314" s="27" t="n">
        <v>727021</v>
      </c>
      <c r="C314" s="27" t="n">
        <v>1</v>
      </c>
      <c r="D314" s="41" t="n">
        <v>45854.55765150463</v>
      </c>
      <c r="E314" s="27" t="inlineStr">
        <is>
          <t>Wrong item shipped</t>
        </is>
      </c>
      <c r="F314" s="27" t="n">
        <v>216.58</v>
      </c>
      <c r="G314" s="27" t="n">
        <v>1826</v>
      </c>
      <c r="H314" s="27" t="inlineStr">
        <is>
          <t>07</t>
        </is>
      </c>
      <c r="I314" s="27" t="n">
        <v>2025</v>
      </c>
    </row>
    <row r="315" ht="15" customHeight="1" s="24">
      <c r="A315" s="27" t="n">
        <v>52408</v>
      </c>
      <c r="B315" s="27" t="n">
        <v>730737</v>
      </c>
      <c r="C315" s="27" t="n">
        <v>4</v>
      </c>
      <c r="D315" s="41" t="n">
        <v>45858.33771254629</v>
      </c>
      <c r="E315" s="27" t="inlineStr">
        <is>
          <t>Wrong size</t>
        </is>
      </c>
      <c r="F315" s="27" t="n">
        <v>545.55</v>
      </c>
      <c r="G315" s="27" t="n">
        <v>373</v>
      </c>
      <c r="H315" s="27" t="inlineStr">
        <is>
          <t>07</t>
        </is>
      </c>
      <c r="I315" s="27" t="n">
        <v>2025</v>
      </c>
    </row>
    <row r="316" ht="15" customHeight="1" s="24">
      <c r="A316" s="27" t="n">
        <v>52256</v>
      </c>
      <c r="B316" s="27" t="n">
        <v>728611</v>
      </c>
      <c r="C316" s="27" t="n">
        <v>7</v>
      </c>
      <c r="D316" s="41" t="n">
        <v>45864.27230649305</v>
      </c>
      <c r="E316" s="27" t="inlineStr">
        <is>
          <t>Not as described</t>
        </is>
      </c>
      <c r="F316" s="27" t="n">
        <v>79.36</v>
      </c>
      <c r="G316" s="27" t="n">
        <v>1605</v>
      </c>
      <c r="H316" s="27" t="inlineStr">
        <is>
          <t>07</t>
        </is>
      </c>
      <c r="I316" s="27" t="n">
        <v>2025</v>
      </c>
    </row>
    <row r="317" ht="15" customHeight="1" s="24">
      <c r="A317" s="27" t="n">
        <v>53933</v>
      </c>
      <c r="B317" s="27" t="n">
        <v>751415</v>
      </c>
      <c r="C317" s="27" t="n">
        <v>1</v>
      </c>
      <c r="D317" s="41" t="n">
        <v>45868.79237278935</v>
      </c>
      <c r="E317" s="27" t="inlineStr">
        <is>
          <t>Not as described</t>
        </is>
      </c>
      <c r="F317" s="27" t="n">
        <v>378.59</v>
      </c>
      <c r="G317" s="27" t="n">
        <v>3601</v>
      </c>
      <c r="H317" s="27" t="inlineStr">
        <is>
          <t>07</t>
        </is>
      </c>
      <c r="I317" s="27" t="n">
        <v>2025</v>
      </c>
    </row>
    <row r="318" ht="15" customHeight="1" s="24">
      <c r="A318" s="27" t="n">
        <v>53345</v>
      </c>
      <c r="B318" s="27" t="n">
        <v>743284</v>
      </c>
      <c r="C318" s="27" t="n">
        <v>4</v>
      </c>
      <c r="D318" s="41" t="n">
        <v>45873.33105296296</v>
      </c>
      <c r="E318" s="27" t="inlineStr">
        <is>
          <t>Item damaged</t>
        </is>
      </c>
      <c r="F318" s="27" t="n">
        <v>97.43000000000001</v>
      </c>
      <c r="G318" s="27" t="n">
        <v>3296</v>
      </c>
      <c r="H318" s="27" t="inlineStr">
        <is>
          <t>07</t>
        </is>
      </c>
      <c r="I318" s="27" t="n">
        <v>2025</v>
      </c>
    </row>
    <row r="319" ht="15" customHeight="1" s="24">
      <c r="A319" s="27" t="n">
        <v>51996</v>
      </c>
      <c r="B319" s="27" t="n">
        <v>724760</v>
      </c>
      <c r="C319" s="27" t="n">
        <v>138</v>
      </c>
      <c r="D319" s="41" t="n">
        <v>45873.96333224537</v>
      </c>
      <c r="E319" s="27" t="inlineStr">
        <is>
          <t>Changed mind</t>
        </is>
      </c>
      <c r="F319" s="27" t="n">
        <v>96.22</v>
      </c>
      <c r="G319" s="27" t="n">
        <v>620</v>
      </c>
      <c r="H319" s="27" t="inlineStr">
        <is>
          <t>07</t>
        </is>
      </c>
      <c r="I319" s="27" t="n">
        <v>2025</v>
      </c>
    </row>
    <row r="320" ht="15" customHeight="1" s="24">
      <c r="A320" s="27" t="n">
        <v>52301</v>
      </c>
      <c r="B320" s="27" t="n">
        <v>729177</v>
      </c>
      <c r="C320" s="27" t="n">
        <v>4</v>
      </c>
      <c r="D320" s="41" t="n">
        <v>45874.05107646991</v>
      </c>
      <c r="E320" s="27" t="inlineStr">
        <is>
          <t>Wrong size</t>
        </is>
      </c>
      <c r="F320" s="27" t="n">
        <v>1440.7</v>
      </c>
      <c r="G320" s="27" t="n">
        <v>1097</v>
      </c>
      <c r="H320" s="27" t="inlineStr">
        <is>
          <t>07</t>
        </is>
      </c>
      <c r="I320" s="27" t="n">
        <v>2025</v>
      </c>
    </row>
    <row r="321" ht="15" customHeight="1" s="24">
      <c r="A321" s="27" t="n">
        <v>51644</v>
      </c>
      <c r="B321" s="27" t="n">
        <v>720011</v>
      </c>
      <c r="C321" s="27" t="n">
        <v>2</v>
      </c>
      <c r="D321" s="41" t="n">
        <v>45874.6453284375</v>
      </c>
      <c r="E321" s="27" t="inlineStr">
        <is>
          <t>Wrong size</t>
        </is>
      </c>
      <c r="F321" s="27" t="n">
        <v>868.91</v>
      </c>
      <c r="G321" s="27" t="n">
        <v>3490</v>
      </c>
      <c r="H321" s="27" t="inlineStr">
        <is>
          <t>07</t>
        </is>
      </c>
      <c r="I321" s="27" t="n">
        <v>2025</v>
      </c>
    </row>
    <row r="322" ht="15" customHeight="1" s="24">
      <c r="A322" s="27" t="n">
        <v>55482</v>
      </c>
      <c r="B322" s="27" t="n">
        <v>772697</v>
      </c>
      <c r="C322" s="27" t="n">
        <v>2</v>
      </c>
      <c r="D322" s="41" t="n">
        <v>45875.66316761574</v>
      </c>
      <c r="E322" s="27" t="inlineStr">
        <is>
          <t>Wrong size</t>
        </is>
      </c>
      <c r="F322" s="27" t="n">
        <v>908.26</v>
      </c>
      <c r="G322" s="27" t="n">
        <v>1254</v>
      </c>
      <c r="H322" s="27" t="inlineStr">
        <is>
          <t>08</t>
        </is>
      </c>
      <c r="I322" s="27" t="n">
        <v>2025</v>
      </c>
    </row>
    <row r="323" ht="15" customHeight="1" s="24">
      <c r="A323" s="27" t="n">
        <v>53595</v>
      </c>
      <c r="B323" s="27" t="n">
        <v>746649</v>
      </c>
      <c r="C323" s="27" t="n">
        <v>61</v>
      </c>
      <c r="D323" s="41" t="n">
        <v>45880.42573173611</v>
      </c>
      <c r="E323" s="27" t="inlineStr">
        <is>
          <t>Wrong size</t>
        </is>
      </c>
      <c r="F323" s="27" t="n">
        <v>461.34</v>
      </c>
      <c r="G323" s="27" t="n">
        <v>3805</v>
      </c>
      <c r="H323" s="27" t="inlineStr">
        <is>
          <t>07</t>
        </is>
      </c>
      <c r="I323" s="27" t="n">
        <v>2025</v>
      </c>
    </row>
    <row r="324" ht="15" customHeight="1" s="24">
      <c r="A324" s="27" t="n">
        <v>55723</v>
      </c>
      <c r="B324" s="27" t="n">
        <v>776445</v>
      </c>
      <c r="C324" s="27" t="n">
        <v>1</v>
      </c>
      <c r="D324" s="41" t="n">
        <v>45880.72074552083</v>
      </c>
      <c r="E324" s="27" t="inlineStr">
        <is>
          <t>Wrong size</t>
        </is>
      </c>
      <c r="F324" s="27" t="n">
        <v>75.98999999999999</v>
      </c>
      <c r="G324" s="27" t="n">
        <v>3585</v>
      </c>
      <c r="H324" s="27" t="inlineStr">
        <is>
          <t>08</t>
        </is>
      </c>
      <c r="I324" s="27" t="n">
        <v>2025</v>
      </c>
    </row>
    <row r="325" ht="15" customHeight="1" s="24">
      <c r="A325" s="27" t="n">
        <v>54273</v>
      </c>
      <c r="B325" s="27" t="n">
        <v>756511</v>
      </c>
      <c r="C325" s="27" t="n">
        <v>7</v>
      </c>
      <c r="D325" s="41" t="n">
        <v>45880.77254019676</v>
      </c>
      <c r="E325" s="27" t="inlineStr">
        <is>
          <t>Item damaged</t>
        </is>
      </c>
      <c r="F325" s="27" t="n">
        <v>191.99</v>
      </c>
      <c r="G325" s="27" t="n">
        <v>113</v>
      </c>
      <c r="H325" s="27" t="inlineStr">
        <is>
          <t>08</t>
        </is>
      </c>
      <c r="I325" s="27" t="n">
        <v>2025</v>
      </c>
    </row>
    <row r="326" ht="15" customHeight="1" s="24">
      <c r="A326" s="27" t="n">
        <v>55211</v>
      </c>
      <c r="B326" s="27" t="n">
        <v>769043</v>
      </c>
      <c r="C326" s="27" t="n">
        <v>51</v>
      </c>
      <c r="D326" s="41" t="n">
        <v>45882.23600849537</v>
      </c>
      <c r="E326" s="27" t="inlineStr">
        <is>
          <t>Item damaged</t>
        </is>
      </c>
      <c r="F326" s="27" t="n">
        <v>310.2</v>
      </c>
      <c r="G326" s="27" t="n">
        <v>831</v>
      </c>
      <c r="H326" s="27" t="inlineStr">
        <is>
          <t>08</t>
        </is>
      </c>
      <c r="I326" s="27" t="n">
        <v>2025</v>
      </c>
    </row>
    <row r="327" ht="15" customHeight="1" s="24">
      <c r="A327" s="27" t="n">
        <v>56087</v>
      </c>
      <c r="B327" s="27" t="n">
        <v>781112</v>
      </c>
      <c r="C327" s="27" t="n">
        <v>17</v>
      </c>
      <c r="D327" s="41" t="n">
        <v>45885.47157459491</v>
      </c>
      <c r="E327" s="27" t="inlineStr">
        <is>
          <t>Item damaged</t>
        </is>
      </c>
      <c r="F327" s="27" t="n">
        <v>112.01</v>
      </c>
      <c r="G327" s="27" t="n">
        <v>2064</v>
      </c>
      <c r="H327" s="27" t="inlineStr">
        <is>
          <t>08</t>
        </is>
      </c>
      <c r="I327" s="27" t="n">
        <v>2025</v>
      </c>
    </row>
    <row r="328" ht="15" customHeight="1" s="24">
      <c r="A328" s="27" t="n">
        <v>54077</v>
      </c>
      <c r="B328" s="27" t="n">
        <v>753516</v>
      </c>
      <c r="C328" s="27" t="n">
        <v>23</v>
      </c>
      <c r="D328" s="41" t="n">
        <v>45894.96298489584</v>
      </c>
      <c r="E328" s="27" t="inlineStr">
        <is>
          <t>Wrong item shipped</t>
        </is>
      </c>
      <c r="F328" s="27" t="n">
        <v>266.75</v>
      </c>
      <c r="G328" s="27" t="n">
        <v>3695</v>
      </c>
      <c r="H328" s="27" t="inlineStr">
        <is>
          <t>08</t>
        </is>
      </c>
      <c r="I328" s="27" t="n">
        <v>2025</v>
      </c>
    </row>
    <row r="329" ht="15" customHeight="1" s="24">
      <c r="A329" s="27" t="n">
        <v>54865</v>
      </c>
      <c r="B329" s="27" t="n">
        <v>764401</v>
      </c>
      <c r="C329" s="27" t="n">
        <v>34</v>
      </c>
      <c r="D329" s="41" t="n">
        <v>45894.97744855324</v>
      </c>
      <c r="E329" s="27" t="inlineStr">
        <is>
          <t>Better price elsewhere</t>
        </is>
      </c>
      <c r="F329" s="27" t="n">
        <v>139.96</v>
      </c>
      <c r="G329" s="27" t="n">
        <v>229</v>
      </c>
      <c r="H329" s="27" t="inlineStr">
        <is>
          <t>08</t>
        </is>
      </c>
      <c r="I329" s="27" t="n">
        <v>2025</v>
      </c>
    </row>
    <row r="330" ht="15" customHeight="1" s="24">
      <c r="A330" s="27" t="n">
        <v>54625</v>
      </c>
      <c r="B330" s="27" t="n">
        <v>761336</v>
      </c>
      <c r="C330" s="27" t="n">
        <v>1</v>
      </c>
      <c r="D330" s="41" t="n">
        <v>45897.10885247685</v>
      </c>
      <c r="E330" s="27" t="inlineStr">
        <is>
          <t>Arrived too late</t>
        </is>
      </c>
      <c r="F330" s="27" t="n">
        <v>249.95</v>
      </c>
      <c r="G330" s="27" t="n">
        <v>3914</v>
      </c>
      <c r="H330" s="27" t="inlineStr">
        <is>
          <t>08</t>
        </is>
      </c>
      <c r="I330" s="27" t="n">
        <v>2025</v>
      </c>
    </row>
    <row r="331" ht="15" customHeight="1" s="24">
      <c r="A331" s="27" t="n">
        <v>56157</v>
      </c>
      <c r="B331" s="27" t="n">
        <v>781877</v>
      </c>
      <c r="C331" s="27" t="n">
        <v>1</v>
      </c>
      <c r="D331" s="41" t="n">
        <v>45897.27042222222</v>
      </c>
      <c r="E331" s="27" t="inlineStr">
        <is>
          <t>Wrong item shipped</t>
        </is>
      </c>
      <c r="F331" s="27" t="n">
        <v>180.31</v>
      </c>
      <c r="G331" s="27" t="n">
        <v>805</v>
      </c>
      <c r="H331" s="27" t="inlineStr">
        <is>
          <t>08</t>
        </is>
      </c>
      <c r="I331" s="27" t="n">
        <v>2025</v>
      </c>
    </row>
    <row r="332" ht="15" customHeight="1" s="24">
      <c r="A332" s="27" t="n">
        <v>55932</v>
      </c>
      <c r="B332" s="27" t="n">
        <v>779144</v>
      </c>
      <c r="C332" s="27" t="n">
        <v>120</v>
      </c>
      <c r="D332" s="41" t="n">
        <v>45905.20888907407</v>
      </c>
      <c r="E332" s="27" t="inlineStr">
        <is>
          <t>Not as described</t>
        </is>
      </c>
      <c r="F332" s="27" t="n">
        <v>204.96</v>
      </c>
      <c r="G332" s="27" t="n">
        <v>762</v>
      </c>
      <c r="H332" s="27" t="inlineStr">
        <is>
          <t>08</t>
        </is>
      </c>
      <c r="I332" s="27" t="n">
        <v>2025</v>
      </c>
    </row>
    <row r="333" ht="15" customHeight="1" s="24">
      <c r="A333" s="27" t="n">
        <v>55940</v>
      </c>
      <c r="B333" s="27" t="n">
        <v>779243</v>
      </c>
      <c r="C333" s="27" t="n">
        <v>143</v>
      </c>
      <c r="D333" s="41" t="n">
        <v>45907.35749793982</v>
      </c>
      <c r="E333" s="27" t="inlineStr">
        <is>
          <t>Wrong size</t>
        </is>
      </c>
      <c r="F333" s="27" t="n">
        <v>168.24</v>
      </c>
      <c r="G333" s="27" t="n">
        <v>2215</v>
      </c>
      <c r="H333" s="27" t="inlineStr">
        <is>
          <t>08</t>
        </is>
      </c>
      <c r="I333" s="27" t="n">
        <v>2025</v>
      </c>
    </row>
    <row r="334" ht="15" customHeight="1" s="24">
      <c r="A334" s="27" t="n">
        <v>57106</v>
      </c>
      <c r="B334" s="27" t="n">
        <v>795266</v>
      </c>
      <c r="C334" s="27" t="n">
        <v>83</v>
      </c>
      <c r="D334" s="41" t="n">
        <v>45909.18351589121</v>
      </c>
      <c r="E334" s="27" t="inlineStr">
        <is>
          <t>Wrong size</t>
        </is>
      </c>
      <c r="F334" s="27" t="n">
        <v>102.39</v>
      </c>
      <c r="G334" s="27" t="n">
        <v>2969</v>
      </c>
      <c r="H334" s="27" t="inlineStr">
        <is>
          <t>09</t>
        </is>
      </c>
      <c r="I334" s="27" t="n">
        <v>2025</v>
      </c>
    </row>
    <row r="335" ht="15" customHeight="1" s="24">
      <c r="A335" s="27" t="n">
        <v>57203</v>
      </c>
      <c r="B335" s="27" t="n">
        <v>796562</v>
      </c>
      <c r="C335" s="27" t="n">
        <v>52</v>
      </c>
      <c r="D335" s="41" t="n">
        <v>45914.02237105324</v>
      </c>
      <c r="E335" s="27" t="inlineStr">
        <is>
          <t>Wrong size</t>
        </is>
      </c>
      <c r="F335" s="27" t="n">
        <v>467.34</v>
      </c>
      <c r="G335" s="27" t="n">
        <v>613</v>
      </c>
      <c r="H335" s="27" t="inlineStr">
        <is>
          <t>09</t>
        </is>
      </c>
      <c r="I335" s="27" t="n">
        <v>2025</v>
      </c>
    </row>
    <row r="336" ht="15" customHeight="1" s="24">
      <c r="A336" s="27" t="n">
        <v>57706</v>
      </c>
      <c r="B336" s="27" t="n">
        <v>803519</v>
      </c>
      <c r="C336" s="27" t="n">
        <v>2</v>
      </c>
      <c r="D336" s="41" t="n">
        <v>45914.17196728009</v>
      </c>
      <c r="E336" s="27" t="inlineStr">
        <is>
          <t>Defective product</t>
        </is>
      </c>
      <c r="F336" s="27" t="n">
        <v>112.27</v>
      </c>
      <c r="G336" s="27" t="n">
        <v>735</v>
      </c>
      <c r="H336" s="27" t="inlineStr">
        <is>
          <t>09</t>
        </is>
      </c>
      <c r="I336" s="27" t="n">
        <v>2025</v>
      </c>
    </row>
    <row r="337" ht="15" customHeight="1" s="24">
      <c r="A337" s="27" t="n">
        <v>56707</v>
      </c>
      <c r="B337" s="27" t="n">
        <v>789539</v>
      </c>
      <c r="C337" s="27" t="n">
        <v>1</v>
      </c>
      <c r="D337" s="41" t="n">
        <v>45916.01803503472</v>
      </c>
      <c r="E337" s="27" t="inlineStr">
        <is>
          <t>Wrong item shipped</t>
        </is>
      </c>
      <c r="F337" s="27" t="n">
        <v>493.43</v>
      </c>
      <c r="G337" s="27" t="n">
        <v>2033</v>
      </c>
      <c r="H337" s="27" t="inlineStr">
        <is>
          <t>09</t>
        </is>
      </c>
      <c r="I337" s="27" t="n">
        <v>2025</v>
      </c>
    </row>
    <row r="338" ht="15" customHeight="1" s="24">
      <c r="A338" s="27" t="n">
        <v>57219</v>
      </c>
      <c r="B338" s="27" t="n">
        <v>796965</v>
      </c>
      <c r="C338" s="27" t="n">
        <v>1</v>
      </c>
      <c r="D338" s="41" t="n">
        <v>45917.50322288195</v>
      </c>
      <c r="E338" s="27" t="inlineStr">
        <is>
          <t>Better price elsewhere</t>
        </is>
      </c>
      <c r="F338" s="27" t="n">
        <v>182.36</v>
      </c>
      <c r="G338" s="27" t="n">
        <v>3111</v>
      </c>
      <c r="H338" s="27" t="inlineStr">
        <is>
          <t>09</t>
        </is>
      </c>
      <c r="I338" s="27" t="n">
        <v>2025</v>
      </c>
    </row>
    <row r="339" ht="15" customHeight="1" s="24">
      <c r="A339" s="27" t="n">
        <v>59202</v>
      </c>
      <c r="B339" s="27" t="n">
        <v>823629</v>
      </c>
      <c r="C339" s="27" t="n">
        <v>4</v>
      </c>
      <c r="D339" s="41" t="n">
        <v>45918.29294664352</v>
      </c>
      <c r="E339" s="27" t="inlineStr">
        <is>
          <t>Wrong size</t>
        </is>
      </c>
      <c r="F339" s="27" t="n">
        <v>212.51</v>
      </c>
      <c r="G339" s="27" t="n">
        <v>2201</v>
      </c>
      <c r="H339" s="27" t="inlineStr">
        <is>
          <t>09</t>
        </is>
      </c>
      <c r="I339" s="27" t="n">
        <v>2025</v>
      </c>
    </row>
    <row r="340" ht="15" customHeight="1" s="24">
      <c r="A340" s="27" t="n">
        <v>57138</v>
      </c>
      <c r="B340" s="27" t="n">
        <v>795604</v>
      </c>
      <c r="C340" s="27" t="n">
        <v>18</v>
      </c>
      <c r="D340" s="41" t="n">
        <v>45918.3588059375</v>
      </c>
      <c r="E340" s="27" t="inlineStr">
        <is>
          <t>Wrong size</t>
        </is>
      </c>
      <c r="F340" s="27" t="n">
        <v>631.37</v>
      </c>
      <c r="G340" s="27" t="n">
        <v>3399</v>
      </c>
      <c r="H340" s="27" t="inlineStr">
        <is>
          <t>09</t>
        </is>
      </c>
      <c r="I340" s="27" t="n">
        <v>2025</v>
      </c>
    </row>
    <row r="341" ht="15" customHeight="1" s="24">
      <c r="A341" s="27" t="n">
        <v>59135</v>
      </c>
      <c r="B341" s="27" t="n">
        <v>822774</v>
      </c>
      <c r="C341" s="27" t="n">
        <v>91</v>
      </c>
      <c r="D341" s="41" t="n">
        <v>45918.72811892361</v>
      </c>
      <c r="E341" s="27" t="inlineStr">
        <is>
          <t>Defective product</t>
        </is>
      </c>
      <c r="F341" s="27" t="n">
        <v>279.14</v>
      </c>
      <c r="G341" s="27" t="n">
        <v>2399</v>
      </c>
      <c r="H341" s="27" t="inlineStr">
        <is>
          <t>09</t>
        </is>
      </c>
      <c r="I341" s="27" t="n">
        <v>2025</v>
      </c>
    </row>
    <row r="342" ht="15" customHeight="1" s="24">
      <c r="A342" s="27" t="n">
        <v>59081</v>
      </c>
      <c r="B342" s="27" t="n">
        <v>822105</v>
      </c>
      <c r="C342" s="27" t="n">
        <v>1</v>
      </c>
      <c r="D342" s="41" t="n">
        <v>45920.04401697917</v>
      </c>
      <c r="E342" s="27" t="inlineStr">
        <is>
          <t>Item damaged</t>
        </is>
      </c>
      <c r="F342" s="27" t="n">
        <v>323.03</v>
      </c>
      <c r="G342" s="27" t="n">
        <v>2467</v>
      </c>
      <c r="H342" s="27" t="inlineStr">
        <is>
          <t>09</t>
        </is>
      </c>
      <c r="I342" s="27" t="n">
        <v>2025</v>
      </c>
    </row>
    <row r="343" ht="15" customHeight="1" s="24">
      <c r="A343" s="27" t="n">
        <v>58013</v>
      </c>
      <c r="B343" s="27" t="n">
        <v>807724</v>
      </c>
      <c r="C343" s="27" t="n">
        <v>8</v>
      </c>
      <c r="D343" s="41" t="n">
        <v>45920.44357008102</v>
      </c>
      <c r="E343" s="27" t="inlineStr">
        <is>
          <t>Wrong size</t>
        </is>
      </c>
      <c r="F343" s="27" t="n">
        <v>384.95</v>
      </c>
      <c r="G343" s="27" t="n">
        <v>2687</v>
      </c>
      <c r="H343" s="27" t="inlineStr">
        <is>
          <t>09</t>
        </is>
      </c>
      <c r="I343" s="27" t="n">
        <v>2025</v>
      </c>
    </row>
    <row r="344" ht="15" customHeight="1" s="24">
      <c r="A344" s="27" t="n">
        <v>56639</v>
      </c>
      <c r="B344" s="27" t="n">
        <v>788703</v>
      </c>
      <c r="C344" s="27" t="n">
        <v>52</v>
      </c>
      <c r="D344" s="41" t="n">
        <v>45921.9621262037</v>
      </c>
      <c r="E344" s="27" t="inlineStr">
        <is>
          <t>Wrong size</t>
        </is>
      </c>
      <c r="F344" s="27" t="n">
        <v>28.89</v>
      </c>
      <c r="G344" s="27" t="n">
        <v>621</v>
      </c>
      <c r="H344" s="27" t="inlineStr">
        <is>
          <t>09</t>
        </is>
      </c>
      <c r="I344" s="27" t="n">
        <v>2025</v>
      </c>
    </row>
    <row r="345" ht="15" customHeight="1" s="24">
      <c r="A345" s="27" t="n">
        <v>59191</v>
      </c>
      <c r="B345" s="27" t="n">
        <v>823415</v>
      </c>
      <c r="C345" s="27" t="n">
        <v>117</v>
      </c>
      <c r="D345" s="41" t="n">
        <v>45922.7523271875</v>
      </c>
      <c r="E345" s="27" t="inlineStr">
        <is>
          <t>Changed mind</t>
        </is>
      </c>
      <c r="F345" s="27" t="n">
        <v>252.38</v>
      </c>
      <c r="G345" s="27" t="n">
        <v>456</v>
      </c>
      <c r="H345" s="27" t="inlineStr">
        <is>
          <t>09</t>
        </is>
      </c>
      <c r="I345" s="27" t="n">
        <v>2025</v>
      </c>
    </row>
    <row r="346" ht="15" customHeight="1" s="24">
      <c r="A346" s="27" t="n">
        <v>56696</v>
      </c>
      <c r="B346" s="27" t="n">
        <v>789453</v>
      </c>
      <c r="C346" s="27" t="n">
        <v>4</v>
      </c>
      <c r="D346" s="41" t="n">
        <v>45923.02797142361</v>
      </c>
      <c r="E346" s="27" t="inlineStr">
        <is>
          <t>Wrong size</t>
        </is>
      </c>
      <c r="F346" s="27" t="n">
        <v>101.57</v>
      </c>
      <c r="G346" s="27" t="n">
        <v>1292</v>
      </c>
      <c r="H346" s="27" t="inlineStr">
        <is>
          <t>09</t>
        </is>
      </c>
      <c r="I346" s="27" t="n">
        <v>2025</v>
      </c>
    </row>
    <row r="347" ht="15" customHeight="1" s="24">
      <c r="A347" s="27" t="n">
        <v>56935</v>
      </c>
      <c r="B347" s="27" t="n">
        <v>792727</v>
      </c>
      <c r="C347" s="27" t="n">
        <v>4</v>
      </c>
      <c r="D347" s="41" t="n">
        <v>45927.78623057871</v>
      </c>
      <c r="E347" s="27" t="inlineStr">
        <is>
          <t>Defective product</t>
        </is>
      </c>
      <c r="F347" s="27" t="n">
        <v>192.99</v>
      </c>
      <c r="G347" s="27" t="n">
        <v>3599</v>
      </c>
      <c r="H347" s="27" t="inlineStr">
        <is>
          <t>09</t>
        </is>
      </c>
      <c r="I347" s="27" t="n">
        <v>2025</v>
      </c>
    </row>
    <row r="348" ht="15" customHeight="1" s="24">
      <c r="A348" s="27" t="n">
        <v>57567</v>
      </c>
      <c r="B348" s="27" t="n">
        <v>801607</v>
      </c>
      <c r="C348" s="27" t="n">
        <v>38</v>
      </c>
      <c r="D348" s="41" t="n">
        <v>45928.09467788194</v>
      </c>
      <c r="E348" s="27" t="inlineStr">
        <is>
          <t>Item damaged</t>
        </is>
      </c>
      <c r="F348" s="27" t="n">
        <v>130.81</v>
      </c>
      <c r="G348" s="27" t="n">
        <v>1237</v>
      </c>
      <c r="H348" s="27" t="inlineStr">
        <is>
          <t>09</t>
        </is>
      </c>
      <c r="I348" s="27" t="n">
        <v>2025</v>
      </c>
    </row>
    <row r="349" ht="15" customHeight="1" s="24">
      <c r="A349" s="27" t="n">
        <v>57602</v>
      </c>
      <c r="B349" s="27" t="n">
        <v>802062</v>
      </c>
      <c r="C349" s="27" t="n">
        <v>4</v>
      </c>
      <c r="D349" s="41" t="n">
        <v>45930.55994097222</v>
      </c>
      <c r="E349" s="27" t="inlineStr">
        <is>
          <t>Wrong size</t>
        </is>
      </c>
      <c r="F349" s="27" t="n">
        <v>48.12</v>
      </c>
      <c r="G349" s="27" t="n">
        <v>3695</v>
      </c>
      <c r="H349" s="27" t="inlineStr">
        <is>
          <t>09</t>
        </is>
      </c>
      <c r="I349" s="27" t="n">
        <v>2025</v>
      </c>
    </row>
    <row r="350" ht="15" customHeight="1" s="24">
      <c r="A350" s="27" t="n">
        <v>58809</v>
      </c>
      <c r="B350" s="27" t="n">
        <v>818204</v>
      </c>
      <c r="C350" s="27" t="n">
        <v>18</v>
      </c>
      <c r="D350" s="41" t="n">
        <v>45935.99166921296</v>
      </c>
      <c r="E350" s="27" t="inlineStr">
        <is>
          <t>Changed mind</t>
        </is>
      </c>
      <c r="F350" s="27" t="n">
        <v>53.72</v>
      </c>
      <c r="G350" s="27" t="n">
        <v>2121</v>
      </c>
      <c r="H350" s="27" t="inlineStr">
        <is>
          <t>09</t>
        </is>
      </c>
      <c r="I350" s="27" t="n">
        <v>2025</v>
      </c>
    </row>
    <row r="351" ht="15" customHeight="1" s="24">
      <c r="A351" s="27" t="n">
        <v>57829</v>
      </c>
      <c r="B351" s="27" t="n">
        <v>805328</v>
      </c>
      <c r="C351" s="27" t="n">
        <v>14</v>
      </c>
      <c r="D351" s="41" t="n">
        <v>45940.01383366898</v>
      </c>
      <c r="E351" s="27" t="inlineStr">
        <is>
          <t>Changed mind</t>
        </is>
      </c>
      <c r="F351" s="27" t="n">
        <v>23.52</v>
      </c>
      <c r="G351" s="27" t="n">
        <v>3025</v>
      </c>
      <c r="H351" s="27" t="inlineStr">
        <is>
          <t>09</t>
        </is>
      </c>
      <c r="I351" s="27" t="n">
        <v>2025</v>
      </c>
    </row>
    <row r="352" ht="15" customHeight="1" s="24">
      <c r="A352" s="27" t="n">
        <v>59952</v>
      </c>
      <c r="B352" s="27" t="n">
        <v>835014</v>
      </c>
      <c r="C352" s="27" t="n">
        <v>71</v>
      </c>
      <c r="D352" s="41" t="n">
        <v>45940.4007003125</v>
      </c>
      <c r="E352" s="27" t="inlineStr">
        <is>
          <t>Not as described</t>
        </is>
      </c>
      <c r="F352" s="27" t="n">
        <v>304.73</v>
      </c>
      <c r="G352" s="27" t="n">
        <v>3776</v>
      </c>
      <c r="H352" s="27" t="inlineStr">
        <is>
          <t>10</t>
        </is>
      </c>
      <c r="I352" s="27" t="n">
        <v>2025</v>
      </c>
    </row>
    <row r="353" ht="15" customHeight="1" s="24">
      <c r="A353" s="27" t="n">
        <v>60845</v>
      </c>
      <c r="B353" s="27" t="n">
        <v>847983</v>
      </c>
      <c r="C353" s="27" t="n">
        <v>15</v>
      </c>
      <c r="D353" s="41" t="n">
        <v>45942.06885299768</v>
      </c>
      <c r="E353" s="27" t="inlineStr">
        <is>
          <t>Wrong size</t>
        </is>
      </c>
      <c r="F353" s="27" t="n">
        <v>377.07</v>
      </c>
      <c r="G353" s="27" t="n">
        <v>1408</v>
      </c>
      <c r="H353" s="27" t="inlineStr">
        <is>
          <t>10</t>
        </is>
      </c>
      <c r="I353" s="27" t="n">
        <v>2025</v>
      </c>
    </row>
    <row r="354" ht="15" customHeight="1" s="24">
      <c r="A354" s="27" t="n">
        <v>56934</v>
      </c>
      <c r="B354" s="27" t="n">
        <v>792712</v>
      </c>
      <c r="C354" s="27" t="n">
        <v>4</v>
      </c>
      <c r="D354" s="41" t="n">
        <v>45943.46796353009</v>
      </c>
      <c r="E354" s="27" t="inlineStr">
        <is>
          <t>Wrong size</t>
        </is>
      </c>
      <c r="F354" s="27" t="n">
        <v>113.1</v>
      </c>
      <c r="G354" s="27" t="n">
        <v>1130</v>
      </c>
      <c r="H354" s="27" t="inlineStr">
        <is>
          <t>09</t>
        </is>
      </c>
      <c r="I354" s="27" t="n">
        <v>2025</v>
      </c>
    </row>
    <row r="355" ht="15" customHeight="1" s="24">
      <c r="A355" s="27" t="n">
        <v>60383</v>
      </c>
      <c r="B355" s="27" t="n">
        <v>841267</v>
      </c>
      <c r="C355" s="27" t="n">
        <v>1</v>
      </c>
      <c r="D355" s="41" t="n">
        <v>45951.52895491898</v>
      </c>
      <c r="E355" s="27" t="inlineStr">
        <is>
          <t>Defective product</t>
        </is>
      </c>
      <c r="F355" s="27" t="n">
        <v>416.94</v>
      </c>
      <c r="G355" s="27" t="n">
        <v>562</v>
      </c>
      <c r="H355" s="27" t="inlineStr">
        <is>
          <t>10</t>
        </is>
      </c>
      <c r="I355" s="27" t="n">
        <v>2025</v>
      </c>
    </row>
    <row r="356" ht="15" customHeight="1" s="24">
      <c r="A356" s="27" t="n">
        <v>61096</v>
      </c>
      <c r="B356" s="27" t="n">
        <v>851636</v>
      </c>
      <c r="C356" s="27" t="n">
        <v>1</v>
      </c>
      <c r="D356" s="41" t="n">
        <v>45953.71117158565</v>
      </c>
      <c r="E356" s="27" t="inlineStr">
        <is>
          <t>Item damaged</t>
        </is>
      </c>
      <c r="F356" s="27" t="n">
        <v>156.74</v>
      </c>
      <c r="G356" s="27" t="n">
        <v>1715</v>
      </c>
      <c r="H356" s="27" t="inlineStr">
        <is>
          <t>10</t>
        </is>
      </c>
      <c r="I356" s="27" t="n">
        <v>2025</v>
      </c>
    </row>
    <row r="357" ht="15" customHeight="1" s="24">
      <c r="A357" s="27" t="n">
        <v>60597</v>
      </c>
      <c r="B357" s="27" t="n">
        <v>844164</v>
      </c>
      <c r="C357" s="27" t="n">
        <v>2</v>
      </c>
      <c r="D357" s="41" t="n">
        <v>45954.45802989583</v>
      </c>
      <c r="E357" s="27" t="inlineStr">
        <is>
          <t>Arrived too late</t>
        </is>
      </c>
      <c r="F357" s="27" t="n">
        <v>330.32</v>
      </c>
      <c r="G357" s="27" t="n">
        <v>2081</v>
      </c>
      <c r="H357" s="27" t="inlineStr">
        <is>
          <t>10</t>
        </is>
      </c>
      <c r="I357" s="27" t="n">
        <v>2025</v>
      </c>
    </row>
    <row r="358" ht="15" customHeight="1" s="24">
      <c r="A358" s="27" t="n">
        <v>60756</v>
      </c>
      <c r="B358" s="27" t="n">
        <v>846589</v>
      </c>
      <c r="C358" s="27" t="n">
        <v>5</v>
      </c>
      <c r="D358" s="41" t="n">
        <v>45956.9282972338</v>
      </c>
      <c r="E358" s="27" t="inlineStr">
        <is>
          <t>Changed mind</t>
        </is>
      </c>
      <c r="F358" s="27" t="n">
        <v>664.3</v>
      </c>
      <c r="G358" s="27" t="n">
        <v>506</v>
      </c>
      <c r="H358" s="27" t="inlineStr">
        <is>
          <t>10</t>
        </is>
      </c>
      <c r="I358" s="27" t="n">
        <v>2025</v>
      </c>
    </row>
    <row r="359" ht="15" customHeight="1" s="24">
      <c r="A359" s="27" t="n">
        <v>60733</v>
      </c>
      <c r="B359" s="27" t="n">
        <v>846201</v>
      </c>
      <c r="C359" s="27" t="n">
        <v>73</v>
      </c>
      <c r="D359" s="41" t="n">
        <v>45959.85058644676</v>
      </c>
      <c r="E359" s="27" t="inlineStr">
        <is>
          <t>Wrong size</t>
        </is>
      </c>
      <c r="F359" s="27" t="n">
        <v>697.59</v>
      </c>
      <c r="G359" s="27" t="n">
        <v>1013</v>
      </c>
      <c r="H359" s="27" t="inlineStr">
        <is>
          <t>10</t>
        </is>
      </c>
      <c r="I359" s="27" t="n">
        <v>2025</v>
      </c>
    </row>
    <row r="360" ht="15" customHeight="1" s="24">
      <c r="A360" s="27" t="n">
        <v>59598</v>
      </c>
      <c r="B360" s="27" t="n">
        <v>829649</v>
      </c>
      <c r="C360" s="27" t="n">
        <v>4</v>
      </c>
      <c r="D360" s="41" t="n">
        <v>45960.61476482639</v>
      </c>
      <c r="E360" s="27" t="inlineStr">
        <is>
          <t>Wrong size</t>
        </is>
      </c>
      <c r="F360" s="27" t="n">
        <v>111.95</v>
      </c>
      <c r="G360" s="27" t="n">
        <v>1535</v>
      </c>
      <c r="H360" s="27" t="inlineStr">
        <is>
          <t>10</t>
        </is>
      </c>
      <c r="I360" s="27" t="n">
        <v>2025</v>
      </c>
    </row>
    <row r="361" ht="15" customHeight="1" s="24">
      <c r="A361" s="27" t="n">
        <v>60612</v>
      </c>
      <c r="B361" s="27" t="n">
        <v>844390</v>
      </c>
      <c r="C361" s="27" t="n">
        <v>17</v>
      </c>
      <c r="D361" s="41" t="n">
        <v>45962.27793118056</v>
      </c>
      <c r="E361" s="27" t="inlineStr">
        <is>
          <t>Better price elsewhere</t>
        </is>
      </c>
      <c r="F361" s="27" t="n">
        <v>30.75</v>
      </c>
      <c r="G361" s="27" t="n">
        <v>2901</v>
      </c>
      <c r="H361" s="27" t="inlineStr">
        <is>
          <t>10</t>
        </is>
      </c>
      <c r="I361" s="27" t="n">
        <v>2025</v>
      </c>
    </row>
    <row r="362" ht="15" customHeight="1" s="24">
      <c r="A362" s="27" t="n">
        <v>59499</v>
      </c>
      <c r="B362" s="27" t="n">
        <v>828322</v>
      </c>
      <c r="C362" s="27" t="n">
        <v>30</v>
      </c>
      <c r="D362" s="41" t="n">
        <v>45963.79025572917</v>
      </c>
      <c r="E362" s="27" t="inlineStr">
        <is>
          <t>Wrong item shipped</t>
        </is>
      </c>
      <c r="F362" s="27" t="n">
        <v>188.79</v>
      </c>
      <c r="G362" s="27" t="n">
        <v>3490</v>
      </c>
      <c r="H362" s="27" t="inlineStr">
        <is>
          <t>10</t>
        </is>
      </c>
      <c r="I362" s="27" t="n">
        <v>2025</v>
      </c>
    </row>
    <row r="363" ht="15" customHeight="1" s="24">
      <c r="A363" s="27" t="n">
        <v>60121</v>
      </c>
      <c r="B363" s="27" t="n">
        <v>837367</v>
      </c>
      <c r="C363" s="27" t="n">
        <v>7</v>
      </c>
      <c r="D363" s="41" t="n">
        <v>45964.98181461806</v>
      </c>
      <c r="E363" s="27" t="inlineStr">
        <is>
          <t>Item damaged</t>
        </is>
      </c>
      <c r="F363" s="27" t="n">
        <v>365.09</v>
      </c>
      <c r="G363" s="27" t="n">
        <v>199</v>
      </c>
      <c r="H363" s="27" t="inlineStr">
        <is>
          <t>10</t>
        </is>
      </c>
      <c r="I363" s="27" t="n">
        <v>2025</v>
      </c>
    </row>
    <row r="364" ht="15" customHeight="1" s="24">
      <c r="A364" s="27" t="n">
        <v>60647</v>
      </c>
      <c r="B364" s="27" t="n">
        <v>844974</v>
      </c>
      <c r="C364" s="27" t="n">
        <v>4</v>
      </c>
      <c r="D364" s="41" t="n">
        <v>45965.67780832176</v>
      </c>
      <c r="E364" s="27" t="inlineStr">
        <is>
          <t>Arrived too late</t>
        </is>
      </c>
      <c r="F364" s="27" t="n">
        <v>259.52</v>
      </c>
      <c r="G364" s="27" t="n">
        <v>1605</v>
      </c>
      <c r="H364" s="27" t="inlineStr">
        <is>
          <t>10</t>
        </is>
      </c>
      <c r="I364" s="27" t="n">
        <v>2025</v>
      </c>
    </row>
    <row r="365" ht="15" customHeight="1" s="24">
      <c r="A365" s="27" t="n">
        <v>65451</v>
      </c>
      <c r="B365" s="27" t="n">
        <v>913421</v>
      </c>
      <c r="C365" s="27" t="n">
        <v>7</v>
      </c>
      <c r="D365" s="41" t="n">
        <v>45966.67426353009</v>
      </c>
      <c r="E365" s="27" t="inlineStr">
        <is>
          <t>Item damaged</t>
        </is>
      </c>
      <c r="F365" s="27" t="n">
        <v>322.64</v>
      </c>
      <c r="G365" s="27" t="n">
        <v>1201</v>
      </c>
      <c r="H365" s="27" t="inlineStr">
        <is>
          <t>11</t>
        </is>
      </c>
      <c r="I365" s="27" t="n">
        <v>2025</v>
      </c>
    </row>
    <row r="366" ht="15" customHeight="1" s="24">
      <c r="A366" s="27" t="n">
        <v>60624</v>
      </c>
      <c r="B366" s="27" t="n">
        <v>844598</v>
      </c>
      <c r="C366" s="27" t="n">
        <v>53</v>
      </c>
      <c r="D366" s="41" t="n">
        <v>45967.25275354167</v>
      </c>
      <c r="E366" s="27" t="inlineStr">
        <is>
          <t>Wrong size</t>
        </is>
      </c>
      <c r="F366" s="27" t="n">
        <v>373.05</v>
      </c>
      <c r="G366" s="27" t="n">
        <v>1665</v>
      </c>
      <c r="H366" s="27" t="inlineStr">
        <is>
          <t>10</t>
        </is>
      </c>
      <c r="I366" s="27" t="n">
        <v>2025</v>
      </c>
    </row>
    <row r="367" ht="15" customHeight="1" s="24">
      <c r="A367" s="27" t="n">
        <v>64039</v>
      </c>
      <c r="B367" s="27" t="n">
        <v>893272</v>
      </c>
      <c r="C367" s="27" t="n">
        <v>4</v>
      </c>
      <c r="D367" s="41" t="n">
        <v>45967.97850916666</v>
      </c>
      <c r="E367" s="27" t="inlineStr">
        <is>
          <t>Changed mind</t>
        </is>
      </c>
      <c r="F367" s="27" t="n">
        <v>115.85</v>
      </c>
      <c r="G367" s="27" t="n">
        <v>1709</v>
      </c>
      <c r="H367" s="27" t="inlineStr">
        <is>
          <t>11</t>
        </is>
      </c>
      <c r="I367" s="27" t="n">
        <v>2025</v>
      </c>
    </row>
    <row r="368" ht="15" customHeight="1" s="24">
      <c r="A368" s="27" t="n">
        <v>63066</v>
      </c>
      <c r="B368" s="27" t="n">
        <v>879797</v>
      </c>
      <c r="C368" s="27" t="n">
        <v>4</v>
      </c>
      <c r="D368" s="41" t="n">
        <v>45969.70823719908</v>
      </c>
      <c r="E368" s="27" t="inlineStr">
        <is>
          <t>Changed mind</t>
        </is>
      </c>
      <c r="F368" s="27" t="n">
        <v>245.82</v>
      </c>
      <c r="G368" s="27" t="n">
        <v>1984</v>
      </c>
      <c r="H368" s="27" t="inlineStr">
        <is>
          <t>11</t>
        </is>
      </c>
      <c r="I368" s="27" t="n">
        <v>2025</v>
      </c>
    </row>
    <row r="369" ht="15" customHeight="1" s="24">
      <c r="A369" s="27" t="n">
        <v>61213</v>
      </c>
      <c r="B369" s="27" t="n">
        <v>853254</v>
      </c>
      <c r="C369" s="27" t="n">
        <v>4</v>
      </c>
      <c r="D369" s="41" t="n">
        <v>45970.9859871412</v>
      </c>
      <c r="E369" s="27" t="inlineStr">
        <is>
          <t>Arrived too late</t>
        </is>
      </c>
      <c r="F369" s="27" t="n">
        <v>49.43</v>
      </c>
      <c r="G369" s="27" t="n">
        <v>2044</v>
      </c>
      <c r="H369" s="27" t="inlineStr">
        <is>
          <t>10</t>
        </is>
      </c>
      <c r="I369" s="27" t="n">
        <v>2025</v>
      </c>
    </row>
    <row r="370" ht="15" customHeight="1" s="24">
      <c r="A370" s="27" t="n">
        <v>59297</v>
      </c>
      <c r="B370" s="27" t="n">
        <v>824922</v>
      </c>
      <c r="C370" s="27" t="n">
        <v>1</v>
      </c>
      <c r="D370" s="41" t="n">
        <v>45973.29471685185</v>
      </c>
      <c r="E370" s="27" t="inlineStr">
        <is>
          <t>Changed mind</t>
        </is>
      </c>
      <c r="F370" s="27" t="n">
        <v>177.06</v>
      </c>
      <c r="G370" s="27" t="n">
        <v>3745</v>
      </c>
      <c r="H370" s="27" t="inlineStr">
        <is>
          <t>10</t>
        </is>
      </c>
      <c r="I370" s="27" t="n">
        <v>2025</v>
      </c>
    </row>
    <row r="371" ht="15" customHeight="1" s="24">
      <c r="A371" s="27" t="n">
        <v>64826</v>
      </c>
      <c r="B371" s="27" t="n">
        <v>904100</v>
      </c>
      <c r="C371" s="27" t="n">
        <v>4</v>
      </c>
      <c r="D371" s="41" t="n">
        <v>45974.29609137731</v>
      </c>
      <c r="E371" s="27" t="inlineStr">
        <is>
          <t>Item damaged</t>
        </is>
      </c>
      <c r="F371" s="27" t="n">
        <v>535.15</v>
      </c>
      <c r="G371" s="27" t="n">
        <v>2476</v>
      </c>
      <c r="H371" s="27" t="inlineStr">
        <is>
          <t>11</t>
        </is>
      </c>
      <c r="I371" s="27" t="n">
        <v>2025</v>
      </c>
    </row>
    <row r="372" ht="15" customHeight="1" s="24">
      <c r="A372" s="27" t="n">
        <v>63633</v>
      </c>
      <c r="B372" s="27" t="n">
        <v>887906</v>
      </c>
      <c r="C372" s="27" t="n">
        <v>1</v>
      </c>
      <c r="D372" s="41" t="n">
        <v>45974.82787578704</v>
      </c>
      <c r="E372" s="27" t="inlineStr">
        <is>
          <t>Defective product</t>
        </is>
      </c>
      <c r="F372" s="27" t="n">
        <v>220.48</v>
      </c>
      <c r="G372" s="27" t="n">
        <v>3601</v>
      </c>
      <c r="H372" s="27" t="inlineStr">
        <is>
          <t>11</t>
        </is>
      </c>
      <c r="I372" s="27" t="n">
        <v>2025</v>
      </c>
    </row>
    <row r="373" ht="15" customHeight="1" s="24">
      <c r="A373" s="27" t="n">
        <v>62035</v>
      </c>
      <c r="B373" s="27" t="n">
        <v>865528</v>
      </c>
      <c r="C373" s="27" t="n">
        <v>5</v>
      </c>
      <c r="D373" s="41" t="n">
        <v>45976.12402181713</v>
      </c>
      <c r="E373" s="27" t="inlineStr">
        <is>
          <t>Changed mind</t>
        </is>
      </c>
      <c r="F373" s="27" t="n">
        <v>147.8</v>
      </c>
      <c r="G373" s="27" t="n">
        <v>2973</v>
      </c>
      <c r="H373" s="27" t="inlineStr">
        <is>
          <t>11</t>
        </is>
      </c>
      <c r="I373" s="27" t="n">
        <v>2025</v>
      </c>
    </row>
    <row r="374" ht="15" customHeight="1" s="24">
      <c r="A374" s="27" t="n">
        <v>63788</v>
      </c>
      <c r="B374" s="27" t="n">
        <v>889930</v>
      </c>
      <c r="C374" s="27" t="n">
        <v>46</v>
      </c>
      <c r="D374" s="41" t="n">
        <v>45978.73415685185</v>
      </c>
      <c r="E374" s="27" t="inlineStr">
        <is>
          <t>Wrong size</t>
        </is>
      </c>
      <c r="F374" s="27" t="n">
        <v>54.51</v>
      </c>
      <c r="G374" s="27" t="n">
        <v>2901</v>
      </c>
      <c r="H374" s="27" t="inlineStr">
        <is>
          <t>11</t>
        </is>
      </c>
      <c r="I374" s="27" t="n">
        <v>2025</v>
      </c>
    </row>
    <row r="375" ht="15" customHeight="1" s="24">
      <c r="A375" s="27" t="n">
        <v>61843</v>
      </c>
      <c r="B375" s="27" t="n">
        <v>862440</v>
      </c>
      <c r="C375" s="27" t="n">
        <v>82</v>
      </c>
      <c r="D375" s="41" t="n">
        <v>45979.56078432871</v>
      </c>
      <c r="E375" s="27" t="inlineStr">
        <is>
          <t>Wrong size</t>
        </is>
      </c>
      <c r="F375" s="27" t="n">
        <v>67.52</v>
      </c>
      <c r="G375" s="27" t="n">
        <v>3472</v>
      </c>
      <c r="H375" s="27" t="inlineStr">
        <is>
          <t>11</t>
        </is>
      </c>
      <c r="I375" s="27" t="n">
        <v>2025</v>
      </c>
    </row>
    <row r="376" ht="15" customHeight="1" s="24">
      <c r="A376" s="27" t="n">
        <v>66419</v>
      </c>
      <c r="B376" s="27" t="n">
        <v>927099</v>
      </c>
      <c r="C376" s="27" t="n">
        <v>7</v>
      </c>
      <c r="D376" s="41" t="n">
        <v>45979.99251311342</v>
      </c>
      <c r="E376" s="27" t="inlineStr">
        <is>
          <t>Wrong size</t>
        </is>
      </c>
      <c r="F376" s="27" t="n">
        <v>290.74</v>
      </c>
      <c r="G376" s="27" t="n">
        <v>2102</v>
      </c>
      <c r="H376" s="27" t="inlineStr">
        <is>
          <t>11</t>
        </is>
      </c>
      <c r="I376" s="27" t="n">
        <v>2025</v>
      </c>
    </row>
    <row r="377" ht="15" customHeight="1" s="24">
      <c r="A377" s="27" t="n">
        <v>66189</v>
      </c>
      <c r="B377" s="27" t="n">
        <v>923601</v>
      </c>
      <c r="C377" s="27" t="n">
        <v>1</v>
      </c>
      <c r="D377" s="41" t="n">
        <v>45983.77351513889</v>
      </c>
      <c r="E377" s="27" t="inlineStr">
        <is>
          <t>Not as described</t>
        </is>
      </c>
      <c r="F377" s="27" t="n">
        <v>299.83</v>
      </c>
      <c r="G377" s="27" t="n">
        <v>1088</v>
      </c>
      <c r="H377" s="27" t="inlineStr">
        <is>
          <t>11</t>
        </is>
      </c>
      <c r="I377" s="27" t="n">
        <v>2025</v>
      </c>
    </row>
    <row r="378" ht="15" customHeight="1" s="24">
      <c r="A378" s="27" t="n">
        <v>65574</v>
      </c>
      <c r="B378" s="27" t="n">
        <v>915181</v>
      </c>
      <c r="C378" s="27" t="n">
        <v>1</v>
      </c>
      <c r="D378" s="41" t="n">
        <v>45984.34725540509</v>
      </c>
      <c r="E378" s="27" t="inlineStr">
        <is>
          <t>Arrived too late</t>
        </is>
      </c>
      <c r="F378" s="27" t="n">
        <v>69.34</v>
      </c>
      <c r="G378" s="27" t="n">
        <v>3907</v>
      </c>
      <c r="H378" s="27" t="inlineStr">
        <is>
          <t>11</t>
        </is>
      </c>
      <c r="I378" s="27" t="n">
        <v>2025</v>
      </c>
    </row>
    <row r="379" ht="15" customHeight="1" s="24">
      <c r="A379" s="27" t="n">
        <v>62360</v>
      </c>
      <c r="B379" s="27" t="n">
        <v>869725</v>
      </c>
      <c r="C379" s="27" t="n">
        <v>45</v>
      </c>
      <c r="D379" s="41" t="n">
        <v>45984.50676431713</v>
      </c>
      <c r="E379" s="27" t="inlineStr">
        <is>
          <t>Item damaged</t>
        </is>
      </c>
      <c r="F379" s="27" t="n">
        <v>342.02</v>
      </c>
      <c r="G379" s="27" t="n">
        <v>2721</v>
      </c>
      <c r="H379" s="27" t="inlineStr">
        <is>
          <t>11</t>
        </is>
      </c>
      <c r="I379" s="27" t="n">
        <v>2025</v>
      </c>
    </row>
    <row r="380" ht="15" customHeight="1" s="24">
      <c r="A380" s="27" t="n">
        <v>63737</v>
      </c>
      <c r="B380" s="27" t="n">
        <v>889330</v>
      </c>
      <c r="C380" s="27" t="n">
        <v>4</v>
      </c>
      <c r="D380" s="41" t="n">
        <v>45984.89559726852</v>
      </c>
      <c r="E380" s="27" t="inlineStr">
        <is>
          <t>Changed mind</t>
        </is>
      </c>
      <c r="F380" s="27" t="n">
        <v>78.48</v>
      </c>
      <c r="G380" s="27" t="n">
        <v>2935</v>
      </c>
      <c r="H380" s="27" t="inlineStr">
        <is>
          <t>11</t>
        </is>
      </c>
      <c r="I380" s="27" t="n">
        <v>2025</v>
      </c>
    </row>
    <row r="381" ht="15" customHeight="1" s="24">
      <c r="A381" s="27" t="n">
        <v>63801</v>
      </c>
      <c r="B381" s="27" t="n">
        <v>890071</v>
      </c>
      <c r="C381" s="27" t="n">
        <v>5</v>
      </c>
      <c r="D381" s="41" t="n">
        <v>45985.41986232639</v>
      </c>
      <c r="E381" s="27" t="inlineStr">
        <is>
          <t>Changed mind</t>
        </is>
      </c>
      <c r="F381" s="27" t="n">
        <v>195.46</v>
      </c>
      <c r="G381" s="27" t="n">
        <v>1440</v>
      </c>
      <c r="H381" s="27" t="inlineStr">
        <is>
          <t>11</t>
        </is>
      </c>
      <c r="I381" s="27" t="n">
        <v>2025</v>
      </c>
    </row>
    <row r="382" ht="15" customHeight="1" s="24">
      <c r="A382" s="27" t="n">
        <v>63630</v>
      </c>
      <c r="B382" s="27" t="n">
        <v>887861</v>
      </c>
      <c r="C382" s="27" t="n">
        <v>8</v>
      </c>
      <c r="D382" s="41" t="n">
        <v>45986.24349232639</v>
      </c>
      <c r="E382" s="27" t="inlineStr">
        <is>
          <t>Item damaged</t>
        </is>
      </c>
      <c r="F382" s="27" t="n">
        <v>337.44</v>
      </c>
      <c r="G382" s="27" t="n">
        <v>1497</v>
      </c>
      <c r="H382" s="27" t="inlineStr">
        <is>
          <t>11</t>
        </is>
      </c>
      <c r="I382" s="27" t="n">
        <v>2025</v>
      </c>
    </row>
    <row r="383" ht="15" customHeight="1" s="24">
      <c r="A383" s="27" t="n">
        <v>62019</v>
      </c>
      <c r="B383" s="27" t="n">
        <v>865301</v>
      </c>
      <c r="C383" s="27" t="n">
        <v>12</v>
      </c>
      <c r="D383" s="41" t="n">
        <v>45987.76170541667</v>
      </c>
      <c r="E383" s="27" t="inlineStr">
        <is>
          <t>Wrong size</t>
        </is>
      </c>
      <c r="F383" s="27" t="n">
        <v>112.67</v>
      </c>
      <c r="G383" s="27" t="n">
        <v>1563</v>
      </c>
      <c r="H383" s="27" t="inlineStr">
        <is>
          <t>11</t>
        </is>
      </c>
      <c r="I383" s="27" t="n">
        <v>2025</v>
      </c>
    </row>
    <row r="384" ht="15" customHeight="1" s="24">
      <c r="A384" s="27" t="n">
        <v>65241</v>
      </c>
      <c r="B384" s="27" t="n">
        <v>910251</v>
      </c>
      <c r="C384" s="27" t="n">
        <v>1</v>
      </c>
      <c r="D384" s="41" t="n">
        <v>45988.00925952546</v>
      </c>
      <c r="E384" s="27" t="inlineStr">
        <is>
          <t>Wrong size</t>
        </is>
      </c>
      <c r="F384" s="27" t="n">
        <v>536.59</v>
      </c>
      <c r="G384" s="27" t="n">
        <v>2776</v>
      </c>
      <c r="H384" s="27" t="inlineStr">
        <is>
          <t>11</t>
        </is>
      </c>
      <c r="I384" s="27" t="n">
        <v>2025</v>
      </c>
    </row>
    <row r="385" ht="15" customHeight="1" s="24">
      <c r="A385" s="27" t="n">
        <v>66019</v>
      </c>
      <c r="B385" s="27" t="n">
        <v>921580</v>
      </c>
      <c r="C385" s="27" t="n">
        <v>4</v>
      </c>
      <c r="D385" s="41" t="n">
        <v>45988.49206457176</v>
      </c>
      <c r="E385" s="27" t="inlineStr">
        <is>
          <t>Wrong size</t>
        </is>
      </c>
      <c r="F385" s="27" t="n">
        <v>1265.61</v>
      </c>
      <c r="G385" s="27" t="n">
        <v>3695</v>
      </c>
      <c r="H385" s="27" t="inlineStr">
        <is>
          <t>11</t>
        </is>
      </c>
      <c r="I385" s="27" t="n">
        <v>2025</v>
      </c>
    </row>
    <row r="386" ht="15" customHeight="1" s="24">
      <c r="A386" s="27" t="n">
        <v>65771</v>
      </c>
      <c r="B386" s="27" t="n">
        <v>918098</v>
      </c>
      <c r="C386" s="27" t="n">
        <v>1</v>
      </c>
      <c r="D386" s="41" t="n">
        <v>45988.57427153935</v>
      </c>
      <c r="E386" s="27" t="inlineStr">
        <is>
          <t>Wrong size</t>
        </is>
      </c>
      <c r="F386" s="27" t="n">
        <v>53.82</v>
      </c>
      <c r="G386" s="27" t="n">
        <v>3479</v>
      </c>
      <c r="H386" s="27" t="inlineStr">
        <is>
          <t>11</t>
        </is>
      </c>
      <c r="I386" s="27" t="n">
        <v>2025</v>
      </c>
    </row>
    <row r="387" ht="15" customHeight="1" s="24">
      <c r="A387" s="27" t="n">
        <v>66027</v>
      </c>
      <c r="B387" s="27" t="n">
        <v>921658</v>
      </c>
      <c r="C387" s="27" t="n">
        <v>4</v>
      </c>
      <c r="D387" s="41" t="n">
        <v>45989.45165829861</v>
      </c>
      <c r="E387" s="27" t="inlineStr">
        <is>
          <t>Wrong size</t>
        </is>
      </c>
      <c r="F387" s="27" t="n">
        <v>451</v>
      </c>
      <c r="G387" s="27" t="n">
        <v>877</v>
      </c>
      <c r="H387" s="27" t="inlineStr">
        <is>
          <t>11</t>
        </is>
      </c>
      <c r="I387" s="27" t="n">
        <v>2025</v>
      </c>
    </row>
    <row r="388" ht="15" customHeight="1" s="24">
      <c r="A388" s="27" t="n">
        <v>65484</v>
      </c>
      <c r="B388" s="27" t="n">
        <v>913918</v>
      </c>
      <c r="C388" s="27" t="n">
        <v>58</v>
      </c>
      <c r="D388" s="41" t="n">
        <v>45989.76189701389</v>
      </c>
      <c r="E388" s="27" t="inlineStr">
        <is>
          <t>Wrong size</t>
        </is>
      </c>
      <c r="F388" s="27" t="n">
        <v>116.01</v>
      </c>
      <c r="G388" s="27" t="n">
        <v>3013</v>
      </c>
      <c r="H388" s="27" t="inlineStr">
        <is>
          <t>11</t>
        </is>
      </c>
      <c r="I388" s="27" t="n">
        <v>2025</v>
      </c>
    </row>
    <row r="389" ht="15" customHeight="1" s="24">
      <c r="A389" s="27" t="n">
        <v>62612</v>
      </c>
      <c r="B389" s="27" t="n">
        <v>873331</v>
      </c>
      <c r="C389" s="27" t="n">
        <v>22</v>
      </c>
      <c r="D389" s="41" t="n">
        <v>45990.52591880787</v>
      </c>
      <c r="E389" s="27" t="inlineStr">
        <is>
          <t>Wrong size</t>
        </is>
      </c>
      <c r="F389" s="27" t="n">
        <v>745.85</v>
      </c>
      <c r="G389" s="27" t="n">
        <v>2791</v>
      </c>
      <c r="H389" s="27" t="inlineStr">
        <is>
          <t>11</t>
        </is>
      </c>
      <c r="I389" s="27" t="n">
        <v>2025</v>
      </c>
    </row>
    <row r="390" ht="15" customHeight="1" s="24">
      <c r="A390" s="27" t="n">
        <v>61942</v>
      </c>
      <c r="B390" s="27" t="n">
        <v>863961</v>
      </c>
      <c r="C390" s="27" t="n">
        <v>52</v>
      </c>
      <c r="D390" s="41" t="n">
        <v>45996.23350380787</v>
      </c>
      <c r="E390" s="27" t="inlineStr">
        <is>
          <t>Changed mind</t>
        </is>
      </c>
      <c r="F390" s="27" t="n">
        <v>142.06</v>
      </c>
      <c r="G390" s="27" t="n">
        <v>3213</v>
      </c>
      <c r="H390" s="27" t="inlineStr">
        <is>
          <t>11</t>
        </is>
      </c>
      <c r="I390" s="27" t="n">
        <v>2025</v>
      </c>
    </row>
    <row r="391" ht="15" customHeight="1" s="24">
      <c r="A391" s="27" t="n">
        <v>65917</v>
      </c>
      <c r="B391" s="27" t="n">
        <v>920255</v>
      </c>
      <c r="C391" s="27" t="n">
        <v>4</v>
      </c>
      <c r="D391" s="41" t="n">
        <v>45996.57522643518</v>
      </c>
      <c r="E391" s="27" t="inlineStr">
        <is>
          <t>Item damaged</t>
        </is>
      </c>
      <c r="F391" s="27" t="n">
        <v>452.96</v>
      </c>
      <c r="G391" s="27" t="n">
        <v>2590</v>
      </c>
      <c r="H391" s="27" t="inlineStr">
        <is>
          <t>11</t>
        </is>
      </c>
      <c r="I391" s="27" t="n">
        <v>2025</v>
      </c>
    </row>
    <row r="392" ht="15" customHeight="1" s="24">
      <c r="A392" s="27" t="n">
        <v>63003</v>
      </c>
      <c r="B392" s="27" t="n">
        <v>878831</v>
      </c>
      <c r="C392" s="27" t="n">
        <v>6</v>
      </c>
      <c r="D392" s="41" t="n">
        <v>45997.63930694445</v>
      </c>
      <c r="E392" s="27" t="inlineStr">
        <is>
          <t>Changed mind</t>
        </is>
      </c>
      <c r="F392" s="27" t="n">
        <v>180.35</v>
      </c>
      <c r="G392" s="27" t="n">
        <v>3334</v>
      </c>
      <c r="H392" s="27" t="inlineStr">
        <is>
          <t>11</t>
        </is>
      </c>
      <c r="I392" s="27" t="n">
        <v>2025</v>
      </c>
    </row>
    <row r="393" ht="15" customHeight="1" s="24">
      <c r="A393" s="27" t="n">
        <v>67751</v>
      </c>
      <c r="B393" s="27" t="n">
        <v>945208</v>
      </c>
      <c r="C393" s="27" t="n">
        <v>1</v>
      </c>
      <c r="D393" s="41" t="n">
        <v>45999.64196386574</v>
      </c>
      <c r="E393" s="27" t="inlineStr">
        <is>
          <t>Defective product</t>
        </is>
      </c>
      <c r="F393" s="27" t="n">
        <v>161.9</v>
      </c>
      <c r="G393" s="27" t="n">
        <v>895</v>
      </c>
      <c r="H393" s="27" t="inlineStr">
        <is>
          <t>12</t>
        </is>
      </c>
      <c r="I393" s="27" t="n">
        <v>2025</v>
      </c>
    </row>
    <row r="394" ht="15" customHeight="1" s="24">
      <c r="A394" s="27" t="n">
        <v>67491</v>
      </c>
      <c r="B394" s="27" t="n">
        <v>941647</v>
      </c>
      <c r="C394" s="27" t="n">
        <v>52</v>
      </c>
      <c r="D394" s="41" t="n">
        <v>45999.79810800926</v>
      </c>
      <c r="E394" s="27" t="inlineStr">
        <is>
          <t>Not as described</t>
        </is>
      </c>
      <c r="F394" s="27" t="n">
        <v>1661.84</v>
      </c>
      <c r="G394" s="27" t="n">
        <v>3695</v>
      </c>
      <c r="H394" s="27" t="inlineStr">
        <is>
          <t>12</t>
        </is>
      </c>
      <c r="I394" s="27" t="n">
        <v>2025</v>
      </c>
    </row>
    <row r="395" ht="15" customHeight="1" s="24">
      <c r="A395" s="27" t="n">
        <v>64272</v>
      </c>
      <c r="B395" s="27" t="n">
        <v>896560</v>
      </c>
      <c r="C395" s="27" t="n">
        <v>5</v>
      </c>
      <c r="D395" s="41" t="n">
        <v>46000.55596488426</v>
      </c>
      <c r="E395" s="27" t="inlineStr">
        <is>
          <t>Wrong size</t>
        </is>
      </c>
      <c r="F395" s="27" t="n">
        <v>1716.4</v>
      </c>
      <c r="G395" s="27" t="n">
        <v>3001</v>
      </c>
      <c r="H395" s="27" t="inlineStr">
        <is>
          <t>11</t>
        </is>
      </c>
      <c r="I395" s="27" t="n">
        <v>2025</v>
      </c>
    </row>
    <row r="396" ht="15" customHeight="1" s="24">
      <c r="A396" s="27" t="n">
        <v>62707</v>
      </c>
      <c r="B396" s="27" t="n">
        <v>874551</v>
      </c>
      <c r="C396" s="27" t="n">
        <v>79</v>
      </c>
      <c r="D396" s="41" t="n">
        <v>46002.86469685185</v>
      </c>
      <c r="E396" s="27" t="inlineStr">
        <is>
          <t>Changed mind</t>
        </is>
      </c>
      <c r="F396" s="27" t="n">
        <v>119.24</v>
      </c>
      <c r="G396" s="27" t="n">
        <v>2102</v>
      </c>
      <c r="H396" s="27" t="inlineStr">
        <is>
          <t>11</t>
        </is>
      </c>
      <c r="I396" s="27" t="n">
        <v>2025</v>
      </c>
    </row>
    <row r="397" ht="15" customHeight="1" s="24">
      <c r="A397" s="27" t="n">
        <v>69962</v>
      </c>
      <c r="B397" s="27" t="n">
        <v>975873</v>
      </c>
      <c r="C397" s="27" t="n">
        <v>26</v>
      </c>
      <c r="D397" s="41" t="n">
        <v>46006.89123395833</v>
      </c>
      <c r="E397" s="27" t="inlineStr">
        <is>
          <t>Not as described</t>
        </is>
      </c>
      <c r="F397" s="27" t="n">
        <v>93.58</v>
      </c>
      <c r="G397" s="27" t="n">
        <v>1361</v>
      </c>
      <c r="H397" s="27" t="inlineStr">
        <is>
          <t>12</t>
        </is>
      </c>
      <c r="I397" s="27" t="n">
        <v>2025</v>
      </c>
    </row>
    <row r="398" ht="15" customHeight="1" s="24">
      <c r="A398" s="27" t="n">
        <v>67567</v>
      </c>
      <c r="B398" s="27" t="n">
        <v>942731</v>
      </c>
      <c r="C398" s="27" t="n">
        <v>27</v>
      </c>
      <c r="D398" s="41" t="n">
        <v>46007.2937155787</v>
      </c>
      <c r="E398" s="27" t="inlineStr">
        <is>
          <t>Wrong item shipped</t>
        </is>
      </c>
      <c r="F398" s="27" t="n">
        <v>536.27</v>
      </c>
      <c r="G398" s="27" t="n">
        <v>188</v>
      </c>
      <c r="H398" s="27" t="inlineStr">
        <is>
          <t>12</t>
        </is>
      </c>
      <c r="I398" s="27" t="n">
        <v>2025</v>
      </c>
    </row>
    <row r="399" ht="15" customHeight="1" s="24">
      <c r="A399" s="27" t="n">
        <v>67477</v>
      </c>
      <c r="B399" s="27" t="n">
        <v>941537</v>
      </c>
      <c r="C399" s="27" t="n">
        <v>4</v>
      </c>
      <c r="D399" s="41" t="n">
        <v>46010.85488865741</v>
      </c>
      <c r="E399" s="27" t="inlineStr">
        <is>
          <t>Not as described</t>
        </is>
      </c>
      <c r="F399" s="27" t="n">
        <v>554.0700000000001</v>
      </c>
      <c r="G399" s="27" t="n">
        <v>2707</v>
      </c>
      <c r="H399" s="27" t="inlineStr">
        <is>
          <t>12</t>
        </is>
      </c>
      <c r="I399" s="27" t="n">
        <v>2025</v>
      </c>
    </row>
    <row r="400" ht="15" customHeight="1" s="24">
      <c r="A400" s="27" t="n">
        <v>67252</v>
      </c>
      <c r="B400" s="27" t="n">
        <v>938507</v>
      </c>
      <c r="C400" s="27" t="n">
        <v>1</v>
      </c>
      <c r="D400" s="41" t="n">
        <v>46010.9759537037</v>
      </c>
      <c r="E400" s="27" t="inlineStr">
        <is>
          <t>Wrong size</t>
        </is>
      </c>
      <c r="F400" s="27" t="n">
        <v>361.49</v>
      </c>
      <c r="G400" s="27" t="n">
        <v>1696</v>
      </c>
      <c r="H400" s="27" t="inlineStr">
        <is>
          <t>12</t>
        </is>
      </c>
      <c r="I400" s="27" t="n">
        <v>2025</v>
      </c>
    </row>
    <row r="401" ht="15" customHeight="1" s="24">
      <c r="A401" s="27" t="n">
        <v>69219</v>
      </c>
      <c r="B401" s="27" t="n">
        <v>965300</v>
      </c>
      <c r="C401" s="27" t="n">
        <v>52</v>
      </c>
      <c r="D401" s="41" t="n">
        <v>46018.20598748843</v>
      </c>
      <c r="E401" s="27" t="inlineStr">
        <is>
          <t>Changed mind</t>
        </is>
      </c>
      <c r="F401" s="27" t="n">
        <v>63.68</v>
      </c>
      <c r="G401" s="27" t="n">
        <v>3441</v>
      </c>
      <c r="H401" s="27" t="inlineStr">
        <is>
          <t>12</t>
        </is>
      </c>
      <c r="I401" s="27" t="n">
        <v>2025</v>
      </c>
    </row>
    <row r="402" ht="15" customHeight="1" s="24">
      <c r="A402" s="27" t="n">
        <v>69558</v>
      </c>
      <c r="B402" s="27" t="n">
        <v>969853</v>
      </c>
      <c r="C402" s="27" t="n">
        <v>1</v>
      </c>
      <c r="D402" s="41" t="n">
        <v>46020.87436070602</v>
      </c>
      <c r="E402" s="27" t="inlineStr">
        <is>
          <t>Changed mind</t>
        </is>
      </c>
      <c r="F402" s="27" t="n">
        <v>289.19</v>
      </c>
      <c r="G402" s="27" t="n">
        <v>667</v>
      </c>
      <c r="H402" s="27" t="inlineStr">
        <is>
          <t>12</t>
        </is>
      </c>
      <c r="I402" s="27" t="n">
        <v>2025</v>
      </c>
    </row>
    <row r="403" ht="15" customHeight="1" s="24">
      <c r="A403" s="27" t="n">
        <v>68332</v>
      </c>
      <c r="B403" s="27" t="n">
        <v>953629</v>
      </c>
      <c r="C403" s="27" t="n">
        <v>23</v>
      </c>
      <c r="D403" s="41" t="n">
        <v>46023.52882159723</v>
      </c>
      <c r="E403" s="27" t="inlineStr">
        <is>
          <t>Item damaged</t>
        </is>
      </c>
      <c r="F403" s="27" t="n">
        <v>140.31</v>
      </c>
      <c r="G403" s="27" t="n">
        <v>3394</v>
      </c>
      <c r="H403" s="27" t="inlineStr">
        <is>
          <t>12</t>
        </is>
      </c>
      <c r="I403" s="27" t="n">
        <v>2025</v>
      </c>
    </row>
    <row r="404" ht="15" customHeight="1" s="24">
      <c r="A404" s="27" t="n">
        <v>70318</v>
      </c>
      <c r="B404" s="27" t="n">
        <v>980701</v>
      </c>
      <c r="C404" s="27" t="n">
        <v>1</v>
      </c>
      <c r="D404" s="41" t="n">
        <v>46023.61941675926</v>
      </c>
      <c r="E404" s="27" t="inlineStr">
        <is>
          <t>Defective product</t>
        </is>
      </c>
      <c r="F404" s="27" t="n">
        <v>70.81</v>
      </c>
      <c r="G404" s="27" t="n">
        <v>3479</v>
      </c>
      <c r="H404" s="27" t="inlineStr">
        <is>
          <t>12</t>
        </is>
      </c>
      <c r="I404" s="27" t="n">
        <v>2025</v>
      </c>
    </row>
    <row r="405" ht="15" customHeight="1" s="24">
      <c r="A405" s="27" t="n">
        <v>68190</v>
      </c>
      <c r="B405" s="27" t="n">
        <v>951366</v>
      </c>
      <c r="C405" s="27" t="n">
        <v>1</v>
      </c>
      <c r="D405" s="41" t="n">
        <v>46024.77667609954</v>
      </c>
      <c r="E405" s="27" t="inlineStr">
        <is>
          <t>Changed mind</t>
        </is>
      </c>
      <c r="F405" s="27" t="n">
        <v>525.85</v>
      </c>
      <c r="G405" s="27" t="n">
        <v>2346</v>
      </c>
      <c r="H405" s="27" t="inlineStr">
        <is>
          <t>12</t>
        </is>
      </c>
      <c r="I405" s="27" t="n">
        <v>2025</v>
      </c>
    </row>
    <row r="406" ht="15" customHeight="1" s="24">
      <c r="A406" s="27" t="n">
        <v>69496</v>
      </c>
      <c r="B406" s="27" t="n">
        <v>969021</v>
      </c>
      <c r="C406" s="27" t="n">
        <v>58</v>
      </c>
      <c r="D406" s="41" t="n">
        <v>46025.13635611111</v>
      </c>
      <c r="E406" s="27" t="inlineStr">
        <is>
          <t>Wrong item shipped</t>
        </is>
      </c>
      <c r="F406" s="27" t="n">
        <v>473.56</v>
      </c>
      <c r="G406" s="27" t="n">
        <v>897</v>
      </c>
      <c r="H406" s="27" t="inlineStr">
        <is>
          <t>12</t>
        </is>
      </c>
      <c r="I406" s="27" t="n">
        <v>2025</v>
      </c>
    </row>
    <row r="407" ht="15" customHeight="1" s="24">
      <c r="A407" s="27" t="n">
        <v>67015</v>
      </c>
      <c r="B407" s="27" t="n">
        <v>935014</v>
      </c>
      <c r="C407" s="27" t="n">
        <v>1</v>
      </c>
      <c r="D407" s="41" t="n">
        <v>46026.73775266204</v>
      </c>
      <c r="E407" s="27" t="inlineStr">
        <is>
          <t>Item damaged</t>
        </is>
      </c>
      <c r="F407" s="27" t="n">
        <v>90.86</v>
      </c>
      <c r="G407" s="27" t="n">
        <v>1131</v>
      </c>
      <c r="H407" s="27" t="inlineStr">
        <is>
          <t>12</t>
        </is>
      </c>
      <c r="I407" s="27" t="n">
        <v>2025</v>
      </c>
    </row>
    <row r="408" ht="15" customHeight="1" s="24">
      <c r="A408" s="27" t="n">
        <v>68801</v>
      </c>
      <c r="B408" s="27" t="n">
        <v>960195</v>
      </c>
      <c r="C408" s="27" t="n">
        <v>5</v>
      </c>
      <c r="D408" s="41" t="n">
        <v>46028.5433675926</v>
      </c>
      <c r="E408" s="27" t="inlineStr">
        <is>
          <t>Wrong size</t>
        </is>
      </c>
      <c r="F408" s="27" t="n">
        <v>389.56</v>
      </c>
      <c r="G408" s="27" t="n">
        <v>1965</v>
      </c>
      <c r="H408" s="27" t="inlineStr">
        <is>
          <t>12</t>
        </is>
      </c>
      <c r="I408" s="27" t="n">
        <v>2025</v>
      </c>
    </row>
    <row r="409" ht="15" customHeight="1" s="24">
      <c r="A409" s="27" t="n">
        <v>69525</v>
      </c>
      <c r="B409" s="27" t="n">
        <v>969456</v>
      </c>
      <c r="C409" s="27" t="n">
        <v>1</v>
      </c>
      <c r="D409" s="41" t="n">
        <v>46028.68807137731</v>
      </c>
      <c r="E409" s="27" t="inlineStr">
        <is>
          <t>Changed mind</t>
        </is>
      </c>
      <c r="F409" s="27" t="n">
        <v>1201.84</v>
      </c>
      <c r="G409" s="27" t="n">
        <v>917</v>
      </c>
      <c r="H409" s="27" t="inlineStr">
        <is>
          <t>12</t>
        </is>
      </c>
      <c r="I409" s="27" t="n">
        <v>2025</v>
      </c>
    </row>
    <row r="410" ht="15" customHeight="1" s="24">
      <c r="A410" s="27" t="n">
        <v>68741</v>
      </c>
      <c r="B410" s="27" t="n">
        <v>959499</v>
      </c>
      <c r="C410" s="27" t="n">
        <v>1</v>
      </c>
      <c r="D410" s="41" t="n">
        <v>46029.6339528588</v>
      </c>
      <c r="E410" s="27" t="inlineStr">
        <is>
          <t>Defective product</t>
        </is>
      </c>
      <c r="F410" s="27" t="n">
        <v>354</v>
      </c>
      <c r="G410" s="27" t="n">
        <v>1435</v>
      </c>
      <c r="H410" s="27" t="inlineStr">
        <is>
          <t>12</t>
        </is>
      </c>
      <c r="I410" s="27" t="n">
        <v>2025</v>
      </c>
    </row>
    <row r="411" ht="15" customHeight="1" s="24">
      <c r="A411" s="27" t="n">
        <v>71570</v>
      </c>
      <c r="B411" s="27" t="n">
        <v>997771</v>
      </c>
      <c r="C411" s="27" t="n">
        <v>103</v>
      </c>
      <c r="D411" s="41" t="n">
        <v>46032.17899913195</v>
      </c>
      <c r="E411" s="27" t="inlineStr">
        <is>
          <t>Wrong size</t>
        </is>
      </c>
      <c r="F411" s="27" t="n">
        <v>120.97</v>
      </c>
      <c r="G411" s="27" t="n">
        <v>404</v>
      </c>
      <c r="H411" s="27" t="inlineStr">
        <is>
          <t>01</t>
        </is>
      </c>
      <c r="I411" s="27" t="n">
        <v>2026</v>
      </c>
    </row>
    <row r="412" ht="15" customHeight="1" s="24">
      <c r="A412" s="27" t="n">
        <v>71592</v>
      </c>
      <c r="B412" s="27" t="n">
        <v>998100</v>
      </c>
      <c r="C412" s="27" t="n">
        <v>146</v>
      </c>
      <c r="D412" s="41" t="n">
        <v>46032.64379011574</v>
      </c>
      <c r="E412" s="27" t="inlineStr">
        <is>
          <t>Item damaged</t>
        </is>
      </c>
      <c r="F412" s="27" t="n">
        <v>156.78</v>
      </c>
      <c r="G412" s="27" t="n">
        <v>2211</v>
      </c>
      <c r="H412" s="27" t="inlineStr">
        <is>
          <t>01</t>
        </is>
      </c>
      <c r="I412" s="27" t="n">
        <v>2026</v>
      </c>
    </row>
    <row r="413" ht="15" customHeight="1" s="24">
      <c r="A413" s="27" t="n">
        <v>71696</v>
      </c>
      <c r="B413" s="27" t="n">
        <v>999789</v>
      </c>
      <c r="C413" s="27" t="n">
        <v>1</v>
      </c>
      <c r="D413" s="41" t="n">
        <v>46034.89897719907</v>
      </c>
      <c r="E413" s="27" t="inlineStr">
        <is>
          <t>Item damaged</t>
        </is>
      </c>
      <c r="F413" s="27" t="n">
        <v>105.7</v>
      </c>
      <c r="G413" s="27" t="n">
        <v>2999</v>
      </c>
      <c r="H413" s="27" t="inlineStr">
        <is>
          <t>01</t>
        </is>
      </c>
      <c r="I413" s="27" t="n">
        <v>2026</v>
      </c>
    </row>
    <row r="414" ht="15" customHeight="1" s="24">
      <c r="A414" s="27" t="n">
        <v>67038</v>
      </c>
      <c r="B414" s="27" t="n">
        <v>935402</v>
      </c>
      <c r="C414" s="27" t="n">
        <v>1</v>
      </c>
      <c r="D414" s="41" t="n">
        <v>46037.45361597222</v>
      </c>
      <c r="E414" s="27" t="inlineStr">
        <is>
          <t>Not as described</t>
        </is>
      </c>
      <c r="F414" s="27" t="n">
        <v>117.97</v>
      </c>
      <c r="G414" s="27" t="n">
        <v>3163</v>
      </c>
      <c r="H414" s="27" t="inlineStr">
        <is>
          <t>12</t>
        </is>
      </c>
      <c r="I414" s="27" t="n">
        <v>2025</v>
      </c>
    </row>
    <row r="415" ht="15" customHeight="1" s="24">
      <c r="A415" s="27" t="n">
        <v>71241</v>
      </c>
      <c r="B415" s="27" t="n">
        <v>993070</v>
      </c>
      <c r="C415" s="27" t="n">
        <v>4</v>
      </c>
      <c r="D415" s="41" t="n">
        <v>46039.81663663194</v>
      </c>
      <c r="E415" s="27" t="inlineStr">
        <is>
          <t>Item damaged</t>
        </is>
      </c>
      <c r="F415" s="27" t="n">
        <v>313.36</v>
      </c>
      <c r="G415" s="27" t="n">
        <v>1917</v>
      </c>
      <c r="H415" s="27" t="inlineStr">
        <is>
          <t>01</t>
        </is>
      </c>
      <c r="I415" s="27" t="n">
        <v>2026</v>
      </c>
    </row>
    <row r="416" ht="15" customHeight="1" s="24">
      <c r="A416" s="27" t="n">
        <v>72187</v>
      </c>
      <c r="B416" s="27" t="n">
        <v>1006492</v>
      </c>
      <c r="C416" s="27" t="n">
        <v>84</v>
      </c>
      <c r="D416" s="41" t="n">
        <v>46044.18250303241</v>
      </c>
      <c r="E416" s="27" t="inlineStr">
        <is>
          <t>Changed mind</t>
        </is>
      </c>
      <c r="F416" s="27" t="n">
        <v>96.73</v>
      </c>
      <c r="G416" s="27" t="n">
        <v>2492</v>
      </c>
      <c r="H416" s="27" t="inlineStr">
        <is>
          <t>01</t>
        </is>
      </c>
      <c r="I416" s="27" t="n">
        <v>2026</v>
      </c>
    </row>
    <row r="417" ht="15" customHeight="1" s="24">
      <c r="A417" s="27" t="n">
        <v>71291</v>
      </c>
      <c r="B417" s="27" t="n">
        <v>993705</v>
      </c>
      <c r="C417" s="27" t="n">
        <v>4</v>
      </c>
      <c r="D417" s="41" t="n">
        <v>46046.17672596065</v>
      </c>
      <c r="E417" s="27" t="inlineStr">
        <is>
          <t>Changed mind</t>
        </is>
      </c>
      <c r="F417" s="27" t="n">
        <v>198.38</v>
      </c>
      <c r="G417" s="27" t="n">
        <v>2686</v>
      </c>
      <c r="H417" s="27" t="inlineStr">
        <is>
          <t>01</t>
        </is>
      </c>
      <c r="I417" s="27" t="n">
        <v>2026</v>
      </c>
    </row>
    <row r="418" ht="15" customHeight="1" s="24">
      <c r="A418" s="27" t="n">
        <v>72084</v>
      </c>
      <c r="B418" s="27" t="n">
        <v>1005127</v>
      </c>
      <c r="C418" s="27" t="n">
        <v>22</v>
      </c>
      <c r="D418" s="41" t="n">
        <v>46046.95168353009</v>
      </c>
      <c r="E418" s="27" t="inlineStr">
        <is>
          <t>Wrong size</t>
        </is>
      </c>
      <c r="F418" s="27" t="n">
        <v>365.92</v>
      </c>
      <c r="G418" s="27" t="n">
        <v>2328</v>
      </c>
      <c r="H418" s="27" t="inlineStr">
        <is>
          <t>01</t>
        </is>
      </c>
      <c r="I418" s="27" t="n">
        <v>2026</v>
      </c>
    </row>
    <row r="419" ht="15" customHeight="1" s="24">
      <c r="A419" s="27" t="n">
        <v>72227</v>
      </c>
      <c r="B419" s="27" t="n">
        <v>1006966</v>
      </c>
      <c r="C419" s="27" t="n">
        <v>23</v>
      </c>
      <c r="D419" s="41" t="n">
        <v>46054.07169444444</v>
      </c>
      <c r="E419" s="27" t="inlineStr">
        <is>
          <t>Item damaged</t>
        </is>
      </c>
      <c r="F419" s="27" t="n">
        <v>248.35</v>
      </c>
      <c r="G419" s="27" t="n">
        <v>1220</v>
      </c>
      <c r="H419" s="27" t="inlineStr">
        <is>
          <t>01</t>
        </is>
      </c>
      <c r="I419" s="27" t="n">
        <v>2026</v>
      </c>
    </row>
    <row r="420" ht="15" customHeight="1" s="24">
      <c r="A420" s="27" t="n">
        <v>70731</v>
      </c>
      <c r="B420" s="27" t="n">
        <v>986249</v>
      </c>
      <c r="C420" s="27" t="n">
        <v>1</v>
      </c>
      <c r="D420" s="41" t="n">
        <v>46054.31332887732</v>
      </c>
      <c r="E420" s="27" t="inlineStr">
        <is>
          <t>Not as described</t>
        </is>
      </c>
      <c r="F420" s="27" t="n">
        <v>161</v>
      </c>
      <c r="G420" s="27" t="n">
        <v>2559</v>
      </c>
      <c r="H420" s="27" t="inlineStr">
        <is>
          <t>01</t>
        </is>
      </c>
      <c r="I420" s="27" t="n">
        <v>2026</v>
      </c>
    </row>
    <row r="421" ht="15" customHeight="1" s="24">
      <c r="A421" s="27" t="n">
        <v>71311</v>
      </c>
      <c r="B421" s="27" t="n">
        <v>994110</v>
      </c>
      <c r="C421" s="27" t="n">
        <v>112</v>
      </c>
      <c r="D421" s="41" t="n">
        <v>46055.02680002315</v>
      </c>
      <c r="E421" s="27" t="inlineStr">
        <is>
          <t>Not as described</t>
        </is>
      </c>
      <c r="F421" s="27" t="n">
        <v>34.2</v>
      </c>
      <c r="G421" s="27" t="n">
        <v>2380</v>
      </c>
      <c r="H421" s="27" t="inlineStr">
        <is>
          <t>01</t>
        </is>
      </c>
      <c r="I421" s="27" t="n">
        <v>2026</v>
      </c>
    </row>
    <row r="422" ht="15" customHeight="1" s="24">
      <c r="A422" s="27" t="n">
        <v>70572</v>
      </c>
      <c r="B422" s="27" t="n">
        <v>984101</v>
      </c>
      <c r="C422" s="27" t="n">
        <v>2</v>
      </c>
      <c r="D422" s="41" t="n">
        <v>46055.11261564815</v>
      </c>
      <c r="E422" s="27" t="inlineStr">
        <is>
          <t>Wrong item shipped</t>
        </is>
      </c>
      <c r="F422" s="27" t="n">
        <v>150.41</v>
      </c>
      <c r="G422" s="27" t="n">
        <v>3053</v>
      </c>
      <c r="H422" s="27" t="inlineStr">
        <is>
          <t>01</t>
        </is>
      </c>
      <c r="I422" s="27" t="n">
        <v>2026</v>
      </c>
    </row>
    <row r="423" ht="15" customHeight="1" s="24">
      <c r="A423" s="27" t="n">
        <v>71275</v>
      </c>
      <c r="B423" s="27" t="n">
        <v>993476</v>
      </c>
      <c r="C423" s="27" t="n">
        <v>28</v>
      </c>
      <c r="D423" s="41" t="n">
        <v>46055.1459509375</v>
      </c>
      <c r="E423" s="27" t="inlineStr">
        <is>
          <t>Better price elsewhere</t>
        </is>
      </c>
      <c r="F423" s="27" t="n">
        <v>194.95</v>
      </c>
      <c r="G423" s="27" t="n">
        <v>191</v>
      </c>
      <c r="H423" s="27" t="inlineStr">
        <is>
          <t>01</t>
        </is>
      </c>
      <c r="I423" s="27" t="n">
        <v>2026</v>
      </c>
    </row>
    <row r="424" ht="15" customHeight="1" s="24">
      <c r="A424" s="27" t="n">
        <v>71930</v>
      </c>
      <c r="B424" s="27" t="n">
        <v>1003104</v>
      </c>
      <c r="C424" s="27" t="n">
        <v>1</v>
      </c>
      <c r="D424" s="41" t="n">
        <v>46061.88516082176</v>
      </c>
      <c r="E424" s="27" t="inlineStr">
        <is>
          <t>Wrong size</t>
        </is>
      </c>
      <c r="F424" s="27" t="n">
        <v>129.49</v>
      </c>
      <c r="G424" s="27" t="n">
        <v>578</v>
      </c>
      <c r="H424" s="27" t="inlineStr">
        <is>
          <t>01</t>
        </is>
      </c>
      <c r="I424" s="27" t="n">
        <v>2026</v>
      </c>
    </row>
    <row r="425" ht="15" customHeight="1" s="24">
      <c r="A425" s="27" t="n">
        <v>74561</v>
      </c>
      <c r="B425" s="27" t="n">
        <v>1038587</v>
      </c>
      <c r="C425" s="27" t="n">
        <v>7</v>
      </c>
      <c r="D425" s="41" t="n">
        <v>46066.01869489584</v>
      </c>
      <c r="E425" s="27" t="inlineStr">
        <is>
          <t>Item damaged</t>
        </is>
      </c>
      <c r="F425" s="27" t="n">
        <v>398.21</v>
      </c>
      <c r="G425" s="27" t="n">
        <v>3024</v>
      </c>
      <c r="H425" s="27" t="inlineStr">
        <is>
          <t>02</t>
        </is>
      </c>
      <c r="I425" s="27" t="n">
        <v>2026</v>
      </c>
    </row>
    <row r="426" ht="15" customHeight="1" s="24">
      <c r="A426" s="27" t="n">
        <v>73454</v>
      </c>
      <c r="B426" s="27" t="n">
        <v>1023490</v>
      </c>
      <c r="C426" s="27" t="n">
        <v>4</v>
      </c>
      <c r="D426" s="41" t="n">
        <v>46066.64932150463</v>
      </c>
      <c r="E426" s="27" t="inlineStr">
        <is>
          <t>Item damaged</t>
        </is>
      </c>
      <c r="F426" s="27" t="n">
        <v>166</v>
      </c>
      <c r="G426" s="27" t="n">
        <v>2935</v>
      </c>
      <c r="H426" s="27" t="inlineStr">
        <is>
          <t>02</t>
        </is>
      </c>
      <c r="I426" s="27" t="n">
        <v>2026</v>
      </c>
    </row>
    <row r="427" ht="15" customHeight="1" s="24">
      <c r="A427" s="27" t="n">
        <v>74307</v>
      </c>
      <c r="B427" s="27" t="n">
        <v>1035304</v>
      </c>
      <c r="C427" s="27" t="n">
        <v>1</v>
      </c>
      <c r="D427" s="41" t="n">
        <v>46070.05875074074</v>
      </c>
      <c r="E427" s="27" t="inlineStr">
        <is>
          <t>Not as described</t>
        </is>
      </c>
      <c r="F427" s="27" t="n">
        <v>440.11</v>
      </c>
      <c r="G427" s="27" t="n">
        <v>2591</v>
      </c>
      <c r="H427" s="27" t="inlineStr">
        <is>
          <t>02</t>
        </is>
      </c>
      <c r="I427" s="27" t="n">
        <v>2026</v>
      </c>
    </row>
    <row r="428" ht="15" customHeight="1" s="24">
      <c r="A428" s="27" t="n">
        <v>74151</v>
      </c>
      <c r="B428" s="27" t="n">
        <v>1033072</v>
      </c>
      <c r="C428" s="27" t="n">
        <v>1</v>
      </c>
      <c r="D428" s="41" t="n">
        <v>46071.0443934375</v>
      </c>
      <c r="E428" s="27" t="inlineStr">
        <is>
          <t>Changed mind</t>
        </is>
      </c>
      <c r="F428" s="27" t="n">
        <v>116.55</v>
      </c>
      <c r="G428" s="27" t="n">
        <v>728</v>
      </c>
      <c r="H428" s="27" t="inlineStr">
        <is>
          <t>02</t>
        </is>
      </c>
      <c r="I428" s="27" t="n">
        <v>2026</v>
      </c>
    </row>
    <row r="429" ht="15" customHeight="1" s="24">
      <c r="A429" s="27" t="n">
        <v>73943</v>
      </c>
      <c r="B429" s="27" t="n">
        <v>1030350</v>
      </c>
      <c r="C429" s="27" t="n">
        <v>80</v>
      </c>
      <c r="D429" s="41" t="n">
        <v>46076.78277189815</v>
      </c>
      <c r="E429" s="27" t="inlineStr">
        <is>
          <t>Wrong item shipped</t>
        </is>
      </c>
      <c r="F429" s="27" t="n">
        <v>468.52</v>
      </c>
      <c r="G429" s="27" t="n">
        <v>1807</v>
      </c>
      <c r="H429" s="27" t="inlineStr">
        <is>
          <t>02</t>
        </is>
      </c>
      <c r="I429" s="27" t="n">
        <v>2026</v>
      </c>
    </row>
    <row r="430" ht="15" customHeight="1" s="24">
      <c r="A430" s="27" t="n">
        <v>73855</v>
      </c>
      <c r="B430" s="27" t="n">
        <v>1029119</v>
      </c>
      <c r="C430" s="27" t="n">
        <v>5</v>
      </c>
      <c r="D430" s="41" t="n">
        <v>46076.83874864583</v>
      </c>
      <c r="E430" s="27" t="inlineStr">
        <is>
          <t>Item damaged</t>
        </is>
      </c>
      <c r="F430" s="27" t="n">
        <v>57.78</v>
      </c>
      <c r="G430" s="27" t="n">
        <v>2473</v>
      </c>
      <c r="H430" s="27" t="inlineStr">
        <is>
          <t>02</t>
        </is>
      </c>
      <c r="I430" s="27" t="n">
        <v>2026</v>
      </c>
    </row>
    <row r="431" ht="15" customHeight="1" s="24">
      <c r="A431" s="27" t="n">
        <v>73197</v>
      </c>
      <c r="B431" s="27" t="n">
        <v>1020343</v>
      </c>
      <c r="C431" s="27" t="n">
        <v>68</v>
      </c>
      <c r="D431" s="41" t="n">
        <v>46076.95452143518</v>
      </c>
      <c r="E431" s="27" t="inlineStr">
        <is>
          <t>Wrong size</t>
        </is>
      </c>
      <c r="F431" s="27" t="n">
        <v>92.15000000000001</v>
      </c>
      <c r="G431" s="27" t="n">
        <v>1365</v>
      </c>
      <c r="H431" s="27" t="inlineStr">
        <is>
          <t>02</t>
        </is>
      </c>
      <c r="I431" s="27" t="n">
        <v>2026</v>
      </c>
    </row>
    <row r="432" ht="15" customHeight="1" s="24">
      <c r="A432" s="27" t="n">
        <v>72640</v>
      </c>
      <c r="B432" s="27" t="n">
        <v>1012575</v>
      </c>
      <c r="C432" s="27" t="n">
        <v>25</v>
      </c>
      <c r="D432" s="41" t="n">
        <v>46077.81204378472</v>
      </c>
      <c r="E432" s="27" t="inlineStr">
        <is>
          <t>Wrong size</t>
        </is>
      </c>
      <c r="F432" s="27" t="n">
        <v>105.29</v>
      </c>
      <c r="G432" s="27" t="n">
        <v>1006</v>
      </c>
      <c r="H432" s="27" t="inlineStr">
        <is>
          <t>02</t>
        </is>
      </c>
      <c r="I432" s="27" t="n">
        <v>2026</v>
      </c>
    </row>
    <row r="433" ht="15" customHeight="1" s="24">
      <c r="A433" s="27" t="n">
        <v>73172</v>
      </c>
      <c r="B433" s="27" t="n">
        <v>1020023</v>
      </c>
      <c r="C433" s="27" t="n">
        <v>50</v>
      </c>
      <c r="D433" s="41" t="n">
        <v>46082.81092416667</v>
      </c>
      <c r="E433" s="27" t="inlineStr">
        <is>
          <t>Wrong size</t>
        </is>
      </c>
      <c r="F433" s="27" t="n">
        <v>133.58</v>
      </c>
      <c r="G433" s="27" t="n">
        <v>3156</v>
      </c>
      <c r="H433" s="27" t="inlineStr">
        <is>
          <t>02</t>
        </is>
      </c>
      <c r="I433" s="27" t="n">
        <v>2026</v>
      </c>
    </row>
    <row r="434" ht="15" customHeight="1" s="24">
      <c r="A434" s="27" t="n">
        <v>74042</v>
      </c>
      <c r="B434" s="27" t="n">
        <v>1031592</v>
      </c>
      <c r="C434" s="27" t="n">
        <v>1</v>
      </c>
      <c r="D434" s="41" t="n">
        <v>46083.68764633102</v>
      </c>
      <c r="E434" s="27" t="inlineStr">
        <is>
          <t>Changed mind</t>
        </is>
      </c>
      <c r="F434" s="27" t="n">
        <v>253.34</v>
      </c>
      <c r="G434" s="27" t="n">
        <v>2103</v>
      </c>
      <c r="H434" s="27" t="inlineStr">
        <is>
          <t>02</t>
        </is>
      </c>
      <c r="I434" s="27" t="n">
        <v>2026</v>
      </c>
    </row>
    <row r="435" ht="15" customHeight="1" s="24">
      <c r="A435" s="27" t="n">
        <v>74056</v>
      </c>
      <c r="B435" s="27" t="n">
        <v>1031798</v>
      </c>
      <c r="C435" s="27" t="n">
        <v>3</v>
      </c>
      <c r="D435" s="41" t="n">
        <v>46085.96974539352</v>
      </c>
      <c r="E435" s="27" t="inlineStr">
        <is>
          <t>Defective product</t>
        </is>
      </c>
      <c r="F435" s="27" t="n">
        <v>491.06</v>
      </c>
      <c r="G435" s="27" t="n">
        <v>2278</v>
      </c>
      <c r="H435" s="27" t="inlineStr">
        <is>
          <t>02</t>
        </is>
      </c>
      <c r="I435" s="27" t="n">
        <v>2026</v>
      </c>
    </row>
    <row r="436" ht="15" customHeight="1" s="24">
      <c r="A436" s="27" t="n">
        <v>72750</v>
      </c>
      <c r="B436" s="27" t="n">
        <v>1014039</v>
      </c>
      <c r="C436" s="27" t="n">
        <v>71</v>
      </c>
      <c r="D436" s="41" t="n">
        <v>46086.49234729166</v>
      </c>
      <c r="E436" s="27" t="inlineStr">
        <is>
          <t>Wrong size</t>
        </is>
      </c>
      <c r="F436" s="27" t="n">
        <v>338.7</v>
      </c>
      <c r="G436" s="27" t="n">
        <v>3916</v>
      </c>
      <c r="H436" s="27" t="inlineStr">
        <is>
          <t>02</t>
        </is>
      </c>
      <c r="I436" s="27" t="n">
        <v>2026</v>
      </c>
    </row>
    <row r="437" ht="15" customHeight="1" s="24">
      <c r="A437" s="27" t="n">
        <v>76802</v>
      </c>
      <c r="B437" s="27" t="n">
        <v>1069178</v>
      </c>
      <c r="C437" s="27" t="n">
        <v>8</v>
      </c>
      <c r="D437" s="41" t="n">
        <v>46087.80632172454</v>
      </c>
      <c r="E437" s="27" t="inlineStr">
        <is>
          <t>Defective product</t>
        </is>
      </c>
      <c r="F437" s="27" t="n">
        <v>752.4299999999999</v>
      </c>
      <c r="G437" s="27" t="n">
        <v>2302</v>
      </c>
      <c r="H437" s="27" t="inlineStr">
        <is>
          <t>03</t>
        </is>
      </c>
      <c r="I437" s="27" t="n">
        <v>2026</v>
      </c>
    </row>
    <row r="438" ht="15" customHeight="1" s="24">
      <c r="A438" s="27" t="n">
        <v>72559</v>
      </c>
      <c r="B438" s="27" t="n">
        <v>1011579</v>
      </c>
      <c r="C438" s="27" t="n">
        <v>20</v>
      </c>
      <c r="D438" s="41" t="n">
        <v>46087.94061832176</v>
      </c>
      <c r="E438" s="27" t="inlineStr">
        <is>
          <t>Wrong size</t>
        </is>
      </c>
      <c r="F438" s="27" t="n">
        <v>33.67</v>
      </c>
      <c r="G438" s="27" t="n">
        <v>3617</v>
      </c>
      <c r="H438" s="27" t="inlineStr">
        <is>
          <t>02</t>
        </is>
      </c>
      <c r="I438" s="27" t="n">
        <v>2026</v>
      </c>
    </row>
    <row r="439" ht="15" customHeight="1" s="24">
      <c r="A439" s="27" t="n">
        <v>77542</v>
      </c>
      <c r="B439" s="27" t="n">
        <v>1079256</v>
      </c>
      <c r="C439" s="27" t="n">
        <v>4</v>
      </c>
      <c r="D439" s="41" t="n">
        <v>46092.78961560185</v>
      </c>
      <c r="E439" s="27" t="inlineStr">
        <is>
          <t>Arrived too late</t>
        </is>
      </c>
      <c r="F439" s="27" t="n">
        <v>128.53</v>
      </c>
      <c r="G439" s="27" t="n">
        <v>1860</v>
      </c>
      <c r="H439" s="27" t="inlineStr">
        <is>
          <t>03</t>
        </is>
      </c>
      <c r="I439" s="27" t="n">
        <v>2026</v>
      </c>
    </row>
    <row r="440" ht="15" customHeight="1" s="24">
      <c r="A440" s="27" t="n">
        <v>75631</v>
      </c>
      <c r="B440" s="27" t="n">
        <v>1053992</v>
      </c>
      <c r="C440" s="27" t="n">
        <v>7</v>
      </c>
      <c r="D440" s="41" t="n">
        <v>46093.40039692129</v>
      </c>
      <c r="E440" s="27" t="inlineStr">
        <is>
          <t>Defective product</t>
        </is>
      </c>
      <c r="F440" s="27" t="n">
        <v>674.97</v>
      </c>
      <c r="G440" s="27" t="n">
        <v>1563</v>
      </c>
      <c r="H440" s="27" t="inlineStr">
        <is>
          <t>03</t>
        </is>
      </c>
      <c r="I440" s="27" t="n">
        <v>2026</v>
      </c>
    </row>
    <row r="441" ht="15" customHeight="1" s="24">
      <c r="A441" s="27" t="n">
        <v>74631</v>
      </c>
      <c r="B441" s="27" t="n">
        <v>1039576</v>
      </c>
      <c r="C441" s="27" t="n">
        <v>146</v>
      </c>
      <c r="D441" s="41" t="n">
        <v>46094.03113623842</v>
      </c>
      <c r="E441" s="27" t="inlineStr">
        <is>
          <t>Changed mind</t>
        </is>
      </c>
      <c r="F441" s="27" t="n">
        <v>292.36</v>
      </c>
      <c r="G441" s="27" t="n">
        <v>3419</v>
      </c>
      <c r="H441" s="27" t="inlineStr">
        <is>
          <t>02</t>
        </is>
      </c>
      <c r="I441" s="27" t="n">
        <v>2026</v>
      </c>
    </row>
    <row r="442" ht="15" customHeight="1" s="24">
      <c r="A442" s="27" t="n">
        <v>76764</v>
      </c>
      <c r="B442" s="27" t="n">
        <v>1068645</v>
      </c>
      <c r="C442" s="27" t="n">
        <v>5</v>
      </c>
      <c r="D442" s="41" t="n">
        <v>46097.27802371528</v>
      </c>
      <c r="E442" s="27" t="inlineStr">
        <is>
          <t>Item damaged</t>
        </is>
      </c>
      <c r="F442" s="27" t="n">
        <v>547.01</v>
      </c>
      <c r="G442" s="27" t="n">
        <v>3118</v>
      </c>
      <c r="H442" s="27" t="inlineStr">
        <is>
          <t>03</t>
        </is>
      </c>
      <c r="I442" s="27" t="n">
        <v>2026</v>
      </c>
    </row>
    <row r="443" ht="15" customHeight="1" s="24">
      <c r="A443" s="27" t="n">
        <v>75135</v>
      </c>
      <c r="B443" s="27" t="n">
        <v>1046918</v>
      </c>
      <c r="C443" s="27" t="n">
        <v>64</v>
      </c>
      <c r="D443" s="41" t="n">
        <v>46097.5290325</v>
      </c>
      <c r="E443" s="27" t="inlineStr">
        <is>
          <t>Wrong size</t>
        </is>
      </c>
      <c r="F443" s="27" t="n">
        <v>188.66</v>
      </c>
      <c r="G443" s="27" t="n">
        <v>2577</v>
      </c>
      <c r="H443" s="27" t="inlineStr">
        <is>
          <t>03</t>
        </is>
      </c>
      <c r="I443" s="27" t="n">
        <v>2026</v>
      </c>
    </row>
    <row r="444" ht="15" customHeight="1" s="24">
      <c r="A444" s="27" t="n">
        <v>76068</v>
      </c>
      <c r="B444" s="27" t="n">
        <v>1059794</v>
      </c>
      <c r="C444" s="27" t="n">
        <v>5</v>
      </c>
      <c r="D444" s="41" t="n">
        <v>46101.96049327547</v>
      </c>
      <c r="E444" s="27" t="inlineStr">
        <is>
          <t>Changed mind</t>
        </is>
      </c>
      <c r="F444" s="27" t="n">
        <v>92.34999999999999</v>
      </c>
      <c r="G444" s="27" t="n">
        <v>2298</v>
      </c>
      <c r="H444" s="27" t="inlineStr">
        <is>
          <t>03</t>
        </is>
      </c>
      <c r="I444" s="27" t="n">
        <v>2026</v>
      </c>
    </row>
    <row r="445" ht="15" customHeight="1" s="24">
      <c r="A445" s="27" t="n">
        <v>74946</v>
      </c>
      <c r="B445" s="27" t="n">
        <v>1044101</v>
      </c>
      <c r="C445" s="27" t="n">
        <v>2</v>
      </c>
      <c r="D445" s="41" t="n">
        <v>46104.18917733796</v>
      </c>
      <c r="E445" s="27" t="inlineStr">
        <is>
          <t>Wrong size</t>
        </is>
      </c>
      <c r="F445" s="27" t="n">
        <v>90.48999999999999</v>
      </c>
      <c r="G445" s="27" t="n">
        <v>494</v>
      </c>
      <c r="H445" s="27" t="inlineStr">
        <is>
          <t>03</t>
        </is>
      </c>
      <c r="I445" s="27" t="n">
        <v>2026</v>
      </c>
    </row>
    <row r="446" ht="15" customHeight="1" s="24">
      <c r="A446" s="27" t="n">
        <v>75512</v>
      </c>
      <c r="B446" s="27" t="n">
        <v>1052381</v>
      </c>
      <c r="C446" s="27" t="n">
        <v>91</v>
      </c>
      <c r="D446" s="41" t="n">
        <v>46106.47902465278</v>
      </c>
      <c r="E446" s="27" t="inlineStr">
        <is>
          <t>Not as described</t>
        </is>
      </c>
      <c r="F446" s="27" t="n">
        <v>118.68</v>
      </c>
      <c r="G446" s="27" t="n">
        <v>575</v>
      </c>
      <c r="H446" s="27" t="inlineStr">
        <is>
          <t>03</t>
        </is>
      </c>
      <c r="I446" s="27" t="n">
        <v>2026</v>
      </c>
    </row>
    <row r="447" ht="15" customHeight="1" s="24">
      <c r="A447" s="27" t="n">
        <v>76498</v>
      </c>
      <c r="B447" s="27" t="n">
        <v>1065135</v>
      </c>
      <c r="C447" s="27" t="n">
        <v>8</v>
      </c>
      <c r="D447" s="41" t="n">
        <v>46107.35845185185</v>
      </c>
      <c r="E447" s="27" t="inlineStr">
        <is>
          <t>Changed mind</t>
        </is>
      </c>
      <c r="F447" s="27" t="n">
        <v>610.21</v>
      </c>
      <c r="G447" s="27" t="n">
        <v>187</v>
      </c>
      <c r="H447" s="27" t="inlineStr">
        <is>
          <t>03</t>
        </is>
      </c>
      <c r="I447" s="27" t="n">
        <v>2026</v>
      </c>
    </row>
    <row r="448" ht="15" customHeight="1" s="24">
      <c r="A448" s="27" t="n">
        <v>77242</v>
      </c>
      <c r="B448" s="27" t="n">
        <v>1075470</v>
      </c>
      <c r="C448" s="27" t="n">
        <v>48</v>
      </c>
      <c r="D448" s="41" t="n">
        <v>46108.96191967592</v>
      </c>
      <c r="E448" s="27" t="inlineStr">
        <is>
          <t>Wrong item shipped</t>
        </is>
      </c>
      <c r="F448" s="27" t="n">
        <v>132.05</v>
      </c>
      <c r="G448" s="27" t="n">
        <v>1870</v>
      </c>
      <c r="H448" s="27" t="inlineStr">
        <is>
          <t>03</t>
        </is>
      </c>
      <c r="I448" s="27" t="n">
        <v>2026</v>
      </c>
    </row>
    <row r="449" ht="15" customHeight="1" s="24">
      <c r="A449" s="27" t="n">
        <v>74882</v>
      </c>
      <c r="B449" s="27" t="n">
        <v>1043160</v>
      </c>
      <c r="C449" s="27" t="n">
        <v>47</v>
      </c>
      <c r="D449" s="41" t="n">
        <v>46110.43470592592</v>
      </c>
      <c r="E449" s="27" t="inlineStr">
        <is>
          <t>Wrong size</t>
        </is>
      </c>
      <c r="F449" s="27" t="n">
        <v>324.03</v>
      </c>
      <c r="G449" s="27" t="n">
        <v>2186</v>
      </c>
      <c r="H449" s="27" t="inlineStr">
        <is>
          <t>03</t>
        </is>
      </c>
      <c r="I449" s="27" t="n">
        <v>2026</v>
      </c>
    </row>
    <row r="450" ht="15" customHeight="1" s="24">
      <c r="A450" s="27" t="n">
        <v>75732</v>
      </c>
      <c r="B450" s="27" t="n">
        <v>1055336</v>
      </c>
      <c r="C450" s="27" t="n">
        <v>48</v>
      </c>
      <c r="D450" s="41" t="n">
        <v>46111.29580377315</v>
      </c>
      <c r="E450" s="27" t="inlineStr">
        <is>
          <t>Wrong size</t>
        </is>
      </c>
      <c r="F450" s="27" t="n">
        <v>683.05</v>
      </c>
      <c r="G450" s="27" t="n">
        <v>3417</v>
      </c>
      <c r="H450" s="27" t="inlineStr">
        <is>
          <t>03</t>
        </is>
      </c>
      <c r="I450" s="27" t="n">
        <v>2026</v>
      </c>
    </row>
    <row r="451" ht="15" customHeight="1" s="24">
      <c r="A451" s="27" t="n">
        <v>74829</v>
      </c>
      <c r="B451" s="27" t="n">
        <v>1042349</v>
      </c>
      <c r="C451" s="27" t="n">
        <v>3</v>
      </c>
      <c r="D451" s="41" t="n">
        <v>46111.715113125</v>
      </c>
      <c r="E451" s="27" t="inlineStr">
        <is>
          <t>Changed mind</t>
        </is>
      </c>
      <c r="F451" s="27" t="n">
        <v>306.45</v>
      </c>
      <c r="G451" s="27" t="n">
        <v>3841</v>
      </c>
      <c r="H451" s="27" t="inlineStr">
        <is>
          <t>03</t>
        </is>
      </c>
      <c r="I451" s="27" t="n">
        <v>2026</v>
      </c>
    </row>
    <row r="452" ht="15" customHeight="1" s="24">
      <c r="A452" s="27" t="n">
        <v>76021</v>
      </c>
      <c r="B452" s="27" t="n">
        <v>1059103</v>
      </c>
      <c r="C452" s="27" t="n">
        <v>1</v>
      </c>
      <c r="D452" s="41" t="n">
        <v>46112.50568895834</v>
      </c>
      <c r="E452" s="27" t="inlineStr">
        <is>
          <t>Wrong size</t>
        </is>
      </c>
      <c r="F452" s="27" t="n">
        <v>118.94</v>
      </c>
      <c r="G452" s="27" t="n">
        <v>1291</v>
      </c>
      <c r="H452" s="27" t="inlineStr">
        <is>
          <t>03</t>
        </is>
      </c>
      <c r="I452" s="27" t="n">
        <v>2026</v>
      </c>
    </row>
    <row r="453" ht="15" customHeight="1" s="24">
      <c r="A453" s="27" t="n">
        <v>75694</v>
      </c>
      <c r="B453" s="27" t="n">
        <v>1054991</v>
      </c>
      <c r="C453" s="27" t="n">
        <v>61</v>
      </c>
      <c r="D453" s="41" t="n">
        <v>46113.00785365741</v>
      </c>
      <c r="E453" s="27" t="inlineStr">
        <is>
          <t>Changed mind</t>
        </is>
      </c>
      <c r="F453" s="27" t="n">
        <v>459.79</v>
      </c>
      <c r="G453" s="27" t="n">
        <v>2466</v>
      </c>
      <c r="H453" s="27" t="inlineStr">
        <is>
          <t>03</t>
        </is>
      </c>
      <c r="I453" s="27" t="n">
        <v>2026</v>
      </c>
    </row>
    <row r="454" ht="15" customHeight="1" s="24">
      <c r="A454" s="27" t="n">
        <v>75907</v>
      </c>
      <c r="B454" s="27" t="n">
        <v>1057527</v>
      </c>
      <c r="C454" s="27" t="n">
        <v>6</v>
      </c>
      <c r="D454" s="41" t="n">
        <v>46117.15128975694</v>
      </c>
      <c r="E454" s="27" t="inlineStr">
        <is>
          <t>Wrong item shipped</t>
        </is>
      </c>
      <c r="F454" s="27" t="n">
        <v>321.79</v>
      </c>
      <c r="G454" s="27" t="n">
        <v>3608</v>
      </c>
      <c r="H454" s="27" t="inlineStr">
        <is>
          <t>03</t>
        </is>
      </c>
      <c r="I454" s="27" t="n">
        <v>2026</v>
      </c>
    </row>
    <row r="455" ht="15" customHeight="1" s="24">
      <c r="A455" s="27" t="n">
        <v>76845</v>
      </c>
      <c r="B455" s="27" t="n">
        <v>1069741</v>
      </c>
      <c r="C455" s="27" t="n">
        <v>87</v>
      </c>
      <c r="D455" s="41" t="n">
        <v>46117.72990116898</v>
      </c>
      <c r="E455" s="27" t="inlineStr">
        <is>
          <t>Changed mind</t>
        </is>
      </c>
      <c r="F455" s="27" t="n">
        <v>186.77</v>
      </c>
      <c r="G455" s="27" t="n">
        <v>1908</v>
      </c>
      <c r="H455" s="27" t="inlineStr">
        <is>
          <t>03</t>
        </is>
      </c>
      <c r="I455" s="27" t="n">
        <v>2026</v>
      </c>
    </row>
    <row r="456" ht="15" customHeight="1" s="24">
      <c r="A456" s="27" t="n">
        <v>79453</v>
      </c>
      <c r="B456" s="27" t="n">
        <v>1107297</v>
      </c>
      <c r="C456" s="27" t="n">
        <v>1</v>
      </c>
      <c r="D456" s="41" t="n">
        <v>46121.93140578704</v>
      </c>
      <c r="E456" s="27" t="inlineStr">
        <is>
          <t>Wrong size</t>
        </is>
      </c>
      <c r="F456" s="27" t="n">
        <v>483.02</v>
      </c>
      <c r="G456" s="27" t="n">
        <v>723</v>
      </c>
      <c r="H456" s="27" t="inlineStr">
        <is>
          <t>04</t>
        </is>
      </c>
      <c r="I456" s="27" t="n">
        <v>2026</v>
      </c>
    </row>
    <row r="457" ht="15" customHeight="1" s="24">
      <c r="A457" s="27" t="n">
        <v>77703</v>
      </c>
      <c r="B457" s="27" t="n">
        <v>1081898</v>
      </c>
      <c r="C457" s="27" t="n">
        <v>6</v>
      </c>
      <c r="D457" s="41" t="n">
        <v>46124.05432461805</v>
      </c>
      <c r="E457" s="27" t="inlineStr">
        <is>
          <t>Wrong size</t>
        </is>
      </c>
      <c r="F457" s="27" t="n">
        <v>127.96</v>
      </c>
      <c r="G457" s="27" t="n">
        <v>2924</v>
      </c>
      <c r="H457" s="27" t="inlineStr">
        <is>
          <t>04</t>
        </is>
      </c>
      <c r="I457" s="27" t="n">
        <v>2026</v>
      </c>
    </row>
    <row r="458" ht="15" customHeight="1" s="24">
      <c r="A458" s="27" t="n">
        <v>77803</v>
      </c>
      <c r="B458" s="27" t="n">
        <v>1083197</v>
      </c>
      <c r="C458" s="27" t="n">
        <v>4</v>
      </c>
      <c r="D458" s="41" t="n">
        <v>46125.27305018518</v>
      </c>
      <c r="E458" s="27" t="inlineStr">
        <is>
          <t>Wrong item shipped</t>
        </is>
      </c>
      <c r="F458" s="27" t="n">
        <v>176.56</v>
      </c>
      <c r="G458" s="27" t="n">
        <v>1959</v>
      </c>
      <c r="H458" s="27" t="inlineStr">
        <is>
          <t>04</t>
        </is>
      </c>
      <c r="I458" s="27" t="n">
        <v>2026</v>
      </c>
    </row>
    <row r="459" ht="15" customHeight="1" s="24">
      <c r="A459" s="27" t="n">
        <v>77732</v>
      </c>
      <c r="B459" s="27" t="n">
        <v>1082289</v>
      </c>
      <c r="C459" s="27" t="n">
        <v>7</v>
      </c>
      <c r="D459" s="41" t="n">
        <v>46125.97428775463</v>
      </c>
      <c r="E459" s="27" t="inlineStr">
        <is>
          <t>Changed mind</t>
        </is>
      </c>
      <c r="F459" s="27" t="n">
        <v>166.3</v>
      </c>
      <c r="G459" s="27" t="n">
        <v>349</v>
      </c>
      <c r="H459" s="27" t="inlineStr">
        <is>
          <t>04</t>
        </is>
      </c>
      <c r="I459" s="27" t="n">
        <v>2026</v>
      </c>
    </row>
    <row r="460" ht="15" customHeight="1" s="24">
      <c r="A460" s="27" t="n">
        <v>78214</v>
      </c>
      <c r="B460" s="27" t="n">
        <v>1089341</v>
      </c>
      <c r="C460" s="27" t="n">
        <v>1</v>
      </c>
      <c r="D460" s="41" t="n">
        <v>46128.78073420139</v>
      </c>
      <c r="E460" s="27" t="inlineStr">
        <is>
          <t>Not as described</t>
        </is>
      </c>
      <c r="F460" s="27" t="n">
        <v>172.3</v>
      </c>
      <c r="G460" s="27" t="n">
        <v>1734</v>
      </c>
      <c r="H460" s="27" t="inlineStr">
        <is>
          <t>04</t>
        </is>
      </c>
      <c r="I460" s="27" t="n">
        <v>2026</v>
      </c>
    </row>
    <row r="461" ht="15" customHeight="1" s="24">
      <c r="A461" s="27" t="n">
        <v>79579</v>
      </c>
      <c r="B461" s="27" t="n">
        <v>1109001</v>
      </c>
      <c r="C461" s="27" t="n">
        <v>1</v>
      </c>
      <c r="D461" s="41" t="n">
        <v>46129.42589506944</v>
      </c>
      <c r="E461" s="27" t="inlineStr">
        <is>
          <t>Wrong size</t>
        </is>
      </c>
      <c r="F461" s="27" t="n">
        <v>183.67</v>
      </c>
      <c r="G461" s="27" t="n">
        <v>1395</v>
      </c>
      <c r="H461" s="27" t="inlineStr">
        <is>
          <t>04</t>
        </is>
      </c>
      <c r="I461" s="27" t="n">
        <v>2026</v>
      </c>
    </row>
    <row r="462" ht="15" customHeight="1" s="24">
      <c r="A462" s="27" t="n">
        <v>80058</v>
      </c>
      <c r="B462" s="27" t="n">
        <v>1116077</v>
      </c>
      <c r="C462" s="27" t="n">
        <v>1</v>
      </c>
      <c r="D462" s="41" t="n">
        <v>46130.17800901621</v>
      </c>
      <c r="E462" s="27" t="inlineStr">
        <is>
          <t>Not as described</t>
        </is>
      </c>
      <c r="F462" s="27" t="n">
        <v>229.17</v>
      </c>
      <c r="G462" s="27" t="n">
        <v>3706</v>
      </c>
      <c r="H462" s="27" t="inlineStr">
        <is>
          <t>04</t>
        </is>
      </c>
      <c r="I462" s="27" t="n">
        <v>2026</v>
      </c>
    </row>
    <row r="463" ht="15" customHeight="1" s="24">
      <c r="A463" s="27" t="n">
        <v>77712</v>
      </c>
      <c r="B463" s="27" t="n">
        <v>1082047</v>
      </c>
      <c r="C463" s="27" t="n">
        <v>1</v>
      </c>
      <c r="D463" s="41" t="n">
        <v>46132.51745841435</v>
      </c>
      <c r="E463" s="27" t="inlineStr">
        <is>
          <t>Changed mind</t>
        </is>
      </c>
      <c r="F463" s="27" t="n">
        <v>75.05</v>
      </c>
      <c r="G463" s="27" t="n">
        <v>1291</v>
      </c>
      <c r="H463" s="27" t="inlineStr">
        <is>
          <t>04</t>
        </is>
      </c>
      <c r="I463" s="27" t="n">
        <v>2026</v>
      </c>
    </row>
    <row r="464" ht="15" customHeight="1" s="24">
      <c r="A464" s="27" t="n">
        <v>80190</v>
      </c>
      <c r="B464" s="27" t="n">
        <v>1117837</v>
      </c>
      <c r="C464" s="27" t="n">
        <v>2</v>
      </c>
      <c r="D464" s="41" t="n">
        <v>46134.72689686342</v>
      </c>
      <c r="E464" s="27" t="inlineStr">
        <is>
          <t>Wrong size</t>
        </is>
      </c>
      <c r="F464" s="27" t="n">
        <v>357.14</v>
      </c>
      <c r="G464" s="27" t="n">
        <v>2857</v>
      </c>
      <c r="H464" s="27" t="inlineStr">
        <is>
          <t>04</t>
        </is>
      </c>
      <c r="I464" s="27" t="n">
        <v>2026</v>
      </c>
    </row>
    <row r="465" ht="15" customHeight="1" s="24">
      <c r="A465" s="27" t="n">
        <v>79196</v>
      </c>
      <c r="B465" s="27" t="n">
        <v>1103434</v>
      </c>
      <c r="C465" s="27" t="n">
        <v>23</v>
      </c>
      <c r="D465" s="41" t="n">
        <v>46142.8479785301</v>
      </c>
      <c r="E465" s="27" t="inlineStr">
        <is>
          <t>Wrong size</t>
        </is>
      </c>
      <c r="F465" s="27" t="n">
        <v>81.97</v>
      </c>
      <c r="G465" s="27" t="n">
        <v>3027</v>
      </c>
      <c r="H465" s="27" t="inlineStr">
        <is>
          <t>04</t>
        </is>
      </c>
      <c r="I465" s="27" t="n">
        <v>2026</v>
      </c>
    </row>
    <row r="466" ht="15" customHeight="1" s="24">
      <c r="A466" s="27" t="n">
        <v>78637</v>
      </c>
      <c r="B466" s="27" t="n">
        <v>1095369</v>
      </c>
      <c r="C466" s="27" t="n">
        <v>33</v>
      </c>
      <c r="D466" s="41" t="n">
        <v>46146.24359334491</v>
      </c>
      <c r="E466" s="27" t="inlineStr">
        <is>
          <t>Wrong size</t>
        </is>
      </c>
      <c r="F466" s="27" t="n">
        <v>206.67</v>
      </c>
      <c r="G466" s="27" t="n">
        <v>302</v>
      </c>
      <c r="H466" s="27" t="inlineStr">
        <is>
          <t>04</t>
        </is>
      </c>
      <c r="I466" s="27" t="n">
        <v>2026</v>
      </c>
    </row>
    <row r="467" ht="15" customHeight="1" s="24">
      <c r="A467" s="27" t="n">
        <v>79036</v>
      </c>
      <c r="B467" s="27" t="n">
        <v>1101245</v>
      </c>
      <c r="C467" s="27" t="n">
        <v>25</v>
      </c>
      <c r="D467" s="41" t="n">
        <v>46146.38812967593</v>
      </c>
      <c r="E467" s="27" t="inlineStr">
        <is>
          <t>Wrong size</t>
        </is>
      </c>
      <c r="F467" s="27" t="n">
        <v>219.04</v>
      </c>
      <c r="G467" s="27" t="n">
        <v>1897</v>
      </c>
      <c r="H467" s="27" t="inlineStr">
        <is>
          <t>04</t>
        </is>
      </c>
      <c r="I467" s="27" t="n">
        <v>2026</v>
      </c>
    </row>
    <row r="468" ht="15" customHeight="1" s="24">
      <c r="A468" s="27" t="n">
        <v>77850</v>
      </c>
      <c r="B468" s="27" t="n">
        <v>1083828</v>
      </c>
      <c r="C468" s="27" t="n">
        <v>2</v>
      </c>
      <c r="D468" s="41" t="n">
        <v>46146.41594752315</v>
      </c>
      <c r="E468" s="27" t="inlineStr">
        <is>
          <t>Better price elsewhere</t>
        </is>
      </c>
      <c r="F468" s="27" t="n">
        <v>449.27</v>
      </c>
      <c r="G468" s="27" t="n">
        <v>500</v>
      </c>
      <c r="H468" s="27" t="inlineStr">
        <is>
          <t>04</t>
        </is>
      </c>
      <c r="I468" s="27" t="n">
        <v>2026</v>
      </c>
    </row>
    <row r="469" ht="15" customHeight="1" s="24">
      <c r="A469" s="27" t="n">
        <v>77577</v>
      </c>
      <c r="B469" s="27" t="n">
        <v>1079796</v>
      </c>
      <c r="C469" s="27" t="n">
        <v>1</v>
      </c>
      <c r="D469" s="41" t="n">
        <v>46150.01044104167</v>
      </c>
      <c r="E469" s="27" t="inlineStr">
        <is>
          <t>Wrong size</t>
        </is>
      </c>
      <c r="F469" s="27" t="n">
        <v>133.89</v>
      </c>
      <c r="G469" s="27" t="n">
        <v>2385</v>
      </c>
      <c r="H469" s="27" t="inlineStr">
        <is>
          <t>04</t>
        </is>
      </c>
      <c r="I469" s="27" t="n">
        <v>2026</v>
      </c>
    </row>
    <row r="470" ht="15" customHeight="1" s="24">
      <c r="A470" s="27" t="n">
        <v>79626</v>
      </c>
      <c r="B470" s="27" t="n">
        <v>1109686</v>
      </c>
      <c r="C470" s="27" t="n">
        <v>8</v>
      </c>
      <c r="D470" s="41" t="n">
        <v>46150.45128809028</v>
      </c>
      <c r="E470" s="27" t="inlineStr">
        <is>
          <t>Changed mind</t>
        </is>
      </c>
      <c r="F470" s="27" t="n">
        <v>170.64</v>
      </c>
      <c r="G470" s="27" t="n">
        <v>1949</v>
      </c>
      <c r="H470" s="27" t="inlineStr">
        <is>
          <t>04</t>
        </is>
      </c>
      <c r="I470" s="27" t="n">
        <v>2026</v>
      </c>
    </row>
    <row r="471" ht="15" customHeight="1" s="24">
      <c r="A471" s="27" t="n">
        <v>81399</v>
      </c>
      <c r="B471" s="27" t="n">
        <v>1135407</v>
      </c>
      <c r="C471" s="27" t="n">
        <v>1</v>
      </c>
      <c r="D471" s="41" t="n">
        <v>46151.37902442129</v>
      </c>
      <c r="E471" s="27" t="inlineStr">
        <is>
          <t>Defective product</t>
        </is>
      </c>
      <c r="F471" s="27" t="n">
        <v>421.48</v>
      </c>
      <c r="G471" s="27" t="n">
        <v>3547</v>
      </c>
      <c r="H471" s="27" t="inlineStr">
        <is>
          <t>05</t>
        </is>
      </c>
      <c r="I471" s="27" t="n">
        <v>2026</v>
      </c>
    </row>
    <row r="472" ht="15" customHeight="1" s="24">
      <c r="A472" s="27" t="n">
        <v>82222</v>
      </c>
      <c r="B472" s="27" t="n">
        <v>1146571</v>
      </c>
      <c r="C472" s="27" t="n">
        <v>18</v>
      </c>
      <c r="D472" s="41" t="n">
        <v>46153.60646587963</v>
      </c>
      <c r="E472" s="27" t="inlineStr">
        <is>
          <t>Changed mind</t>
        </is>
      </c>
      <c r="F472" s="27" t="n">
        <v>1088.1</v>
      </c>
      <c r="G472" s="27" t="n">
        <v>151</v>
      </c>
      <c r="H472" s="27" t="inlineStr">
        <is>
          <t>05</t>
        </is>
      </c>
      <c r="I472" s="27" t="n">
        <v>2026</v>
      </c>
    </row>
    <row r="473" ht="15" customHeight="1" s="24">
      <c r="A473" s="27" t="n">
        <v>80687</v>
      </c>
      <c r="B473" s="27" t="n">
        <v>1124679</v>
      </c>
      <c r="C473" s="27" t="n">
        <v>1</v>
      </c>
      <c r="D473" s="41" t="n">
        <v>46156.6525805787</v>
      </c>
      <c r="E473" s="27" t="inlineStr">
        <is>
          <t>Wrong item shipped</t>
        </is>
      </c>
      <c r="F473" s="27" t="n">
        <v>423.19</v>
      </c>
      <c r="G473" s="27" t="n">
        <v>1578</v>
      </c>
      <c r="H473" s="27" t="inlineStr">
        <is>
          <t>05</t>
        </is>
      </c>
      <c r="I473" s="27" t="n">
        <v>2026</v>
      </c>
    </row>
    <row r="474" ht="15" customHeight="1" s="24">
      <c r="A474" s="27" t="n">
        <v>81379</v>
      </c>
      <c r="B474" s="27" t="n">
        <v>1135118</v>
      </c>
      <c r="C474" s="27" t="n">
        <v>4</v>
      </c>
      <c r="D474" s="41" t="n">
        <v>46161.33115810185</v>
      </c>
      <c r="E474" s="27" t="inlineStr">
        <is>
          <t>Not as described</t>
        </is>
      </c>
      <c r="F474" s="27" t="n">
        <v>118.59</v>
      </c>
      <c r="G474" s="27" t="n">
        <v>2905</v>
      </c>
      <c r="H474" s="27" t="inlineStr">
        <is>
          <t>05</t>
        </is>
      </c>
      <c r="I474" s="27" t="n">
        <v>2026</v>
      </c>
    </row>
    <row r="475" ht="15" customHeight="1" s="24">
      <c r="A475" s="27" t="n">
        <v>82397</v>
      </c>
      <c r="B475" s="27" t="n">
        <v>1148954</v>
      </c>
      <c r="C475" s="27" t="n">
        <v>72</v>
      </c>
      <c r="D475" s="41" t="n">
        <v>46163.07022876157</v>
      </c>
      <c r="E475" s="27" t="inlineStr">
        <is>
          <t>Not as described</t>
        </is>
      </c>
      <c r="F475" s="27" t="n">
        <v>89.31999999999999</v>
      </c>
      <c r="G475" s="27" t="n">
        <v>169</v>
      </c>
      <c r="H475" s="27" t="inlineStr">
        <is>
          <t>05</t>
        </is>
      </c>
      <c r="I475" s="27" t="n">
        <v>2026</v>
      </c>
    </row>
    <row r="476" ht="15" customHeight="1" s="24">
      <c r="A476" s="27" t="n">
        <v>80434</v>
      </c>
      <c r="B476" s="27" t="n">
        <v>1121244</v>
      </c>
      <c r="C476" s="27" t="n">
        <v>7</v>
      </c>
      <c r="D476" s="41" t="n">
        <v>46163.33367173611</v>
      </c>
      <c r="E476" s="27" t="inlineStr">
        <is>
          <t>Wrong size</t>
        </is>
      </c>
      <c r="F476" s="27" t="n">
        <v>874.67</v>
      </c>
      <c r="G476" s="27" t="n">
        <v>133</v>
      </c>
      <c r="H476" s="27" t="inlineStr">
        <is>
          <t>05</t>
        </is>
      </c>
      <c r="I476" s="27" t="n">
        <v>2026</v>
      </c>
    </row>
    <row r="477" ht="15" customHeight="1" s="24">
      <c r="A477" s="27" t="n">
        <v>83160</v>
      </c>
      <c r="B477" s="27" t="n">
        <v>1159077</v>
      </c>
      <c r="C477" s="27" t="n">
        <v>1</v>
      </c>
      <c r="D477" s="41" t="n">
        <v>46163.5651895949</v>
      </c>
      <c r="E477" s="27" t="inlineStr">
        <is>
          <t>Better price elsewhere</t>
        </is>
      </c>
      <c r="F477" s="27" t="n">
        <v>152.96</v>
      </c>
      <c r="G477" s="27" t="n">
        <v>553</v>
      </c>
      <c r="H477" s="27" t="inlineStr">
        <is>
          <t>05</t>
        </is>
      </c>
      <c r="I477" s="27" t="n">
        <v>2026</v>
      </c>
    </row>
    <row r="478" ht="15" customHeight="1" s="24">
      <c r="A478" s="27" t="n">
        <v>81426</v>
      </c>
      <c r="B478" s="27" t="n">
        <v>1135807</v>
      </c>
      <c r="C478" s="27" t="n">
        <v>1</v>
      </c>
      <c r="D478" s="41" t="n">
        <v>46163.7605874537</v>
      </c>
      <c r="E478" s="27" t="inlineStr">
        <is>
          <t>Better price elsewhere</t>
        </is>
      </c>
      <c r="F478" s="27" t="n">
        <v>375.45</v>
      </c>
      <c r="G478" s="27" t="n">
        <v>1222</v>
      </c>
      <c r="H478" s="27" t="inlineStr">
        <is>
          <t>05</t>
        </is>
      </c>
      <c r="I478" s="27" t="n">
        <v>2026</v>
      </c>
    </row>
    <row r="479" ht="15" customHeight="1" s="24">
      <c r="A479" s="27" t="n">
        <v>81025</v>
      </c>
      <c r="B479" s="27" t="n">
        <v>1130017</v>
      </c>
      <c r="C479" s="27" t="n">
        <v>1</v>
      </c>
      <c r="D479" s="41" t="n">
        <v>46163.83640592593</v>
      </c>
      <c r="E479" s="27" t="inlineStr">
        <is>
          <t>Better price elsewhere</t>
        </is>
      </c>
      <c r="F479" s="27" t="n">
        <v>116.63</v>
      </c>
      <c r="G479" s="27" t="n">
        <v>2039</v>
      </c>
      <c r="H479" s="27" t="inlineStr">
        <is>
          <t>05</t>
        </is>
      </c>
      <c r="I479" s="27" t="n">
        <v>2026</v>
      </c>
    </row>
    <row r="480" ht="15" customHeight="1" s="24">
      <c r="A480" s="27" t="n">
        <v>82945</v>
      </c>
      <c r="B480" s="27" t="n">
        <v>1156287</v>
      </c>
      <c r="C480" s="27" t="n">
        <v>27</v>
      </c>
      <c r="D480" s="41" t="n">
        <v>46165.18705481481</v>
      </c>
      <c r="E480" s="27" t="inlineStr">
        <is>
          <t>Wrong size</t>
        </is>
      </c>
      <c r="F480" s="27" t="n">
        <v>548.49</v>
      </c>
      <c r="G480" s="27" t="n">
        <v>1807</v>
      </c>
      <c r="H480" s="27" t="inlineStr">
        <is>
          <t>05</t>
        </is>
      </c>
      <c r="I480" s="27" t="n">
        <v>2026</v>
      </c>
    </row>
    <row r="481" ht="15" customHeight="1" s="24">
      <c r="A481" s="27" t="n">
        <v>81971</v>
      </c>
      <c r="B481" s="27" t="n">
        <v>1142964</v>
      </c>
      <c r="C481" s="27" t="n">
        <v>58</v>
      </c>
      <c r="D481" s="41" t="n">
        <v>46165.90512112268</v>
      </c>
      <c r="E481" s="27" t="inlineStr">
        <is>
          <t>Defective product</t>
        </is>
      </c>
      <c r="F481" s="27" t="n">
        <v>504.45</v>
      </c>
      <c r="G481" s="27" t="n">
        <v>436</v>
      </c>
      <c r="H481" s="27" t="inlineStr">
        <is>
          <t>05</t>
        </is>
      </c>
      <c r="I481" s="27" t="n">
        <v>2026</v>
      </c>
    </row>
    <row r="482" ht="15" customHeight="1" s="24">
      <c r="A482" s="27" t="n">
        <v>83164</v>
      </c>
      <c r="B482" s="27" t="n">
        <v>1159104</v>
      </c>
      <c r="C482" s="27" t="n">
        <v>1</v>
      </c>
      <c r="D482" s="41" t="n">
        <v>46170.53835517361</v>
      </c>
      <c r="E482" s="27" t="inlineStr">
        <is>
          <t>Not as described</t>
        </is>
      </c>
      <c r="F482" s="27" t="n">
        <v>234.07</v>
      </c>
      <c r="G482" s="27" t="n">
        <v>1248</v>
      </c>
      <c r="H482" s="27" t="inlineStr">
        <is>
          <t>05</t>
        </is>
      </c>
      <c r="I482" s="27" t="n">
        <v>2026</v>
      </c>
    </row>
    <row r="483" ht="15" customHeight="1" s="24">
      <c r="A483" s="27" t="n">
        <v>81522</v>
      </c>
      <c r="B483" s="27" t="n">
        <v>1136880</v>
      </c>
      <c r="C483" s="27" t="n">
        <v>5</v>
      </c>
      <c r="D483" s="41" t="n">
        <v>46174.4243406713</v>
      </c>
      <c r="E483" s="27" t="inlineStr">
        <is>
          <t>Wrong size</t>
        </is>
      </c>
      <c r="F483" s="27" t="n">
        <v>157.83</v>
      </c>
      <c r="G483" s="27" t="n">
        <v>2628</v>
      </c>
      <c r="H483" s="27" t="inlineStr">
        <is>
          <t>05</t>
        </is>
      </c>
      <c r="I483" s="27" t="n">
        <v>2026</v>
      </c>
    </row>
    <row r="484" ht="15" customHeight="1" s="24">
      <c r="A484" s="27" t="n">
        <v>81253</v>
      </c>
      <c r="B484" s="27" t="n">
        <v>1133370</v>
      </c>
      <c r="C484" s="27" t="n">
        <v>49</v>
      </c>
      <c r="D484" s="41" t="n">
        <v>46175.7724706713</v>
      </c>
      <c r="E484" s="27" t="inlineStr">
        <is>
          <t>Not as described</t>
        </is>
      </c>
      <c r="F484" s="27" t="n">
        <v>101.19</v>
      </c>
      <c r="G484" s="27" t="n">
        <v>3677</v>
      </c>
      <c r="H484" s="27" t="inlineStr">
        <is>
          <t>05</t>
        </is>
      </c>
      <c r="I484" s="27" t="n">
        <v>2026</v>
      </c>
    </row>
    <row r="485" ht="15" customHeight="1" s="24">
      <c r="A485" s="27" t="n">
        <v>82325</v>
      </c>
      <c r="B485" s="27" t="n">
        <v>1147876</v>
      </c>
      <c r="C485" s="27" t="n">
        <v>1</v>
      </c>
      <c r="D485" s="41" t="n">
        <v>46178.5300878125</v>
      </c>
      <c r="E485" s="27" t="inlineStr">
        <is>
          <t>Changed mind</t>
        </is>
      </c>
      <c r="F485" s="27" t="n">
        <v>498.44</v>
      </c>
      <c r="G485" s="27" t="n">
        <v>1696</v>
      </c>
      <c r="H485" s="27" t="inlineStr">
        <is>
          <t>05</t>
        </is>
      </c>
      <c r="I485" s="27" t="n">
        <v>2026</v>
      </c>
    </row>
    <row r="486" ht="15" customHeight="1" s="24">
      <c r="A486" s="27" t="n">
        <v>81362</v>
      </c>
      <c r="B486" s="27" t="n">
        <v>1134804</v>
      </c>
      <c r="C486" s="27" t="n">
        <v>1</v>
      </c>
      <c r="D486" s="41" t="n">
        <v>46179.80683679398</v>
      </c>
      <c r="E486" s="27" t="inlineStr">
        <is>
          <t>Not as described</t>
        </is>
      </c>
      <c r="F486" s="27" t="n">
        <v>235.14</v>
      </c>
      <c r="G486" s="27" t="n">
        <v>3679</v>
      </c>
      <c r="H486" s="27" t="inlineStr">
        <is>
          <t>05</t>
        </is>
      </c>
      <c r="I486" s="27" t="n">
        <v>2026</v>
      </c>
    </row>
    <row r="487" ht="15" customHeight="1" s="24">
      <c r="A487" s="27" t="n">
        <v>84985</v>
      </c>
      <c r="B487" s="27" t="n">
        <v>1187966</v>
      </c>
      <c r="C487" s="27" t="n">
        <v>1</v>
      </c>
      <c r="D487" s="41" t="n">
        <v>46181.01362356482</v>
      </c>
      <c r="E487" s="27" t="inlineStr">
        <is>
          <t>Wrong size</t>
        </is>
      </c>
      <c r="F487" s="27" t="n">
        <v>135.19</v>
      </c>
      <c r="G487" s="27" t="n">
        <v>2180</v>
      </c>
      <c r="H487" s="27" t="inlineStr">
        <is>
          <t>06</t>
        </is>
      </c>
      <c r="I487" s="27" t="n">
        <v>2026</v>
      </c>
    </row>
    <row r="488" ht="15" customHeight="1" s="24">
      <c r="A488" s="27" t="n">
        <v>84657</v>
      </c>
      <c r="B488" s="27" t="n">
        <v>1183142</v>
      </c>
      <c r="C488" s="27" t="n">
        <v>2</v>
      </c>
      <c r="D488" s="41" t="n">
        <v>46187.11066576389</v>
      </c>
      <c r="E488" s="27" t="inlineStr">
        <is>
          <t>Better price elsewhere</t>
        </is>
      </c>
      <c r="F488" s="27" t="n">
        <v>128.48</v>
      </c>
      <c r="G488" s="27" t="n">
        <v>158</v>
      </c>
      <c r="H488" s="27" t="inlineStr">
        <is>
          <t>06</t>
        </is>
      </c>
      <c r="I488" s="27" t="n">
        <v>2026</v>
      </c>
    </row>
    <row r="489" ht="15" customHeight="1" s="24">
      <c r="A489" s="27" t="n">
        <v>85053</v>
      </c>
      <c r="B489" s="27" t="n">
        <v>1189001</v>
      </c>
      <c r="C489" s="27" t="n">
        <v>4</v>
      </c>
      <c r="D489" s="41" t="n">
        <v>46189.41996292824</v>
      </c>
      <c r="E489" s="27" t="inlineStr">
        <is>
          <t>Item damaged</t>
        </is>
      </c>
      <c r="F489" s="27" t="n">
        <v>51.07</v>
      </c>
      <c r="G489" s="27" t="n">
        <v>134</v>
      </c>
      <c r="H489" s="27" t="inlineStr">
        <is>
          <t>06</t>
        </is>
      </c>
      <c r="I489" s="27" t="n">
        <v>2026</v>
      </c>
    </row>
    <row r="490" ht="15" customHeight="1" s="24">
      <c r="A490" s="27" t="n">
        <v>85384</v>
      </c>
      <c r="B490" s="27" t="n">
        <v>1193816</v>
      </c>
      <c r="C490" s="27" t="n">
        <v>5</v>
      </c>
      <c r="D490" s="41" t="n">
        <v>46189.87622200231</v>
      </c>
      <c r="E490" s="27" t="inlineStr">
        <is>
          <t>Item damaged</t>
        </is>
      </c>
      <c r="F490" s="27" t="n">
        <v>499.38</v>
      </c>
      <c r="G490" s="27" t="n">
        <v>806</v>
      </c>
      <c r="H490" s="27" t="inlineStr">
        <is>
          <t>06</t>
        </is>
      </c>
      <c r="I490" s="27" t="n">
        <v>2026</v>
      </c>
    </row>
    <row r="491" ht="15" customHeight="1" s="24">
      <c r="A491" s="27" t="n">
        <v>84958</v>
      </c>
      <c r="B491" s="27" t="n">
        <v>1187495</v>
      </c>
      <c r="C491" s="27" t="n">
        <v>1</v>
      </c>
      <c r="D491" s="41" t="n">
        <v>46190.76870212963</v>
      </c>
      <c r="E491" s="27" t="inlineStr">
        <is>
          <t>Not as described</t>
        </is>
      </c>
      <c r="F491" s="27" t="n">
        <v>133.07</v>
      </c>
      <c r="G491" s="27" t="n">
        <v>2094</v>
      </c>
      <c r="H491" s="27" t="inlineStr">
        <is>
          <t>06</t>
        </is>
      </c>
      <c r="I491" s="27" t="n">
        <v>2026</v>
      </c>
    </row>
    <row r="492" ht="15" customHeight="1" s="24">
      <c r="A492" s="27" t="n">
        <v>83467</v>
      </c>
      <c r="B492" s="27" t="n">
        <v>1164154</v>
      </c>
      <c r="C492" s="27" t="n">
        <v>1</v>
      </c>
      <c r="D492" s="41" t="n">
        <v>46191.28928701389</v>
      </c>
      <c r="E492" s="27" t="inlineStr">
        <is>
          <t>Wrong size</t>
        </is>
      </c>
      <c r="F492" s="27" t="n">
        <v>139.2</v>
      </c>
      <c r="G492" s="27" t="n">
        <v>3609</v>
      </c>
      <c r="H492" s="27" t="inlineStr">
        <is>
          <t>06</t>
        </is>
      </c>
      <c r="I492" s="27" t="n">
        <v>2026</v>
      </c>
    </row>
    <row r="493" ht="15" customHeight="1" s="24">
      <c r="A493" s="27" t="n">
        <v>84001</v>
      </c>
      <c r="B493" s="27" t="n">
        <v>1173141</v>
      </c>
      <c r="C493" s="27" t="n">
        <v>5</v>
      </c>
      <c r="D493" s="41" t="n">
        <v>46192.89016273148</v>
      </c>
      <c r="E493" s="27" t="inlineStr">
        <is>
          <t>Defective product</t>
        </is>
      </c>
      <c r="F493" s="27" t="n">
        <v>617.71</v>
      </c>
      <c r="G493" s="27" t="n">
        <v>3532</v>
      </c>
      <c r="H493" s="27" t="inlineStr">
        <is>
          <t>06</t>
        </is>
      </c>
      <c r="I493" s="27" t="n">
        <v>2026</v>
      </c>
    </row>
    <row r="494" ht="15" customHeight="1" s="24">
      <c r="A494" s="27" t="n">
        <v>84975</v>
      </c>
      <c r="B494" s="27" t="n">
        <v>1187843</v>
      </c>
      <c r="C494" s="27" t="n">
        <v>30</v>
      </c>
      <c r="D494" s="41" t="n">
        <v>46193.06957009259</v>
      </c>
      <c r="E494" s="27" t="inlineStr">
        <is>
          <t>Wrong size</t>
        </is>
      </c>
      <c r="F494" s="27" t="n">
        <v>2094.9</v>
      </c>
      <c r="G494" s="27" t="n">
        <v>507</v>
      </c>
      <c r="H494" s="27" t="inlineStr">
        <is>
          <t>06</t>
        </is>
      </c>
      <c r="I494" s="27" t="n">
        <v>2026</v>
      </c>
    </row>
    <row r="495" ht="15" customHeight="1" s="24">
      <c r="A495" s="27" t="n">
        <v>85689</v>
      </c>
      <c r="B495" s="27" t="n">
        <v>1198899</v>
      </c>
      <c r="C495" s="27" t="n">
        <v>7</v>
      </c>
      <c r="D495" s="41" t="n">
        <v>46197.73508034722</v>
      </c>
      <c r="E495" s="27" t="inlineStr">
        <is>
          <t>Item damaged</t>
        </is>
      </c>
      <c r="F495" s="27" t="n">
        <v>383.92</v>
      </c>
      <c r="G495" s="27" t="n">
        <v>1276</v>
      </c>
      <c r="H495" s="27" t="inlineStr">
        <is>
          <t>06</t>
        </is>
      </c>
      <c r="I495" s="27" t="n">
        <v>2026</v>
      </c>
    </row>
    <row r="496" ht="15" customHeight="1" s="24">
      <c r="A496" s="27" t="n">
        <v>84681</v>
      </c>
      <c r="B496" s="27" t="n">
        <v>1183439</v>
      </c>
      <c r="C496" s="27" t="n">
        <v>47</v>
      </c>
      <c r="D496" s="41" t="n">
        <v>46200.3719040162</v>
      </c>
      <c r="E496" s="27" t="inlineStr">
        <is>
          <t>Not as described</t>
        </is>
      </c>
      <c r="F496" s="27" t="n">
        <v>40.09</v>
      </c>
      <c r="G496" s="27" t="n">
        <v>2998</v>
      </c>
      <c r="H496" s="27" t="inlineStr">
        <is>
          <t>06</t>
        </is>
      </c>
      <c r="I496" s="27" t="n">
        <v>2026</v>
      </c>
    </row>
    <row r="497" ht="15" customHeight="1" s="24">
      <c r="A497" s="27" t="n">
        <v>84026</v>
      </c>
      <c r="B497" s="27" t="n">
        <v>1173624</v>
      </c>
      <c r="C497" s="27" t="n">
        <v>3</v>
      </c>
      <c r="D497" s="41" t="n">
        <v>46202.04354101852</v>
      </c>
      <c r="E497" s="27" t="inlineStr">
        <is>
          <t>Changed mind</t>
        </is>
      </c>
      <c r="F497" s="27" t="n">
        <v>200.04</v>
      </c>
      <c r="G497" s="27" t="n">
        <v>3898</v>
      </c>
      <c r="H497" s="27" t="inlineStr">
        <is>
          <t>06</t>
        </is>
      </c>
      <c r="I497" s="27" t="n">
        <v>2026</v>
      </c>
    </row>
    <row r="498" ht="15" customHeight="1" s="24">
      <c r="A498" s="27" t="n">
        <v>84893</v>
      </c>
      <c r="B498" s="27" t="n">
        <v>1186576</v>
      </c>
      <c r="C498" s="27" t="n">
        <v>4</v>
      </c>
      <c r="D498" s="41" t="n">
        <v>46202.26005519676</v>
      </c>
      <c r="E498" s="27" t="inlineStr">
        <is>
          <t>Wrong size</t>
        </is>
      </c>
      <c r="F498" s="27" t="n">
        <v>59.26</v>
      </c>
      <c r="G498" s="27" t="n">
        <v>307</v>
      </c>
      <c r="H498" s="27" t="inlineStr">
        <is>
          <t>06</t>
        </is>
      </c>
      <c r="I498" s="27" t="n">
        <v>2026</v>
      </c>
    </row>
    <row r="499" ht="15" customHeight="1" s="24">
      <c r="A499" s="27" t="n">
        <v>85400</v>
      </c>
      <c r="B499" s="27" t="n">
        <v>1194031</v>
      </c>
      <c r="C499" s="27" t="n">
        <v>1</v>
      </c>
      <c r="D499" s="41" t="n">
        <v>46202.5299343287</v>
      </c>
      <c r="E499" s="27" t="inlineStr">
        <is>
          <t>Wrong size</t>
        </is>
      </c>
      <c r="F499" s="27" t="n">
        <v>1333.06</v>
      </c>
      <c r="G499" s="27" t="n">
        <v>3064</v>
      </c>
      <c r="H499" s="27" t="inlineStr">
        <is>
          <t>06</t>
        </is>
      </c>
      <c r="I499" s="27" t="n">
        <v>2026</v>
      </c>
    </row>
    <row r="500" ht="15" customHeight="1" s="24">
      <c r="A500" s="27" t="n">
        <v>83760</v>
      </c>
      <c r="B500" s="27" t="n">
        <v>1168810</v>
      </c>
      <c r="C500" s="27" t="n">
        <v>1</v>
      </c>
      <c r="D500" s="41" t="n">
        <v>46204.40427501158</v>
      </c>
      <c r="E500" s="27" t="inlineStr">
        <is>
          <t>Defective product</t>
        </is>
      </c>
      <c r="F500" s="27" t="n">
        <v>486.6</v>
      </c>
      <c r="G500" s="27" t="n">
        <v>2382</v>
      </c>
      <c r="H500" s="27" t="inlineStr">
        <is>
          <t>06</t>
        </is>
      </c>
      <c r="I500" s="27" t="n">
        <v>2026</v>
      </c>
    </row>
    <row r="501" ht="15" customHeight="1" s="24">
      <c r="A501" s="27" t="n">
        <v>83371</v>
      </c>
      <c r="B501" s="27" t="n">
        <v>1162683</v>
      </c>
      <c r="C501" s="27" t="n">
        <v>52</v>
      </c>
      <c r="D501" s="41" t="n">
        <v>46205.31839892361</v>
      </c>
      <c r="E501" s="27" t="inlineStr">
        <is>
          <t>Wrong size</t>
        </is>
      </c>
      <c r="F501" s="27" t="n">
        <v>48.08</v>
      </c>
      <c r="G501" s="27" t="n">
        <v>2973</v>
      </c>
      <c r="H501" s="27" t="inlineStr">
        <is>
          <t>06</t>
        </is>
      </c>
      <c r="I501" s="27" t="n">
        <v>2026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6"/>
  </cols>
  <sheetData>
    <row r="1" ht="15" customHeight="1" s="24">
      <c r="A1" s="28" t="inlineStr">
        <is>
          <t>month</t>
        </is>
      </c>
      <c r="B1" s="28" t="inlineStr">
        <is>
          <t>parcels</t>
        </is>
      </c>
      <c r="C1" s="28" t="inlineStr">
        <is>
          <t>avg_delivery_hours</t>
        </is>
      </c>
      <c r="D1" s="28" t="inlineStr">
        <is>
          <t>delivered</t>
        </is>
      </c>
      <c r="E1" s="28" t="inlineStr">
        <is>
          <t>rts</t>
        </is>
      </c>
      <c r="F1" s="28" t="inlineStr">
        <is>
          <t>lost</t>
        </is>
      </c>
    </row>
    <row r="2" ht="15" customHeight="1" s="24">
      <c r="A2" s="27" t="inlineStr">
        <is>
          <t>2023-07</t>
        </is>
      </c>
      <c r="B2" s="27" t="n">
        <v>22309</v>
      </c>
      <c r="C2" s="27" t="n">
        <v>26.9</v>
      </c>
      <c r="D2" s="27" t="n">
        <v>20625</v>
      </c>
      <c r="E2" s="27" t="n">
        <v>1236</v>
      </c>
      <c r="F2" s="27" t="n">
        <v>39</v>
      </c>
    </row>
    <row r="3" ht="15" customHeight="1" s="24">
      <c r="A3" s="27" t="inlineStr">
        <is>
          <t>2023-08</t>
        </is>
      </c>
      <c r="B3" s="27" t="n">
        <v>22338</v>
      </c>
      <c r="C3" s="27" t="n">
        <v>26.9</v>
      </c>
      <c r="D3" s="27" t="n">
        <v>20645</v>
      </c>
      <c r="E3" s="27" t="n">
        <v>1208</v>
      </c>
      <c r="F3" s="27" t="n">
        <v>38</v>
      </c>
    </row>
    <row r="4" ht="15" customHeight="1" s="24">
      <c r="A4" s="27" t="inlineStr">
        <is>
          <t>2023-09</t>
        </is>
      </c>
      <c r="B4" s="27" t="n">
        <v>22750</v>
      </c>
      <c r="C4" s="27" t="n">
        <v>27</v>
      </c>
      <c r="D4" s="27" t="n">
        <v>20972</v>
      </c>
      <c r="E4" s="27" t="n">
        <v>1273</v>
      </c>
      <c r="F4" s="27" t="n">
        <v>48</v>
      </c>
    </row>
    <row r="5" ht="15" customHeight="1" s="24">
      <c r="A5" s="27" t="inlineStr">
        <is>
          <t>2023-10</t>
        </is>
      </c>
      <c r="B5" s="27" t="n">
        <v>23406</v>
      </c>
      <c r="C5" s="27" t="n">
        <v>26.8</v>
      </c>
      <c r="D5" s="27" t="n">
        <v>21610</v>
      </c>
      <c r="E5" s="27" t="n">
        <v>1271</v>
      </c>
      <c r="F5" s="27" t="n">
        <v>40</v>
      </c>
    </row>
    <row r="6" ht="15" customHeight="1" s="24">
      <c r="A6" s="27" t="inlineStr">
        <is>
          <t>2023-11</t>
        </is>
      </c>
      <c r="B6" s="27" t="n">
        <v>43780</v>
      </c>
      <c r="C6" s="27" t="n">
        <v>26.8</v>
      </c>
      <c r="D6" s="27" t="n">
        <v>40397</v>
      </c>
      <c r="E6" s="27" t="n">
        <v>2430</v>
      </c>
      <c r="F6" s="27" t="n">
        <v>67</v>
      </c>
    </row>
    <row r="7" ht="15" customHeight="1" s="24">
      <c r="A7" s="27" t="inlineStr">
        <is>
          <t>2023-12</t>
        </is>
      </c>
      <c r="B7" s="27" t="n">
        <v>35682</v>
      </c>
      <c r="C7" s="27" t="n">
        <v>26.8</v>
      </c>
      <c r="D7" s="27" t="n">
        <v>32885</v>
      </c>
      <c r="E7" s="27" t="n">
        <v>1997</v>
      </c>
      <c r="F7" s="27" t="n">
        <v>71</v>
      </c>
    </row>
    <row r="8" ht="15" customHeight="1" s="24">
      <c r="A8" s="27" t="inlineStr">
        <is>
          <t>2024-01</t>
        </is>
      </c>
      <c r="B8" s="27" t="n">
        <v>17870</v>
      </c>
      <c r="C8" s="27" t="n">
        <v>26.9</v>
      </c>
      <c r="D8" s="27" t="n">
        <v>16433</v>
      </c>
      <c r="E8" s="27" t="n">
        <v>1006</v>
      </c>
      <c r="F8" s="27" t="n">
        <v>39</v>
      </c>
    </row>
    <row r="9" ht="15" customHeight="1" s="24">
      <c r="A9" s="27" t="inlineStr">
        <is>
          <t>2024-02</t>
        </is>
      </c>
      <c r="B9" s="27" t="n">
        <v>20306</v>
      </c>
      <c r="C9" s="27" t="n">
        <v>27</v>
      </c>
      <c r="D9" s="27" t="n">
        <v>18669</v>
      </c>
      <c r="E9" s="27" t="n">
        <v>1171</v>
      </c>
      <c r="F9" s="27" t="n">
        <v>44</v>
      </c>
    </row>
    <row r="10" ht="15" customHeight="1" s="24">
      <c r="A10" s="27" t="inlineStr">
        <is>
          <t>2024-03</t>
        </is>
      </c>
      <c r="B10" s="27" t="n">
        <v>26010</v>
      </c>
      <c r="C10" s="27" t="n">
        <v>27</v>
      </c>
      <c r="D10" s="27" t="n">
        <v>23969</v>
      </c>
      <c r="E10" s="27" t="n">
        <v>1450</v>
      </c>
      <c r="F10" s="27" t="n">
        <v>52</v>
      </c>
    </row>
    <row r="11" ht="15" customHeight="1" s="24">
      <c r="A11" s="27" t="inlineStr">
        <is>
          <t>2024-04</t>
        </is>
      </c>
      <c r="B11" s="27" t="n">
        <v>26601</v>
      </c>
      <c r="C11" s="27" t="n">
        <v>26.9</v>
      </c>
      <c r="D11" s="27" t="n">
        <v>24524</v>
      </c>
      <c r="E11" s="27" t="n">
        <v>1487</v>
      </c>
      <c r="F11" s="27" t="n">
        <v>68</v>
      </c>
    </row>
    <row r="12" ht="15" customHeight="1" s="24">
      <c r="A12" s="27" t="inlineStr">
        <is>
          <t>2024-05</t>
        </is>
      </c>
      <c r="B12" s="27" t="n">
        <v>27173</v>
      </c>
      <c r="C12" s="27" t="n">
        <v>26.9</v>
      </c>
      <c r="D12" s="27" t="n">
        <v>25104</v>
      </c>
      <c r="E12" s="27" t="n">
        <v>1494</v>
      </c>
      <c r="F12" s="27" t="n">
        <v>58</v>
      </c>
    </row>
    <row r="13" ht="15" customHeight="1" s="24">
      <c r="A13" s="27" t="inlineStr">
        <is>
          <t>2024-06</t>
        </is>
      </c>
      <c r="B13" s="27" t="n">
        <v>27720</v>
      </c>
      <c r="C13" s="27" t="n">
        <v>26.8</v>
      </c>
      <c r="D13" s="27" t="n">
        <v>25550</v>
      </c>
      <c r="E13" s="27" t="n">
        <v>1553</v>
      </c>
      <c r="F13" s="27" t="n">
        <v>50</v>
      </c>
    </row>
    <row r="14" ht="15" customHeight="1" s="24">
      <c r="A14" s="27" t="inlineStr">
        <is>
          <t>2024-07</t>
        </is>
      </c>
      <c r="B14" s="27" t="n">
        <v>29628</v>
      </c>
      <c r="C14" s="27" t="n">
        <v>26.8</v>
      </c>
      <c r="D14" s="27" t="n">
        <v>27291</v>
      </c>
      <c r="E14" s="27" t="n">
        <v>1665</v>
      </c>
      <c r="F14" s="27" t="n">
        <v>56</v>
      </c>
    </row>
    <row r="15" ht="15" customHeight="1" s="24">
      <c r="A15" s="27" t="inlineStr">
        <is>
          <t>2024-08</t>
        </is>
      </c>
      <c r="B15" s="27" t="n">
        <v>28840</v>
      </c>
      <c r="C15" s="27" t="n">
        <v>27</v>
      </c>
      <c r="D15" s="27" t="n">
        <v>26639</v>
      </c>
      <c r="E15" s="27" t="n">
        <v>1557</v>
      </c>
      <c r="F15" s="27" t="n">
        <v>59</v>
      </c>
    </row>
    <row r="16" ht="15" customHeight="1" s="24">
      <c r="A16" s="27" t="inlineStr">
        <is>
          <t>2024-09</t>
        </is>
      </c>
      <c r="B16" s="27" t="n">
        <v>29223</v>
      </c>
      <c r="C16" s="27" t="n">
        <v>26.9</v>
      </c>
      <c r="D16" s="27" t="n">
        <v>26962</v>
      </c>
      <c r="E16" s="27" t="n">
        <v>1599</v>
      </c>
      <c r="F16" s="27" t="n">
        <v>66</v>
      </c>
    </row>
    <row r="17" ht="15" customHeight="1" s="24">
      <c r="A17" s="27" t="inlineStr">
        <is>
          <t>2024-10</t>
        </is>
      </c>
      <c r="B17" s="27" t="n">
        <v>29917</v>
      </c>
      <c r="C17" s="27" t="n">
        <v>26.9</v>
      </c>
      <c r="D17" s="27" t="n">
        <v>27593</v>
      </c>
      <c r="E17" s="27" t="n">
        <v>1692</v>
      </c>
      <c r="F17" s="27" t="n">
        <v>55</v>
      </c>
    </row>
    <row r="18" ht="15" customHeight="1" s="24">
      <c r="A18" s="27" t="inlineStr">
        <is>
          <t>2024-11</t>
        </is>
      </c>
      <c r="B18" s="27" t="n">
        <v>55782</v>
      </c>
      <c r="C18" s="27" t="n">
        <v>26.9</v>
      </c>
      <c r="D18" s="27" t="n">
        <v>51459</v>
      </c>
      <c r="E18" s="27" t="n">
        <v>3119</v>
      </c>
      <c r="F18" s="27" t="n">
        <v>104</v>
      </c>
    </row>
    <row r="19" ht="15" customHeight="1" s="24">
      <c r="A19" s="27" t="inlineStr">
        <is>
          <t>2024-12</t>
        </is>
      </c>
      <c r="B19" s="27" t="n">
        <v>45078</v>
      </c>
      <c r="C19" s="27" t="n">
        <v>27</v>
      </c>
      <c r="D19" s="27" t="n">
        <v>41726</v>
      </c>
      <c r="E19" s="27" t="n">
        <v>2376</v>
      </c>
      <c r="F19" s="27" t="n">
        <v>89</v>
      </c>
    </row>
    <row r="20" ht="15" customHeight="1" s="24">
      <c r="A20" s="27" t="inlineStr">
        <is>
          <t>2025-01</t>
        </is>
      </c>
      <c r="B20" s="27" t="n">
        <v>22616</v>
      </c>
      <c r="C20" s="27" t="n">
        <v>27.1</v>
      </c>
      <c r="D20" s="27" t="n">
        <v>20866</v>
      </c>
      <c r="E20" s="27" t="n">
        <v>1226</v>
      </c>
      <c r="F20" s="27" t="n">
        <v>52</v>
      </c>
    </row>
    <row r="21" ht="15" customHeight="1" s="24">
      <c r="A21" s="27" t="inlineStr">
        <is>
          <t>2025-02</t>
        </is>
      </c>
      <c r="B21" s="27" t="n">
        <v>25522</v>
      </c>
      <c r="C21" s="27" t="n">
        <v>26.9</v>
      </c>
      <c r="D21" s="27" t="n">
        <v>23556</v>
      </c>
      <c r="E21" s="27" t="n">
        <v>1437</v>
      </c>
      <c r="F21" s="27" t="n">
        <v>43</v>
      </c>
    </row>
    <row r="22" ht="15" customHeight="1" s="24">
      <c r="A22" s="27" t="inlineStr">
        <is>
          <t>2025-03</t>
        </is>
      </c>
      <c r="B22" s="27" t="n">
        <v>32535</v>
      </c>
      <c r="C22" s="27" t="n">
        <v>26.8</v>
      </c>
      <c r="D22" s="27" t="n">
        <v>30018</v>
      </c>
      <c r="E22" s="27" t="n">
        <v>1815</v>
      </c>
      <c r="F22" s="27" t="n">
        <v>47</v>
      </c>
    </row>
    <row r="23" ht="15" customHeight="1" s="24">
      <c r="A23" s="27" t="inlineStr">
        <is>
          <t>2025-04</t>
        </is>
      </c>
      <c r="B23" s="27" t="n">
        <v>33054</v>
      </c>
      <c r="C23" s="27" t="n">
        <v>26.8</v>
      </c>
      <c r="D23" s="27" t="n">
        <v>30458</v>
      </c>
      <c r="E23" s="27" t="n">
        <v>1877</v>
      </c>
      <c r="F23" s="27" t="n">
        <v>72</v>
      </c>
    </row>
    <row r="24" ht="15" customHeight="1" s="24">
      <c r="A24" s="27" t="inlineStr">
        <is>
          <t>2025-05</t>
        </is>
      </c>
      <c r="B24" s="27" t="n">
        <v>33695</v>
      </c>
      <c r="C24" s="27" t="n">
        <v>27</v>
      </c>
      <c r="D24" s="27" t="n">
        <v>31125</v>
      </c>
      <c r="E24" s="27" t="n">
        <v>1832</v>
      </c>
      <c r="F24" s="27" t="n">
        <v>73</v>
      </c>
    </row>
    <row r="25" ht="15" customHeight="1" s="24">
      <c r="A25" s="27" t="inlineStr">
        <is>
          <t>2025-06</t>
        </is>
      </c>
      <c r="B25" s="27" t="n">
        <v>34197</v>
      </c>
      <c r="C25" s="27" t="n">
        <v>26.9</v>
      </c>
      <c r="D25" s="27" t="n">
        <v>31578</v>
      </c>
      <c r="E25" s="27" t="n">
        <v>1790</v>
      </c>
      <c r="F25" s="27" t="n">
        <v>89</v>
      </c>
    </row>
    <row r="26" ht="15" customHeight="1" s="24">
      <c r="A26" s="27" t="inlineStr">
        <is>
          <t>2025-07</t>
        </is>
      </c>
      <c r="B26" s="27" t="n">
        <v>36480</v>
      </c>
      <c r="C26" s="27" t="n">
        <v>27</v>
      </c>
      <c r="D26" s="27" t="n">
        <v>33672</v>
      </c>
      <c r="E26" s="27" t="n">
        <v>1988</v>
      </c>
      <c r="F26" s="27" t="n">
        <v>67</v>
      </c>
    </row>
    <row r="27" ht="15" customHeight="1" s="24">
      <c r="A27" s="27" t="inlineStr">
        <is>
          <t>2025-08</t>
        </is>
      </c>
      <c r="B27" s="27" t="n">
        <v>35447</v>
      </c>
      <c r="C27" s="27" t="n">
        <v>27</v>
      </c>
      <c r="D27" s="27" t="n">
        <v>32718</v>
      </c>
      <c r="E27" s="27" t="n">
        <v>1966</v>
      </c>
      <c r="F27" s="27" t="n">
        <v>80</v>
      </c>
    </row>
    <row r="28" ht="15" customHeight="1" s="24">
      <c r="A28" s="27" t="inlineStr">
        <is>
          <t>2025-09</t>
        </is>
      </c>
      <c r="B28" s="27" t="n">
        <v>35831</v>
      </c>
      <c r="C28" s="27" t="n">
        <v>27</v>
      </c>
      <c r="D28" s="27" t="n">
        <v>33140</v>
      </c>
      <c r="E28" s="27" t="n">
        <v>1906</v>
      </c>
      <c r="F28" s="27" t="n">
        <v>76</v>
      </c>
    </row>
    <row r="29" ht="15" customHeight="1" s="24">
      <c r="A29" s="27" t="inlineStr">
        <is>
          <t>2025-10</t>
        </is>
      </c>
      <c r="B29" s="27" t="n">
        <v>36388</v>
      </c>
      <c r="C29" s="27" t="n">
        <v>26.9</v>
      </c>
      <c r="D29" s="27" t="n">
        <v>33530</v>
      </c>
      <c r="E29" s="27" t="n">
        <v>2039</v>
      </c>
      <c r="F29" s="27" t="n">
        <v>79</v>
      </c>
    </row>
    <row r="30" ht="15" customHeight="1" s="24">
      <c r="A30" s="27" t="inlineStr">
        <is>
          <t>2025-11</t>
        </is>
      </c>
      <c r="B30" s="27" t="n">
        <v>67635</v>
      </c>
      <c r="C30" s="27" t="n">
        <v>26.9</v>
      </c>
      <c r="D30" s="27" t="n">
        <v>62470</v>
      </c>
      <c r="E30" s="27" t="n">
        <v>3727</v>
      </c>
      <c r="F30" s="27" t="n">
        <v>127</v>
      </c>
    </row>
    <row r="31" ht="15" customHeight="1" s="24">
      <c r="A31" s="27" t="inlineStr">
        <is>
          <t>2025-12</t>
        </is>
      </c>
      <c r="B31" s="27" t="n">
        <v>54656</v>
      </c>
      <c r="C31" s="27" t="n">
        <v>26.9</v>
      </c>
      <c r="D31" s="27" t="n">
        <v>50522</v>
      </c>
      <c r="E31" s="27" t="n">
        <v>2958</v>
      </c>
      <c r="F31" s="27" t="n">
        <v>91</v>
      </c>
    </row>
    <row r="32" ht="15" customHeight="1" s="24">
      <c r="A32" s="27" t="inlineStr">
        <is>
          <t>2026-01</t>
        </is>
      </c>
      <c r="B32" s="27" t="n">
        <v>27238</v>
      </c>
      <c r="C32" s="27" t="n">
        <v>26.9</v>
      </c>
      <c r="D32" s="27" t="n">
        <v>25172</v>
      </c>
      <c r="E32" s="27" t="n">
        <v>1509</v>
      </c>
      <c r="F32" s="27" t="n">
        <v>49</v>
      </c>
    </row>
    <row r="33" ht="15" customHeight="1" s="24">
      <c r="A33" s="27" t="inlineStr">
        <is>
          <t>2026-02</t>
        </is>
      </c>
      <c r="B33" s="27" t="n">
        <v>30759</v>
      </c>
      <c r="C33" s="27" t="n">
        <v>26.8</v>
      </c>
      <c r="D33" s="27" t="n">
        <v>28386</v>
      </c>
      <c r="E33" s="27" t="n">
        <v>1685</v>
      </c>
      <c r="F33" s="27" t="n">
        <v>70</v>
      </c>
    </row>
    <row r="34" ht="15" customHeight="1" s="24">
      <c r="A34" s="27" t="inlineStr">
        <is>
          <t>2026-03</t>
        </is>
      </c>
      <c r="B34" s="27" t="n">
        <v>38982</v>
      </c>
      <c r="C34" s="27" t="n">
        <v>27</v>
      </c>
      <c r="D34" s="27" t="n">
        <v>35988</v>
      </c>
      <c r="E34" s="27" t="n">
        <v>2131</v>
      </c>
      <c r="F34" s="27" t="n">
        <v>78</v>
      </c>
    </row>
    <row r="35" ht="15" customHeight="1" s="24">
      <c r="A35" s="27" t="inlineStr">
        <is>
          <t>2026-04</t>
        </is>
      </c>
      <c r="B35" s="27" t="n">
        <v>39579</v>
      </c>
      <c r="C35" s="27" t="n">
        <v>26.9</v>
      </c>
      <c r="D35" s="27" t="n">
        <v>36544</v>
      </c>
      <c r="E35" s="27" t="n">
        <v>2192</v>
      </c>
      <c r="F35" s="27" t="n">
        <v>70</v>
      </c>
    </row>
    <row r="36" ht="15" customHeight="1" s="24">
      <c r="A36" s="27" t="inlineStr">
        <is>
          <t>2026-05</t>
        </is>
      </c>
      <c r="B36" s="27" t="n">
        <v>40251</v>
      </c>
      <c r="C36" s="27" t="n">
        <v>27</v>
      </c>
      <c r="D36" s="27" t="n">
        <v>37203</v>
      </c>
      <c r="E36" s="27" t="n">
        <v>2200</v>
      </c>
      <c r="F36" s="27" t="n">
        <v>85</v>
      </c>
    </row>
    <row r="37" ht="15" customHeight="1" s="24">
      <c r="A37" s="27" t="inlineStr">
        <is>
          <t>2026-06</t>
        </is>
      </c>
      <c r="B37" s="27" t="n">
        <v>40812</v>
      </c>
      <c r="C37" s="27" t="n">
        <v>26.9</v>
      </c>
      <c r="D37" s="27" t="n">
        <v>34003</v>
      </c>
      <c r="E37" s="27" t="n">
        <v>1977</v>
      </c>
      <c r="F37" s="27" t="n">
        <v>76</v>
      </c>
    </row>
    <row r="38" ht="15" customHeight="1" s="24">
      <c r="A38" s="43" t="inlineStr">
        <is>
          <t>TOTAL / AVG</t>
        </is>
      </c>
      <c r="B38" s="44">
        <f>SUM(B2:B37)</f>
        <v/>
      </c>
      <c r="C38" s="45">
        <f>AVERAGE(C2:C37)</f>
        <v/>
      </c>
      <c r="D38" s="44">
        <f>SUM(D2:D37)</f>
        <v/>
      </c>
      <c r="E38" s="44">
        <f>SUM(E2:E37)</f>
        <v/>
      </c>
      <c r="F38" s="44">
        <f>SUM(F2:F37)</f>
        <v/>
      </c>
    </row>
    <row r="39" ht="15" customHeight="1" s="2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22" customWidth="1" style="23" min="2" max="2"/>
    <col width="21" customWidth="1" style="23" min="3" max="3"/>
    <col width="12" customWidth="1" style="23" min="4" max="6"/>
    <col width="20" customWidth="1" style="23" min="7" max="7"/>
  </cols>
  <sheetData>
    <row r="1" ht="15" customHeight="1" s="24">
      <c r="A1" s="28" t="inlineStr">
        <is>
          <t>retailer_id</t>
        </is>
      </c>
      <c r="B1" s="28" t="inlineStr">
        <is>
          <t>retailer_name</t>
        </is>
      </c>
      <c r="C1" s="28" t="inlineStr">
        <is>
          <t>industry</t>
        </is>
      </c>
      <c r="D1" s="28" t="inlineStr">
        <is>
          <t>tier</t>
        </is>
      </c>
      <c r="E1" s="28" t="inlineStr">
        <is>
          <t>contract_start_date</t>
        </is>
      </c>
      <c r="F1" s="28" t="inlineStr">
        <is>
          <t>rate_per_parcel_zar</t>
        </is>
      </c>
      <c r="G1" s="28" t="inlineStr">
        <is>
          <t>integration_type</t>
        </is>
      </c>
    </row>
    <row r="2" ht="15" customHeight="1" s="24">
      <c r="A2" s="27" t="n">
        <v>1</v>
      </c>
      <c r="B2" s="27" t="inlineStr">
        <is>
          <t>Bash</t>
        </is>
      </c>
      <c r="C2" s="27" t="inlineStr">
        <is>
          <t>Fashion &amp; Apparel</t>
        </is>
      </c>
      <c r="D2" s="27" t="inlineStr">
        <is>
          <t>Enterprise</t>
        </is>
      </c>
      <c r="E2" s="41" t="n">
        <v>45108</v>
      </c>
      <c r="F2" s="27" t="n">
        <v>46.24</v>
      </c>
      <c r="G2" s="27" t="inlineStr">
        <is>
          <t>API</t>
        </is>
      </c>
    </row>
    <row r="3" ht="15" customHeight="1" s="24">
      <c r="A3" s="27" t="n">
        <v>2</v>
      </c>
      <c r="B3" s="27" t="inlineStr">
        <is>
          <t>Woolworths</t>
        </is>
      </c>
      <c r="C3" s="27" t="inlineStr">
        <is>
          <t>Retail - Premium</t>
        </is>
      </c>
      <c r="D3" s="27" t="inlineStr">
        <is>
          <t>Enterprise</t>
        </is>
      </c>
      <c r="E3" s="41" t="n">
        <v>43705</v>
      </c>
      <c r="F3" s="27" t="n">
        <v>49.85</v>
      </c>
      <c r="G3" s="27" t="inlineStr">
        <is>
          <t>API</t>
        </is>
      </c>
    </row>
    <row r="4" ht="15" customHeight="1" s="24">
      <c r="A4" s="27" t="n">
        <v>3</v>
      </c>
      <c r="B4" s="27" t="inlineStr">
        <is>
          <t>Clicks</t>
        </is>
      </c>
      <c r="C4" s="27" t="inlineStr">
        <is>
          <t>Health &amp; Pharmacy</t>
        </is>
      </c>
      <c r="D4" s="27" t="inlineStr">
        <is>
          <t>Enterprise</t>
        </is>
      </c>
      <c r="E4" s="41" t="n">
        <v>43683</v>
      </c>
      <c r="F4" s="27" t="n">
        <v>38.81</v>
      </c>
      <c r="G4" s="27" t="inlineStr">
        <is>
          <t>API</t>
        </is>
      </c>
    </row>
    <row r="5" ht="15" customHeight="1" s="24">
      <c r="A5" s="27" t="n">
        <v>4</v>
      </c>
      <c r="B5" s="27" t="inlineStr">
        <is>
          <t>Sportscene</t>
        </is>
      </c>
      <c r="C5" s="27" t="inlineStr">
        <is>
          <t>Fashion &amp; Apparel</t>
        </is>
      </c>
      <c r="D5" s="27" t="inlineStr">
        <is>
          <t>Enterprise</t>
        </is>
      </c>
      <c r="E5" s="41" t="n">
        <v>43738</v>
      </c>
      <c r="F5" s="27" t="n">
        <v>43.23</v>
      </c>
      <c r="G5" s="27" t="inlineStr">
        <is>
          <t>WooCommerce Plugin</t>
        </is>
      </c>
    </row>
    <row r="6" ht="15" customHeight="1" s="24">
      <c r="A6" s="27" t="n">
        <v>5</v>
      </c>
      <c r="B6" s="27" t="inlineStr">
        <is>
          <t>FILA South Africa</t>
        </is>
      </c>
      <c r="C6" s="27" t="inlineStr">
        <is>
          <t>Fashion &amp; Apparel</t>
        </is>
      </c>
      <c r="D6" s="27" t="inlineStr">
        <is>
          <t>Mid-Market</t>
        </is>
      </c>
      <c r="E6" s="41" t="n">
        <v>44742</v>
      </c>
      <c r="F6" s="27" t="n">
        <v>56.77</v>
      </c>
      <c r="G6" s="27" t="inlineStr">
        <is>
          <t>API</t>
        </is>
      </c>
    </row>
    <row r="7" ht="15" customHeight="1" s="24">
      <c r="A7" s="27" t="n">
        <v>6</v>
      </c>
      <c r="B7" s="27" t="inlineStr">
        <is>
          <t>Cape Union Mart</t>
        </is>
      </c>
      <c r="C7" s="27" t="inlineStr">
        <is>
          <t>Outdoor &amp; Lifestyle</t>
        </is>
      </c>
      <c r="D7" s="27" t="inlineStr">
        <is>
          <t>Enterprise</t>
        </is>
      </c>
      <c r="E7" s="41" t="n">
        <v>44560</v>
      </c>
      <c r="F7" s="27" t="n">
        <v>40.26</v>
      </c>
      <c r="G7" s="27" t="inlineStr">
        <is>
          <t>WooCommerce Plugin</t>
        </is>
      </c>
    </row>
    <row r="8" ht="15" customHeight="1" s="24">
      <c r="A8" s="27" t="n">
        <v>7</v>
      </c>
      <c r="B8" s="27" t="inlineStr">
        <is>
          <t>OneDayOnly</t>
        </is>
      </c>
      <c r="C8" s="27" t="inlineStr">
        <is>
          <t>E-commerce Marketplace</t>
        </is>
      </c>
      <c r="D8" s="27" t="inlineStr">
        <is>
          <t>Enterprise</t>
        </is>
      </c>
      <c r="E8" s="41" t="n">
        <v>45108</v>
      </c>
      <c r="F8" s="27" t="n">
        <v>49.43</v>
      </c>
      <c r="G8" s="27" t="inlineStr">
        <is>
          <t>Manual Portal</t>
        </is>
      </c>
    </row>
    <row r="9" ht="15" customHeight="1" s="24">
      <c r="A9" s="27" t="n">
        <v>8</v>
      </c>
      <c r="B9" s="27" t="inlineStr">
        <is>
          <t>Loot.co.za</t>
        </is>
      </c>
      <c r="C9" s="27" t="inlineStr">
        <is>
          <t>E-commerce Marketplace</t>
        </is>
      </c>
      <c r="D9" s="27" t="inlineStr">
        <is>
          <t>Mid-Market</t>
        </is>
      </c>
      <c r="E9" s="41" t="n">
        <v>44164</v>
      </c>
      <c r="F9" s="27" t="n">
        <v>56.11</v>
      </c>
      <c r="G9" s="27" t="inlineStr">
        <is>
          <t>API</t>
        </is>
      </c>
    </row>
    <row r="10" ht="15" customHeight="1" s="24">
      <c r="A10" s="27" t="n">
        <v>9</v>
      </c>
      <c r="B10" s="27" t="inlineStr">
        <is>
          <t>Wellness Warehouse</t>
        </is>
      </c>
      <c r="C10" s="27" t="inlineStr">
        <is>
          <t>Health &amp; Pharmacy</t>
        </is>
      </c>
      <c r="D10" s="27" t="inlineStr">
        <is>
          <t>Mid-Market</t>
        </is>
      </c>
      <c r="E10" s="41" t="n">
        <v>43822</v>
      </c>
      <c r="F10" s="27" t="n">
        <v>57.54</v>
      </c>
      <c r="G10" s="27" t="inlineStr">
        <is>
          <t>API</t>
        </is>
      </c>
    </row>
    <row r="11" ht="15" customHeight="1" s="24">
      <c r="A11" s="27" t="n">
        <v>10</v>
      </c>
      <c r="B11" s="27" t="inlineStr">
        <is>
          <t>Griffiths SA</t>
        </is>
      </c>
      <c r="C11" s="27" t="inlineStr">
        <is>
          <t>Home &amp; Garden</t>
        </is>
      </c>
      <c r="D11" s="27" t="inlineStr">
        <is>
          <t>SMB</t>
        </is>
      </c>
      <c r="E11" s="41" t="n">
        <v>43226</v>
      </c>
      <c r="F11" s="27" t="n">
        <v>63.29</v>
      </c>
      <c r="G11" s="27" t="inlineStr">
        <is>
          <t>Shopify Plugin</t>
        </is>
      </c>
    </row>
    <row r="12" ht="15" customHeight="1" s="24">
      <c r="A12" s="27" t="n">
        <v>11</v>
      </c>
      <c r="B12" s="27" t="inlineStr">
        <is>
          <t>Newman Ltd Direct</t>
        </is>
      </c>
      <c r="C12" s="27" t="inlineStr">
        <is>
          <t>Retail - Premium</t>
        </is>
      </c>
      <c r="D12" s="27" t="inlineStr">
        <is>
          <t>SMB</t>
        </is>
      </c>
      <c r="E12" s="41" t="n">
        <v>43119</v>
      </c>
      <c r="F12" s="27" t="n">
        <v>67.44</v>
      </c>
      <c r="G12" s="27" t="inlineStr">
        <is>
          <t>API</t>
        </is>
      </c>
    </row>
    <row r="13" ht="15" customHeight="1" s="24">
      <c r="A13" s="27" t="n">
        <v>12</v>
      </c>
      <c r="B13" s="27" t="inlineStr">
        <is>
          <t>Norman Online</t>
        </is>
      </c>
      <c r="C13" s="27" t="inlineStr">
        <is>
          <t>Fashion &amp; Apparel</t>
        </is>
      </c>
      <c r="D13" s="27" t="inlineStr">
        <is>
          <t>SMB</t>
        </is>
      </c>
      <c r="E13" s="41" t="n">
        <v>44055</v>
      </c>
      <c r="F13" s="27" t="n">
        <v>68.20999999999999</v>
      </c>
      <c r="G13" s="27" t="inlineStr">
        <is>
          <t>API</t>
        </is>
      </c>
    </row>
    <row r="14" ht="15" customHeight="1" s="24">
      <c r="A14" s="27" t="n">
        <v>13</v>
      </c>
      <c r="B14" s="27" t="inlineStr">
        <is>
          <t>Green and Sons Store</t>
        </is>
      </c>
      <c r="C14" s="27" t="inlineStr">
        <is>
          <t>Home &amp; Garden</t>
        </is>
      </c>
      <c r="D14" s="27" t="inlineStr">
        <is>
          <t>SMB</t>
        </is>
      </c>
      <c r="E14" s="41" t="n">
        <v>45108</v>
      </c>
      <c r="F14" s="27" t="n">
        <v>65.7</v>
      </c>
      <c r="G14" s="27" t="inlineStr">
        <is>
          <t>Manual Portal</t>
        </is>
      </c>
    </row>
    <row r="15" ht="15" customHeight="1" s="24">
      <c r="A15" s="27" t="n">
        <v>14</v>
      </c>
      <c r="B15" s="27" t="inlineStr">
        <is>
          <t>Foster Direct</t>
        </is>
      </c>
      <c r="C15" s="27" t="inlineStr">
        <is>
          <t>Health &amp; Pharmacy</t>
        </is>
      </c>
      <c r="D15" s="27" t="inlineStr">
        <is>
          <t>SMB</t>
        </is>
      </c>
      <c r="E15" s="41" t="n">
        <v>44439</v>
      </c>
      <c r="F15" s="27" t="n">
        <v>65.7</v>
      </c>
      <c r="G15" s="27" t="inlineStr">
        <is>
          <t>Manual Portal</t>
        </is>
      </c>
    </row>
    <row r="16" ht="15" customHeight="1" s="24">
      <c r="A16" s="27" t="n">
        <v>15</v>
      </c>
      <c r="B16" s="27" t="inlineStr">
        <is>
          <t>Kaur Direct</t>
        </is>
      </c>
      <c r="C16" s="27" t="inlineStr">
        <is>
          <t>Electronics</t>
        </is>
      </c>
      <c r="D16" s="27" t="inlineStr">
        <is>
          <t>SMB</t>
        </is>
      </c>
      <c r="E16" s="41" t="n">
        <v>45108</v>
      </c>
      <c r="F16" s="27" t="n">
        <v>65.81</v>
      </c>
      <c r="G16" s="27" t="inlineStr">
        <is>
          <t>WooCommerce Plugin</t>
        </is>
      </c>
    </row>
    <row r="17" ht="15" customHeight="1" s="24">
      <c r="A17" s="27" t="n">
        <v>16</v>
      </c>
      <c r="B17" s="27" t="inlineStr">
        <is>
          <t>Reed and Sons Store</t>
        </is>
      </c>
      <c r="C17" s="27" t="inlineStr">
        <is>
          <t>Books &amp; Media</t>
        </is>
      </c>
      <c r="D17" s="27" t="inlineStr">
        <is>
          <t>SMB</t>
        </is>
      </c>
      <c r="E17" s="41" t="n">
        <v>43360</v>
      </c>
      <c r="F17" s="27" t="n">
        <v>62.41</v>
      </c>
      <c r="G17" s="27" t="inlineStr">
        <is>
          <t>API</t>
        </is>
      </c>
    </row>
    <row r="18" ht="15" customHeight="1" s="24">
      <c r="A18" s="27" t="n">
        <v>17</v>
      </c>
      <c r="B18" s="27" t="inlineStr">
        <is>
          <t>Oliver Direct</t>
        </is>
      </c>
      <c r="C18" s="27" t="inlineStr">
        <is>
          <t>Outdoor &amp; Lifestyle</t>
        </is>
      </c>
      <c r="D18" s="27" t="inlineStr">
        <is>
          <t>Mid-Market</t>
        </is>
      </c>
      <c r="E18" s="41" t="n">
        <v>43339</v>
      </c>
      <c r="F18" s="27" t="n">
        <v>54.56</v>
      </c>
      <c r="G18" s="27" t="inlineStr">
        <is>
          <t>Shopify Plugin</t>
        </is>
      </c>
    </row>
    <row r="19" ht="15" customHeight="1" s="24">
      <c r="A19" s="27" t="n">
        <v>18</v>
      </c>
      <c r="B19" s="27" t="inlineStr">
        <is>
          <t>Warner-Palmer SA</t>
        </is>
      </c>
      <c r="C19" s="27" t="inlineStr">
        <is>
          <t>Beauty &amp; Cosmetics</t>
        </is>
      </c>
      <c r="D19" s="27" t="inlineStr">
        <is>
          <t>Enterprise</t>
        </is>
      </c>
      <c r="E19" s="41" t="n">
        <v>45108</v>
      </c>
      <c r="F19" s="27" t="n">
        <v>44.54</v>
      </c>
      <c r="G19" s="27" t="inlineStr">
        <is>
          <t>WooCommerce Plugin</t>
        </is>
      </c>
    </row>
    <row r="20" ht="15" customHeight="1" s="24">
      <c r="A20" s="27" t="n">
        <v>19</v>
      </c>
      <c r="B20" s="27" t="inlineStr">
        <is>
          <t>Baker-Butler</t>
        </is>
      </c>
      <c r="C20" s="27" t="inlineStr">
        <is>
          <t>Retail - Premium</t>
        </is>
      </c>
      <c r="D20" s="27" t="inlineStr">
        <is>
          <t>SMB</t>
        </is>
      </c>
      <c r="E20" s="41" t="n">
        <v>43373</v>
      </c>
      <c r="F20" s="27" t="n">
        <v>66.15000000000001</v>
      </c>
      <c r="G20" s="27" t="inlineStr">
        <is>
          <t>API</t>
        </is>
      </c>
    </row>
    <row r="21" ht="15" customHeight="1" s="24">
      <c r="A21" s="27" t="n">
        <v>20</v>
      </c>
      <c r="B21" s="27" t="inlineStr">
        <is>
          <t>Elliott PLC SA</t>
        </is>
      </c>
      <c r="C21" s="27" t="inlineStr">
        <is>
          <t>Home &amp; Garden</t>
        </is>
      </c>
      <c r="D21" s="27" t="inlineStr">
        <is>
          <t>Mid-Market</t>
        </is>
      </c>
      <c r="E21" s="41" t="n">
        <v>43233</v>
      </c>
      <c r="F21" s="27" t="n">
        <v>58</v>
      </c>
      <c r="G21" s="27" t="inlineStr">
        <is>
          <t>Shopify Plugin</t>
        </is>
      </c>
    </row>
    <row r="22" ht="15" customHeight="1" s="24">
      <c r="A22" s="27" t="n">
        <v>21</v>
      </c>
      <c r="B22" s="27" t="inlineStr">
        <is>
          <t>Simpson Group SA</t>
        </is>
      </c>
      <c r="C22" s="27" t="inlineStr">
        <is>
          <t>Fintech</t>
        </is>
      </c>
      <c r="D22" s="27" t="inlineStr">
        <is>
          <t>SMB</t>
        </is>
      </c>
      <c r="E22" s="41" t="n">
        <v>44133</v>
      </c>
      <c r="F22" s="27" t="n">
        <v>61.82</v>
      </c>
      <c r="G22" s="27" t="inlineStr">
        <is>
          <t>API</t>
        </is>
      </c>
    </row>
    <row r="23" ht="15" customHeight="1" s="24">
      <c r="A23" s="27" t="n">
        <v>22</v>
      </c>
      <c r="B23" s="27" t="inlineStr">
        <is>
          <t>Fisher Ltd Store</t>
        </is>
      </c>
      <c r="C23" s="27" t="inlineStr">
        <is>
          <t>Home &amp; Garden</t>
        </is>
      </c>
      <c r="D23" s="27" t="inlineStr">
        <is>
          <t>Mid-Market</t>
        </is>
      </c>
      <c r="E23" s="41" t="n">
        <v>45108</v>
      </c>
      <c r="F23" s="27" t="n">
        <v>54.62</v>
      </c>
      <c r="G23" s="27" t="inlineStr">
        <is>
          <t>API</t>
        </is>
      </c>
    </row>
    <row r="24" ht="15" customHeight="1" s="24">
      <c r="A24" s="27" t="n">
        <v>23</v>
      </c>
      <c r="B24" s="27" t="inlineStr">
        <is>
          <t>Young Online</t>
        </is>
      </c>
      <c r="C24" s="27" t="inlineStr">
        <is>
          <t>Outdoor &amp; Lifestyle</t>
        </is>
      </c>
      <c r="D24" s="27" t="inlineStr">
        <is>
          <t>Enterprise</t>
        </is>
      </c>
      <c r="E24" s="41" t="n">
        <v>44862</v>
      </c>
      <c r="F24" s="27" t="n">
        <v>49.44</v>
      </c>
      <c r="G24" s="27" t="inlineStr">
        <is>
          <t>Shopify Plugin</t>
        </is>
      </c>
    </row>
    <row r="25" ht="15" customHeight="1" s="24">
      <c r="A25" s="27" t="n">
        <v>24</v>
      </c>
      <c r="B25" s="27" t="inlineStr">
        <is>
          <t>Thomas and Sons Direct</t>
        </is>
      </c>
      <c r="C25" s="27" t="inlineStr">
        <is>
          <t>Health &amp; Pharmacy</t>
        </is>
      </c>
      <c r="D25" s="27" t="inlineStr">
        <is>
          <t>SMB</t>
        </is>
      </c>
      <c r="E25" s="41" t="n">
        <v>43354</v>
      </c>
      <c r="F25" s="27" t="n">
        <v>62.77</v>
      </c>
      <c r="G25" s="27" t="inlineStr">
        <is>
          <t>API</t>
        </is>
      </c>
    </row>
    <row r="26" ht="15" customHeight="1" s="24">
      <c r="A26" s="27" t="n">
        <v>25</v>
      </c>
      <c r="B26" s="27" t="inlineStr">
        <is>
          <t>Robinson-Davis</t>
        </is>
      </c>
      <c r="C26" s="27" t="inlineStr">
        <is>
          <t>Home &amp; Garden</t>
        </is>
      </c>
      <c r="D26" s="27" t="inlineStr">
        <is>
          <t>SMB</t>
        </is>
      </c>
      <c r="E26" s="41" t="n">
        <v>45108</v>
      </c>
      <c r="F26" s="27" t="n">
        <v>62.53</v>
      </c>
      <c r="G26" s="27" t="inlineStr">
        <is>
          <t>API</t>
        </is>
      </c>
    </row>
    <row r="27" ht="15" customHeight="1" s="24">
      <c r="A27" s="27" t="n">
        <v>26</v>
      </c>
      <c r="B27" s="27" t="inlineStr">
        <is>
          <t>Palmer Group Direct</t>
        </is>
      </c>
      <c r="C27" s="27" t="inlineStr">
        <is>
          <t>Electronics</t>
        </is>
      </c>
      <c r="D27" s="27" t="inlineStr">
        <is>
          <t>Mid-Market</t>
        </is>
      </c>
      <c r="E27" s="41" t="n">
        <v>45108</v>
      </c>
      <c r="F27" s="27" t="n">
        <v>55.61</v>
      </c>
      <c r="G27" s="27" t="inlineStr">
        <is>
          <t>WooCommerce Plugin</t>
        </is>
      </c>
    </row>
    <row r="28" ht="15" customHeight="1" s="24">
      <c r="A28" s="27" t="n">
        <v>27</v>
      </c>
      <c r="B28" s="27" t="inlineStr">
        <is>
          <t>Lee SA</t>
        </is>
      </c>
      <c r="C28" s="27" t="inlineStr">
        <is>
          <t>Outdoor &amp; Lifestyle</t>
        </is>
      </c>
      <c r="D28" s="27" t="inlineStr">
        <is>
          <t>Mid-Market</t>
        </is>
      </c>
      <c r="E28" s="41" t="n">
        <v>45108</v>
      </c>
      <c r="F28" s="27" t="n">
        <v>57.53</v>
      </c>
      <c r="G28" s="27" t="inlineStr">
        <is>
          <t>Manual Portal</t>
        </is>
      </c>
    </row>
    <row r="29" ht="15" customHeight="1" s="24">
      <c r="A29" s="27" t="n">
        <v>28</v>
      </c>
      <c r="B29" s="27" t="inlineStr">
        <is>
          <t>Phillips Direct</t>
        </is>
      </c>
      <c r="C29" s="27" t="inlineStr">
        <is>
          <t>Health &amp; Pharmacy</t>
        </is>
      </c>
      <c r="D29" s="27" t="inlineStr">
        <is>
          <t>SMB</t>
        </is>
      </c>
      <c r="E29" s="41" t="n">
        <v>45108</v>
      </c>
      <c r="F29" s="27" t="n">
        <v>65.03</v>
      </c>
      <c r="G29" s="27" t="inlineStr">
        <is>
          <t>Shopify Plugin</t>
        </is>
      </c>
    </row>
    <row r="30" ht="15" customHeight="1" s="24">
      <c r="A30" s="27" t="n">
        <v>29</v>
      </c>
      <c r="B30" s="27" t="inlineStr">
        <is>
          <t>Thomson Online</t>
        </is>
      </c>
      <c r="C30" s="27" t="inlineStr">
        <is>
          <t>E-commerce Marketplace</t>
        </is>
      </c>
      <c r="D30" s="27" t="inlineStr">
        <is>
          <t>SMB</t>
        </is>
      </c>
      <c r="E30" s="41" t="n">
        <v>43713</v>
      </c>
      <c r="F30" s="27" t="n">
        <v>68.98999999999999</v>
      </c>
      <c r="G30" s="27" t="inlineStr">
        <is>
          <t>WooCommerce Plugin</t>
        </is>
      </c>
    </row>
    <row r="31" ht="15" customHeight="1" s="24">
      <c r="A31" s="27" t="n">
        <v>30</v>
      </c>
      <c r="B31" s="27" t="inlineStr">
        <is>
          <t>Lamb-Scott</t>
        </is>
      </c>
      <c r="C31" s="27" t="inlineStr">
        <is>
          <t>Outdoor &amp; Lifestyle</t>
        </is>
      </c>
      <c r="D31" s="27" t="inlineStr">
        <is>
          <t>SMB</t>
        </is>
      </c>
      <c r="E31" s="41" t="n">
        <v>45108</v>
      </c>
      <c r="F31" s="27" t="n">
        <v>67.56999999999999</v>
      </c>
      <c r="G31" s="27" t="inlineStr">
        <is>
          <t>Manual Portal</t>
        </is>
      </c>
    </row>
    <row r="32" ht="15" customHeight="1" s="24">
      <c r="A32" s="27" t="n">
        <v>31</v>
      </c>
      <c r="B32" s="27" t="inlineStr">
        <is>
          <t>Holmes Store</t>
        </is>
      </c>
      <c r="C32" s="27" t="inlineStr">
        <is>
          <t>Home &amp; Garden</t>
        </is>
      </c>
      <c r="D32" s="27" t="inlineStr">
        <is>
          <t>Mid-Market</t>
        </is>
      </c>
      <c r="E32" s="41" t="n">
        <v>43920</v>
      </c>
      <c r="F32" s="27" t="n">
        <v>57.53</v>
      </c>
      <c r="G32" s="27" t="inlineStr">
        <is>
          <t>API</t>
        </is>
      </c>
    </row>
    <row r="33" ht="15" customHeight="1" s="24">
      <c r="A33" s="27" t="n">
        <v>32</v>
      </c>
      <c r="B33" s="27" t="inlineStr">
        <is>
          <t>Wilson Inc Store</t>
        </is>
      </c>
      <c r="C33" s="27" t="inlineStr">
        <is>
          <t>Retail - Premium</t>
        </is>
      </c>
      <c r="D33" s="27" t="inlineStr">
        <is>
          <t>SMB</t>
        </is>
      </c>
      <c r="E33" s="41" t="n">
        <v>45108</v>
      </c>
      <c r="F33" s="27" t="n">
        <v>66.66</v>
      </c>
      <c r="G33" s="27" t="inlineStr">
        <is>
          <t>API</t>
        </is>
      </c>
    </row>
    <row r="34" ht="15" customHeight="1" s="24">
      <c r="A34" s="27" t="n">
        <v>33</v>
      </c>
      <c r="B34" s="27" t="inlineStr">
        <is>
          <t>Alexander-Collins</t>
        </is>
      </c>
      <c r="C34" s="27" t="inlineStr">
        <is>
          <t>Electronics</t>
        </is>
      </c>
      <c r="D34" s="27" t="inlineStr">
        <is>
          <t>Mid-Market</t>
        </is>
      </c>
      <c r="E34" s="41" t="n">
        <v>44581</v>
      </c>
      <c r="F34" s="27" t="n">
        <v>61.98</v>
      </c>
      <c r="G34" s="27" t="inlineStr">
        <is>
          <t>API</t>
        </is>
      </c>
    </row>
    <row r="35" ht="15" customHeight="1" s="24">
      <c r="A35" s="27" t="n">
        <v>34</v>
      </c>
      <c r="B35" s="27" t="inlineStr">
        <is>
          <t>Hawkins Online</t>
        </is>
      </c>
      <c r="C35" s="27" t="inlineStr">
        <is>
          <t>Books &amp; Media</t>
        </is>
      </c>
      <c r="D35" s="27" t="inlineStr">
        <is>
          <t>Mid-Market</t>
        </is>
      </c>
      <c r="E35" s="41" t="n">
        <v>45092</v>
      </c>
      <c r="F35" s="27" t="n">
        <v>54.38</v>
      </c>
      <c r="G35" s="27" t="inlineStr">
        <is>
          <t>API</t>
        </is>
      </c>
    </row>
    <row r="36" ht="15" customHeight="1" s="24">
      <c r="A36" s="27" t="n">
        <v>35</v>
      </c>
      <c r="B36" s="27" t="inlineStr">
        <is>
          <t>Young-Graham</t>
        </is>
      </c>
      <c r="C36" s="27" t="inlineStr">
        <is>
          <t>Health &amp; Pharmacy</t>
        </is>
      </c>
      <c r="D36" s="27" t="inlineStr">
        <is>
          <t>Enterprise</t>
        </is>
      </c>
      <c r="E36" s="41" t="n">
        <v>44705</v>
      </c>
      <c r="F36" s="27" t="n">
        <v>38.99</v>
      </c>
      <c r="G36" s="27" t="inlineStr">
        <is>
          <t>WooCommerce Plugin</t>
        </is>
      </c>
    </row>
    <row r="37" ht="15" customHeight="1" s="24">
      <c r="A37" s="27" t="n">
        <v>36</v>
      </c>
      <c r="B37" s="27" t="inlineStr">
        <is>
          <t>Pritchard and Sons Store</t>
        </is>
      </c>
      <c r="C37" s="27" t="inlineStr">
        <is>
          <t>Home &amp; Garden</t>
        </is>
      </c>
      <c r="D37" s="27" t="inlineStr">
        <is>
          <t>SMB</t>
        </is>
      </c>
      <c r="E37" s="41" t="n">
        <v>44742</v>
      </c>
      <c r="F37" s="27" t="n">
        <v>69.81</v>
      </c>
      <c r="G37" s="27" t="inlineStr">
        <is>
          <t>API</t>
        </is>
      </c>
    </row>
    <row r="38" ht="15" customHeight="1" s="24">
      <c r="A38" s="27" t="n">
        <v>37</v>
      </c>
      <c r="B38" s="27" t="inlineStr">
        <is>
          <t>Moore Direct</t>
        </is>
      </c>
      <c r="C38" s="27" t="inlineStr">
        <is>
          <t>Home &amp; Garden</t>
        </is>
      </c>
      <c r="D38" s="27" t="inlineStr">
        <is>
          <t>SMB</t>
        </is>
      </c>
      <c r="E38" s="41" t="n">
        <v>44675</v>
      </c>
      <c r="F38" s="27" t="n">
        <v>63.63</v>
      </c>
      <c r="G38" s="27" t="inlineStr">
        <is>
          <t>Shopify Plugin</t>
        </is>
      </c>
    </row>
    <row r="39" ht="15" customHeight="1" s="24">
      <c r="A39" s="27" t="n">
        <v>38</v>
      </c>
      <c r="B39" s="27" t="inlineStr">
        <is>
          <t>Matthews Direct</t>
        </is>
      </c>
      <c r="C39" s="27" t="inlineStr">
        <is>
          <t>Outdoor &amp; Lifestyle</t>
        </is>
      </c>
      <c r="D39" s="27" t="inlineStr">
        <is>
          <t>SMB</t>
        </is>
      </c>
      <c r="E39" s="41" t="n">
        <v>45091</v>
      </c>
      <c r="F39" s="27" t="n">
        <v>65.31999999999999</v>
      </c>
      <c r="G39" s="27" t="inlineStr">
        <is>
          <t>API</t>
        </is>
      </c>
    </row>
    <row r="40" ht="15" customHeight="1" s="24">
      <c r="A40" s="27" t="n">
        <v>39</v>
      </c>
      <c r="B40" s="27" t="inlineStr">
        <is>
          <t>Hughes SA</t>
        </is>
      </c>
      <c r="C40" s="27" t="inlineStr">
        <is>
          <t>Health &amp; Pharmacy</t>
        </is>
      </c>
      <c r="D40" s="27" t="inlineStr">
        <is>
          <t>Mid-Market</t>
        </is>
      </c>
      <c r="E40" s="41" t="n">
        <v>44989</v>
      </c>
      <c r="F40" s="27" t="n">
        <v>58.93</v>
      </c>
      <c r="G40" s="27" t="inlineStr">
        <is>
          <t>API</t>
        </is>
      </c>
    </row>
    <row r="41" ht="15" customHeight="1" s="24">
      <c r="A41" s="27" t="n">
        <v>40</v>
      </c>
      <c r="B41" s="27" t="inlineStr">
        <is>
          <t>Johnson Ltd Direct</t>
        </is>
      </c>
      <c r="C41" s="27" t="inlineStr">
        <is>
          <t>Books &amp; Media</t>
        </is>
      </c>
      <c r="D41" s="27" t="inlineStr">
        <is>
          <t>SMB</t>
        </is>
      </c>
      <c r="E41" s="41" t="n">
        <v>43444</v>
      </c>
      <c r="F41" s="27" t="n">
        <v>60.19</v>
      </c>
      <c r="G41" s="27" t="inlineStr">
        <is>
          <t>Manual Portal</t>
        </is>
      </c>
    </row>
    <row r="42" ht="15" customHeight="1" s="24">
      <c r="A42" s="27" t="n">
        <v>41</v>
      </c>
      <c r="B42" s="27" t="inlineStr">
        <is>
          <t>Anderson-Cooper</t>
        </is>
      </c>
      <c r="C42" s="27" t="inlineStr">
        <is>
          <t>Beauty &amp; Cosmetics</t>
        </is>
      </c>
      <c r="D42" s="27" t="inlineStr">
        <is>
          <t>SMB</t>
        </is>
      </c>
      <c r="E42" s="41" t="n">
        <v>45108</v>
      </c>
      <c r="F42" s="27" t="n">
        <v>61.25</v>
      </c>
      <c r="G42" s="27" t="inlineStr">
        <is>
          <t>API</t>
        </is>
      </c>
    </row>
    <row r="43" ht="15" customHeight="1" s="24">
      <c r="A43" s="27" t="n">
        <v>42</v>
      </c>
      <c r="B43" s="27" t="inlineStr">
        <is>
          <t>Turner Direct</t>
        </is>
      </c>
      <c r="C43" s="27" t="inlineStr">
        <is>
          <t>Books &amp; Media</t>
        </is>
      </c>
      <c r="D43" s="27" t="inlineStr">
        <is>
          <t>SMB</t>
        </is>
      </c>
      <c r="E43" s="41" t="n">
        <v>44470</v>
      </c>
      <c r="F43" s="27" t="n">
        <v>60.2</v>
      </c>
      <c r="G43" s="27" t="inlineStr">
        <is>
          <t>API</t>
        </is>
      </c>
    </row>
    <row r="44" ht="15" customHeight="1" s="24">
      <c r="A44" s="27" t="n">
        <v>43</v>
      </c>
      <c r="B44" s="27" t="inlineStr">
        <is>
          <t>Davies Inc SA</t>
        </is>
      </c>
      <c r="C44" s="27" t="inlineStr">
        <is>
          <t>Beauty &amp; Cosmetics</t>
        </is>
      </c>
      <c r="D44" s="27" t="inlineStr">
        <is>
          <t>Mid-Market</t>
        </is>
      </c>
      <c r="E44" s="41" t="n">
        <v>43926</v>
      </c>
      <c r="F44" s="27" t="n">
        <v>52.62</v>
      </c>
      <c r="G44" s="27" t="inlineStr">
        <is>
          <t>API</t>
        </is>
      </c>
    </row>
    <row r="45" ht="15" customHeight="1" s="24">
      <c r="A45" s="27" t="n">
        <v>44</v>
      </c>
      <c r="B45" s="27" t="inlineStr">
        <is>
          <t>Young Store</t>
        </is>
      </c>
      <c r="C45" s="27" t="inlineStr">
        <is>
          <t>Fashion &amp; Apparel</t>
        </is>
      </c>
      <c r="D45" s="27" t="inlineStr">
        <is>
          <t>SMB</t>
        </is>
      </c>
      <c r="E45" s="41" t="n">
        <v>44414</v>
      </c>
      <c r="F45" s="27" t="n">
        <v>66.31999999999999</v>
      </c>
      <c r="G45" s="27" t="inlineStr">
        <is>
          <t>Shopify Plugin</t>
        </is>
      </c>
    </row>
    <row r="46" ht="15" customHeight="1" s="24">
      <c r="A46" s="27" t="n">
        <v>45</v>
      </c>
      <c r="B46" s="27" t="inlineStr">
        <is>
          <t>Griffiths-Williams</t>
        </is>
      </c>
      <c r="C46" s="27" t="inlineStr">
        <is>
          <t>E-commerce Marketplace</t>
        </is>
      </c>
      <c r="D46" s="27" t="inlineStr">
        <is>
          <t>SMB</t>
        </is>
      </c>
      <c r="E46" s="41" t="n">
        <v>45108</v>
      </c>
      <c r="F46" s="27" t="n">
        <v>66.56999999999999</v>
      </c>
      <c r="G46" s="27" t="inlineStr">
        <is>
          <t>Shopify Plugin</t>
        </is>
      </c>
    </row>
    <row r="47" ht="15" customHeight="1" s="24">
      <c r="A47" s="27" t="n">
        <v>46</v>
      </c>
      <c r="B47" s="27" t="inlineStr">
        <is>
          <t>Harper-Atkinson</t>
        </is>
      </c>
      <c r="C47" s="27" t="inlineStr">
        <is>
          <t>Retail - Premium</t>
        </is>
      </c>
      <c r="D47" s="27" t="inlineStr">
        <is>
          <t>Mid-Market</t>
        </is>
      </c>
      <c r="E47" s="41" t="n">
        <v>45108</v>
      </c>
      <c r="F47" s="27" t="n">
        <v>55.83</v>
      </c>
      <c r="G47" s="27" t="inlineStr">
        <is>
          <t>Shopify Plugin</t>
        </is>
      </c>
    </row>
    <row r="48" ht="15" customHeight="1" s="24">
      <c r="A48" s="27" t="n">
        <v>47</v>
      </c>
      <c r="B48" s="27" t="inlineStr">
        <is>
          <t>Smith</t>
        </is>
      </c>
      <c r="C48" s="27" t="inlineStr">
        <is>
          <t>Fashion &amp; Apparel</t>
        </is>
      </c>
      <c r="D48" s="27" t="inlineStr">
        <is>
          <t>Mid-Market</t>
        </is>
      </c>
      <c r="E48" s="41" t="n">
        <v>45108</v>
      </c>
      <c r="F48" s="27" t="n">
        <v>50.76</v>
      </c>
      <c r="G48" s="27" t="inlineStr">
        <is>
          <t>API</t>
        </is>
      </c>
    </row>
    <row r="49" ht="15" customHeight="1" s="24">
      <c r="A49" s="27" t="n">
        <v>48</v>
      </c>
      <c r="B49" s="27" t="inlineStr">
        <is>
          <t>Taylor LLC</t>
        </is>
      </c>
      <c r="C49" s="27" t="inlineStr">
        <is>
          <t>E-commerce Marketplace</t>
        </is>
      </c>
      <c r="D49" s="27" t="inlineStr">
        <is>
          <t>SMB</t>
        </is>
      </c>
      <c r="E49" s="41" t="n">
        <v>44283</v>
      </c>
      <c r="F49" s="27" t="n">
        <v>58.07</v>
      </c>
      <c r="G49" s="27" t="inlineStr">
        <is>
          <t>API</t>
        </is>
      </c>
    </row>
    <row r="50" ht="15" customHeight="1" s="24">
      <c r="A50" s="27" t="n">
        <v>49</v>
      </c>
      <c r="B50" s="27" t="inlineStr">
        <is>
          <t>Buckley SA</t>
        </is>
      </c>
      <c r="C50" s="27" t="inlineStr">
        <is>
          <t>Beauty &amp; Cosmetics</t>
        </is>
      </c>
      <c r="D50" s="27" t="inlineStr">
        <is>
          <t>SMB</t>
        </is>
      </c>
      <c r="E50" s="41" t="n">
        <v>45104</v>
      </c>
      <c r="F50" s="27" t="n">
        <v>65.16</v>
      </c>
      <c r="G50" s="27" t="inlineStr">
        <is>
          <t>WooCommerce Plugin</t>
        </is>
      </c>
    </row>
    <row r="51" ht="15" customHeight="1" s="24">
      <c r="A51" s="27" t="n">
        <v>50</v>
      </c>
      <c r="B51" s="27" t="inlineStr">
        <is>
          <t>Powell PLC</t>
        </is>
      </c>
      <c r="C51" s="27" t="inlineStr">
        <is>
          <t>Books &amp; Media</t>
        </is>
      </c>
      <c r="D51" s="27" t="inlineStr">
        <is>
          <t>SMB</t>
        </is>
      </c>
      <c r="E51" s="41" t="n">
        <v>44084</v>
      </c>
      <c r="F51" s="27" t="n">
        <v>63.58</v>
      </c>
      <c r="G51" s="27" t="inlineStr">
        <is>
          <t>Shopify Plugin</t>
        </is>
      </c>
    </row>
    <row r="52" ht="15" customHeight="1" s="24">
      <c r="A52" s="27" t="n">
        <v>51</v>
      </c>
      <c r="B52" s="27" t="inlineStr">
        <is>
          <t>Anderson Group Direct</t>
        </is>
      </c>
      <c r="C52" s="27" t="inlineStr">
        <is>
          <t>Retail - Premium</t>
        </is>
      </c>
      <c r="D52" s="27" t="inlineStr">
        <is>
          <t>Mid-Market</t>
        </is>
      </c>
      <c r="E52" s="41" t="n">
        <v>44854</v>
      </c>
      <c r="F52" s="27" t="n">
        <v>56.38</v>
      </c>
      <c r="G52" s="27" t="inlineStr">
        <is>
          <t>Shopify Plugin</t>
        </is>
      </c>
    </row>
    <row r="53" ht="15" customHeight="1" s="24">
      <c r="A53" s="27" t="n">
        <v>52</v>
      </c>
      <c r="B53" s="27" t="inlineStr">
        <is>
          <t>Griffiths LLC Online</t>
        </is>
      </c>
      <c r="C53" s="27" t="inlineStr">
        <is>
          <t>Fashion &amp; Apparel</t>
        </is>
      </c>
      <c r="D53" s="27" t="inlineStr">
        <is>
          <t>Enterprise</t>
        </is>
      </c>
      <c r="E53" s="41" t="n">
        <v>44735</v>
      </c>
      <c r="F53" s="27" t="n">
        <v>47.11</v>
      </c>
      <c r="G53" s="27" t="inlineStr">
        <is>
          <t>Shopify Plugin</t>
        </is>
      </c>
    </row>
    <row r="54" ht="15" customHeight="1" s="24">
      <c r="A54" s="27" t="n">
        <v>53</v>
      </c>
      <c r="B54" s="27" t="inlineStr">
        <is>
          <t>Smith-Smith Store</t>
        </is>
      </c>
      <c r="C54" s="27" t="inlineStr">
        <is>
          <t>Home &amp; Garden</t>
        </is>
      </c>
      <c r="D54" s="27" t="inlineStr">
        <is>
          <t>SMB</t>
        </is>
      </c>
      <c r="E54" s="41" t="n">
        <v>43739</v>
      </c>
      <c r="F54" s="27" t="n">
        <v>65.41</v>
      </c>
      <c r="G54" s="27" t="inlineStr">
        <is>
          <t>WooCommerce Plugin</t>
        </is>
      </c>
    </row>
    <row r="55" ht="15" customHeight="1" s="24">
      <c r="A55" s="27" t="n">
        <v>54</v>
      </c>
      <c r="B55" s="27" t="inlineStr">
        <is>
          <t>May Store</t>
        </is>
      </c>
      <c r="C55" s="27" t="inlineStr">
        <is>
          <t>Health &amp; Pharmacy</t>
        </is>
      </c>
      <c r="D55" s="27" t="inlineStr">
        <is>
          <t>SMB</t>
        </is>
      </c>
      <c r="E55" s="41" t="n">
        <v>43781</v>
      </c>
      <c r="F55" s="27" t="n">
        <v>67.28</v>
      </c>
      <c r="G55" s="27" t="inlineStr">
        <is>
          <t>API</t>
        </is>
      </c>
    </row>
    <row r="56" ht="15" customHeight="1" s="24">
      <c r="A56" s="27" t="n">
        <v>55</v>
      </c>
      <c r="B56" s="27" t="inlineStr">
        <is>
          <t>Stewart PLC</t>
        </is>
      </c>
      <c r="C56" s="27" t="inlineStr">
        <is>
          <t>Health &amp; Pharmacy</t>
        </is>
      </c>
      <c r="D56" s="27" t="inlineStr">
        <is>
          <t>SMB</t>
        </is>
      </c>
      <c r="E56" s="41" t="n">
        <v>43257</v>
      </c>
      <c r="F56" s="27" t="n">
        <v>65.69</v>
      </c>
      <c r="G56" s="27" t="inlineStr">
        <is>
          <t>API</t>
        </is>
      </c>
    </row>
    <row r="57" ht="15" customHeight="1" s="24">
      <c r="A57" s="27" t="n">
        <v>56</v>
      </c>
      <c r="B57" s="27" t="inlineStr">
        <is>
          <t>Clarke Group Direct</t>
        </is>
      </c>
      <c r="C57" s="27" t="inlineStr">
        <is>
          <t>Outdoor &amp; Lifestyle</t>
        </is>
      </c>
      <c r="D57" s="27" t="inlineStr">
        <is>
          <t>Mid-Market</t>
        </is>
      </c>
      <c r="E57" s="41" t="n">
        <v>43458</v>
      </c>
      <c r="F57" s="27" t="n">
        <v>56.59</v>
      </c>
      <c r="G57" s="27" t="inlineStr">
        <is>
          <t>Shopify Plugin</t>
        </is>
      </c>
    </row>
    <row r="58" ht="15" customHeight="1" s="24">
      <c r="A58" s="27" t="n">
        <v>57</v>
      </c>
      <c r="B58" s="27" t="inlineStr">
        <is>
          <t>O'Brien Online</t>
        </is>
      </c>
      <c r="C58" s="27" t="inlineStr">
        <is>
          <t>Electronics</t>
        </is>
      </c>
      <c r="D58" s="27" t="inlineStr">
        <is>
          <t>SMB</t>
        </is>
      </c>
      <c r="E58" s="41" t="n">
        <v>44208</v>
      </c>
      <c r="F58" s="27" t="n">
        <v>62.89</v>
      </c>
      <c r="G58" s="27" t="inlineStr">
        <is>
          <t>API</t>
        </is>
      </c>
    </row>
    <row r="59" ht="15" customHeight="1" s="24">
      <c r="A59" s="27" t="n">
        <v>58</v>
      </c>
      <c r="B59" s="27" t="inlineStr">
        <is>
          <t>Murray Ltd Store</t>
        </is>
      </c>
      <c r="C59" s="27" t="inlineStr">
        <is>
          <t>Electronics</t>
        </is>
      </c>
      <c r="D59" s="27" t="inlineStr">
        <is>
          <t>Enterprise</t>
        </is>
      </c>
      <c r="E59" s="41" t="n">
        <v>44321</v>
      </c>
      <c r="F59" s="27" t="n">
        <v>44.46</v>
      </c>
      <c r="G59" s="27" t="inlineStr">
        <is>
          <t>WooCommerce Plugin</t>
        </is>
      </c>
    </row>
    <row r="60" ht="15" customHeight="1" s="24">
      <c r="A60" s="27" t="n">
        <v>59</v>
      </c>
      <c r="B60" s="27" t="inlineStr">
        <is>
          <t>Lawson Online</t>
        </is>
      </c>
      <c r="C60" s="27" t="inlineStr">
        <is>
          <t>Health &amp; Pharmacy</t>
        </is>
      </c>
      <c r="D60" s="27" t="inlineStr">
        <is>
          <t>SMB</t>
        </is>
      </c>
      <c r="E60" s="41" t="n">
        <v>43522</v>
      </c>
      <c r="F60" s="27" t="n">
        <v>65.59</v>
      </c>
      <c r="G60" s="27" t="inlineStr">
        <is>
          <t>Shopify Plugin</t>
        </is>
      </c>
    </row>
    <row r="61" ht="15" customHeight="1" s="24">
      <c r="A61" s="27" t="n">
        <v>60</v>
      </c>
      <c r="B61" s="27" t="inlineStr">
        <is>
          <t>Patel Online</t>
        </is>
      </c>
      <c r="C61" s="27" t="inlineStr">
        <is>
          <t>Fintech</t>
        </is>
      </c>
      <c r="D61" s="27" t="inlineStr">
        <is>
          <t>SMB</t>
        </is>
      </c>
      <c r="E61" s="41" t="n">
        <v>44166</v>
      </c>
      <c r="F61" s="27" t="n">
        <v>67.45999999999999</v>
      </c>
      <c r="G61" s="27" t="inlineStr">
        <is>
          <t>WooCommerce Plugin</t>
        </is>
      </c>
    </row>
    <row r="62" ht="15" customHeight="1" s="24">
      <c r="A62" s="27" t="n">
        <v>61</v>
      </c>
      <c r="B62" s="27" t="inlineStr">
        <is>
          <t>Wilson LLC Direct</t>
        </is>
      </c>
      <c r="C62" s="27" t="inlineStr">
        <is>
          <t>E-commerce Marketplace</t>
        </is>
      </c>
      <c r="D62" s="27" t="inlineStr">
        <is>
          <t>SMB</t>
        </is>
      </c>
      <c r="E62" s="41" t="n">
        <v>44644</v>
      </c>
      <c r="F62" s="27" t="n">
        <v>63.82</v>
      </c>
      <c r="G62" s="27" t="inlineStr">
        <is>
          <t>Manual Portal</t>
        </is>
      </c>
    </row>
    <row r="63" ht="15" customHeight="1" s="24">
      <c r="A63" s="27" t="n">
        <v>62</v>
      </c>
      <c r="B63" s="27" t="inlineStr">
        <is>
          <t>Fox and Sons Online</t>
        </is>
      </c>
      <c r="C63" s="27" t="inlineStr">
        <is>
          <t>Home &amp; Garden</t>
        </is>
      </c>
      <c r="D63" s="27" t="inlineStr">
        <is>
          <t>SMB</t>
        </is>
      </c>
      <c r="E63" s="41" t="n">
        <v>43695</v>
      </c>
      <c r="F63" s="27" t="n">
        <v>66.56</v>
      </c>
      <c r="G63" s="27" t="inlineStr">
        <is>
          <t>Shopify Plugin</t>
        </is>
      </c>
    </row>
    <row r="64" ht="15" customHeight="1" s="24">
      <c r="A64" s="27" t="n">
        <v>63</v>
      </c>
      <c r="B64" s="27" t="inlineStr">
        <is>
          <t>Quinn Store</t>
        </is>
      </c>
      <c r="C64" s="27" t="inlineStr">
        <is>
          <t>Outdoor &amp; Lifestyle</t>
        </is>
      </c>
      <c r="D64" s="27" t="inlineStr">
        <is>
          <t>Mid-Market</t>
        </is>
      </c>
      <c r="E64" s="41" t="n">
        <v>43965</v>
      </c>
      <c r="F64" s="27" t="n">
        <v>54.2</v>
      </c>
      <c r="G64" s="27" t="inlineStr">
        <is>
          <t>Manual Portal</t>
        </is>
      </c>
    </row>
    <row r="65" ht="15" customHeight="1" s="24">
      <c r="A65" s="27" t="n">
        <v>64</v>
      </c>
      <c r="B65" s="27" t="inlineStr">
        <is>
          <t>Townsend Inc SA</t>
        </is>
      </c>
      <c r="C65" s="27" t="inlineStr">
        <is>
          <t>Fashion &amp; Apparel</t>
        </is>
      </c>
      <c r="D65" s="27" t="inlineStr">
        <is>
          <t>SMB</t>
        </is>
      </c>
      <c r="E65" s="41" t="n">
        <v>44039</v>
      </c>
      <c r="F65" s="27" t="n">
        <v>64.65000000000001</v>
      </c>
      <c r="G65" s="27" t="inlineStr">
        <is>
          <t>Shopify Plugin</t>
        </is>
      </c>
    </row>
    <row r="66" ht="15" customHeight="1" s="24">
      <c r="A66" s="27" t="n">
        <v>65</v>
      </c>
      <c r="B66" s="27" t="inlineStr">
        <is>
          <t>Bruce-Smith SA</t>
        </is>
      </c>
      <c r="C66" s="27" t="inlineStr">
        <is>
          <t>Outdoor &amp; Lifestyle</t>
        </is>
      </c>
      <c r="D66" s="27" t="inlineStr">
        <is>
          <t>Mid-Market</t>
        </is>
      </c>
      <c r="E66" s="41" t="n">
        <v>44391</v>
      </c>
      <c r="F66" s="27" t="n">
        <v>57.49</v>
      </c>
      <c r="G66" s="27" t="inlineStr">
        <is>
          <t>Manual Portal</t>
        </is>
      </c>
    </row>
    <row r="67" ht="15" customHeight="1" s="24">
      <c r="A67" s="27" t="n">
        <v>66</v>
      </c>
      <c r="B67" s="27" t="inlineStr">
        <is>
          <t>Jones Store</t>
        </is>
      </c>
      <c r="C67" s="27" t="inlineStr">
        <is>
          <t>Electronics</t>
        </is>
      </c>
      <c r="D67" s="27" t="inlineStr">
        <is>
          <t>SMB</t>
        </is>
      </c>
      <c r="E67" s="41" t="n">
        <v>44037</v>
      </c>
      <c r="F67" s="27" t="n">
        <v>59.02</v>
      </c>
      <c r="G67" s="27" t="inlineStr">
        <is>
          <t>API</t>
        </is>
      </c>
    </row>
    <row r="68" ht="15" customHeight="1" s="24">
      <c r="A68" s="27" t="n">
        <v>67</v>
      </c>
      <c r="B68" s="27" t="inlineStr">
        <is>
          <t>Allen Direct</t>
        </is>
      </c>
      <c r="C68" s="27" t="inlineStr">
        <is>
          <t>Health &amp; Pharmacy</t>
        </is>
      </c>
      <c r="D68" s="27" t="inlineStr">
        <is>
          <t>SMB</t>
        </is>
      </c>
      <c r="E68" s="41" t="n">
        <v>44983</v>
      </c>
      <c r="F68" s="27" t="n">
        <v>61.11</v>
      </c>
      <c r="G68" s="27" t="inlineStr">
        <is>
          <t>Shopify Plugin</t>
        </is>
      </c>
    </row>
    <row r="69" ht="15" customHeight="1" s="24">
      <c r="A69" s="27" t="n">
        <v>68</v>
      </c>
      <c r="B69" s="27" t="inlineStr">
        <is>
          <t>Bates-Glover SA</t>
        </is>
      </c>
      <c r="C69" s="27" t="inlineStr">
        <is>
          <t>Home &amp; Garden</t>
        </is>
      </c>
      <c r="D69" s="27" t="inlineStr">
        <is>
          <t>SMB</t>
        </is>
      </c>
      <c r="E69" s="41" t="n">
        <v>43937</v>
      </c>
      <c r="F69" s="27" t="n">
        <v>60.55</v>
      </c>
      <c r="G69" s="27" t="inlineStr">
        <is>
          <t>Shopify Plugin</t>
        </is>
      </c>
    </row>
    <row r="70" ht="15" customHeight="1" s="24">
      <c r="A70" s="27" t="n">
        <v>69</v>
      </c>
      <c r="B70" s="27" t="inlineStr">
        <is>
          <t>Nixon-Ali Store</t>
        </is>
      </c>
      <c r="C70" s="27" t="inlineStr">
        <is>
          <t>Outdoor &amp; Lifestyle</t>
        </is>
      </c>
      <c r="D70" s="27" t="inlineStr">
        <is>
          <t>SMB</t>
        </is>
      </c>
      <c r="E70" s="41" t="n">
        <v>44209</v>
      </c>
      <c r="F70" s="27" t="n">
        <v>58</v>
      </c>
      <c r="G70" s="27" t="inlineStr">
        <is>
          <t>API</t>
        </is>
      </c>
    </row>
    <row r="71" ht="15" customHeight="1" s="24">
      <c r="A71" s="27" t="n">
        <v>70</v>
      </c>
      <c r="B71" s="27" t="inlineStr">
        <is>
          <t>Holloway SA</t>
        </is>
      </c>
      <c r="C71" s="27" t="inlineStr">
        <is>
          <t>Beauty &amp; Cosmetics</t>
        </is>
      </c>
      <c r="D71" s="27" t="inlineStr">
        <is>
          <t>SMB</t>
        </is>
      </c>
      <c r="E71" s="41" t="n">
        <v>44070</v>
      </c>
      <c r="F71" s="27" t="n">
        <v>62.97</v>
      </c>
      <c r="G71" s="27" t="inlineStr">
        <is>
          <t>API</t>
        </is>
      </c>
    </row>
    <row r="72" ht="15" customHeight="1" s="24">
      <c r="A72" s="27" t="n">
        <v>71</v>
      </c>
      <c r="B72" s="27" t="inlineStr">
        <is>
          <t>Ahmed LLC Store</t>
        </is>
      </c>
      <c r="C72" s="27" t="inlineStr">
        <is>
          <t>Fashion &amp; Apparel</t>
        </is>
      </c>
      <c r="D72" s="27" t="inlineStr">
        <is>
          <t>SMB</t>
        </is>
      </c>
      <c r="E72" s="41" t="n">
        <v>43568</v>
      </c>
      <c r="F72" s="27" t="n">
        <v>67.25</v>
      </c>
      <c r="G72" s="27" t="inlineStr">
        <is>
          <t>Manual Portal</t>
        </is>
      </c>
    </row>
    <row r="73" ht="15" customHeight="1" s="24">
      <c r="A73" s="27" t="n">
        <v>72</v>
      </c>
      <c r="B73" s="27" t="inlineStr">
        <is>
          <t>Smith and Sons Store</t>
        </is>
      </c>
      <c r="C73" s="27" t="inlineStr">
        <is>
          <t>Fashion &amp; Apparel</t>
        </is>
      </c>
      <c r="D73" s="27" t="inlineStr">
        <is>
          <t>SMB</t>
        </is>
      </c>
      <c r="E73" s="41" t="n">
        <v>44853</v>
      </c>
      <c r="F73" s="27" t="n">
        <v>64.15000000000001</v>
      </c>
      <c r="G73" s="27" t="inlineStr">
        <is>
          <t>Shopify Plugin</t>
        </is>
      </c>
    </row>
    <row r="74" ht="15" customHeight="1" s="24">
      <c r="A74" s="27" t="n">
        <v>73</v>
      </c>
      <c r="B74" s="27" t="inlineStr">
        <is>
          <t>Patterson SA</t>
        </is>
      </c>
      <c r="C74" s="27" t="inlineStr">
        <is>
          <t>Electronics</t>
        </is>
      </c>
      <c r="D74" s="27" t="inlineStr">
        <is>
          <t>Mid-Market</t>
        </is>
      </c>
      <c r="E74" s="41" t="n">
        <v>43702</v>
      </c>
      <c r="F74" s="27" t="n">
        <v>55.59</v>
      </c>
      <c r="G74" s="27" t="inlineStr">
        <is>
          <t>API</t>
        </is>
      </c>
    </row>
    <row r="75" ht="15" customHeight="1" s="24">
      <c r="A75" s="27" t="n">
        <v>74</v>
      </c>
      <c r="B75" s="27" t="inlineStr">
        <is>
          <t>Gardiner Inc Store</t>
        </is>
      </c>
      <c r="C75" s="27" t="inlineStr">
        <is>
          <t>Health &amp; Pharmacy</t>
        </is>
      </c>
      <c r="D75" s="27" t="inlineStr">
        <is>
          <t>SMB</t>
        </is>
      </c>
      <c r="E75" s="41" t="n">
        <v>43859</v>
      </c>
      <c r="F75" s="27" t="n">
        <v>68.27</v>
      </c>
      <c r="G75" s="27" t="inlineStr">
        <is>
          <t>API</t>
        </is>
      </c>
    </row>
    <row r="76" ht="15" customHeight="1" s="24">
      <c r="A76" s="27" t="n">
        <v>75</v>
      </c>
      <c r="B76" s="27" t="inlineStr">
        <is>
          <t>Mann-Davis Store</t>
        </is>
      </c>
      <c r="C76" s="27" t="inlineStr">
        <is>
          <t>Health &amp; Pharmacy</t>
        </is>
      </c>
      <c r="D76" s="27" t="inlineStr">
        <is>
          <t>SMB</t>
        </is>
      </c>
      <c r="E76" s="41" t="n">
        <v>45108</v>
      </c>
      <c r="F76" s="27" t="n">
        <v>68.98</v>
      </c>
      <c r="G76" s="27" t="inlineStr">
        <is>
          <t>API</t>
        </is>
      </c>
    </row>
    <row r="77" ht="15" customHeight="1" s="24">
      <c r="A77" s="27" t="n">
        <v>76</v>
      </c>
      <c r="B77" s="27" t="inlineStr">
        <is>
          <t>Bentley PLC</t>
        </is>
      </c>
      <c r="C77" s="27" t="inlineStr">
        <is>
          <t>Beauty &amp; Cosmetics</t>
        </is>
      </c>
      <c r="D77" s="27" t="inlineStr">
        <is>
          <t>Mid-Market</t>
        </is>
      </c>
      <c r="E77" s="41" t="n">
        <v>45108</v>
      </c>
      <c r="F77" s="27" t="n">
        <v>54.79</v>
      </c>
      <c r="G77" s="27" t="inlineStr">
        <is>
          <t>API</t>
        </is>
      </c>
    </row>
    <row r="78" ht="15" customHeight="1" s="24">
      <c r="A78" s="27" t="n">
        <v>77</v>
      </c>
      <c r="B78" s="27" t="inlineStr">
        <is>
          <t>Morgan and Sons Store</t>
        </is>
      </c>
      <c r="C78" s="27" t="inlineStr">
        <is>
          <t>Beauty &amp; Cosmetics</t>
        </is>
      </c>
      <c r="D78" s="27" t="inlineStr">
        <is>
          <t>Enterprise</t>
        </is>
      </c>
      <c r="E78" s="41" t="n">
        <v>44815</v>
      </c>
      <c r="F78" s="27" t="n">
        <v>49.06</v>
      </c>
      <c r="G78" s="27" t="inlineStr">
        <is>
          <t>Manual Portal</t>
        </is>
      </c>
    </row>
    <row r="79" ht="15" customHeight="1" s="24">
      <c r="A79" s="27" t="n">
        <v>78</v>
      </c>
      <c r="B79" s="27" t="inlineStr">
        <is>
          <t>Stevenson Group SA</t>
        </is>
      </c>
      <c r="C79" s="27" t="inlineStr">
        <is>
          <t>Fintech</t>
        </is>
      </c>
      <c r="D79" s="27" t="inlineStr">
        <is>
          <t>SMB</t>
        </is>
      </c>
      <c r="E79" s="41" t="n">
        <v>45108</v>
      </c>
      <c r="F79" s="27" t="n">
        <v>65.28</v>
      </c>
      <c r="G79" s="27" t="inlineStr">
        <is>
          <t>API</t>
        </is>
      </c>
    </row>
    <row r="80" ht="15" customHeight="1" s="24">
      <c r="A80" s="27" t="n">
        <v>79</v>
      </c>
      <c r="B80" s="27" t="inlineStr">
        <is>
          <t>Taylor Inc Direct</t>
        </is>
      </c>
      <c r="C80" s="27" t="inlineStr">
        <is>
          <t>Home &amp; Garden</t>
        </is>
      </c>
      <c r="D80" s="27" t="inlineStr">
        <is>
          <t>Enterprise</t>
        </is>
      </c>
      <c r="E80" s="41" t="n">
        <v>45108</v>
      </c>
      <c r="F80" s="27" t="n">
        <v>42.49</v>
      </c>
      <c r="G80" s="27" t="inlineStr">
        <is>
          <t>API</t>
        </is>
      </c>
    </row>
    <row r="81" ht="15" customHeight="1" s="24">
      <c r="A81" s="27" t="n">
        <v>80</v>
      </c>
      <c r="B81" s="27" t="inlineStr">
        <is>
          <t>Lamb Group Online</t>
        </is>
      </c>
      <c r="C81" s="27" t="inlineStr">
        <is>
          <t>Outdoor &amp; Lifestyle</t>
        </is>
      </c>
      <c r="D81" s="27" t="inlineStr">
        <is>
          <t>SMB</t>
        </is>
      </c>
      <c r="E81" s="41" t="n">
        <v>44329</v>
      </c>
      <c r="F81" s="27" t="n">
        <v>63.22</v>
      </c>
      <c r="G81" s="27" t="inlineStr">
        <is>
          <t>Shopify Plugin</t>
        </is>
      </c>
    </row>
    <row r="82" ht="15" customHeight="1" s="24">
      <c r="A82" s="27" t="n">
        <v>81</v>
      </c>
      <c r="B82" s="27" t="inlineStr">
        <is>
          <t>Bennett-Thornton Direct</t>
        </is>
      </c>
      <c r="C82" s="27" t="inlineStr">
        <is>
          <t>Fintech</t>
        </is>
      </c>
      <c r="D82" s="27" t="inlineStr">
        <is>
          <t>SMB</t>
        </is>
      </c>
      <c r="E82" s="41" t="n">
        <v>45069</v>
      </c>
      <c r="F82" s="27" t="n">
        <v>60.56</v>
      </c>
      <c r="G82" s="27" t="inlineStr">
        <is>
          <t>API</t>
        </is>
      </c>
    </row>
    <row r="83" ht="15" customHeight="1" s="24">
      <c r="A83" s="27" t="n">
        <v>82</v>
      </c>
      <c r="B83" s="27" t="inlineStr">
        <is>
          <t>Davison-Andrews Direct</t>
        </is>
      </c>
      <c r="C83" s="27" t="inlineStr">
        <is>
          <t>Outdoor &amp; Lifestyle</t>
        </is>
      </c>
      <c r="D83" s="27" t="inlineStr">
        <is>
          <t>Mid-Market</t>
        </is>
      </c>
      <c r="E83" s="41" t="n">
        <v>43939</v>
      </c>
      <c r="F83" s="27" t="n">
        <v>52.34</v>
      </c>
      <c r="G83" s="27" t="inlineStr">
        <is>
          <t>API</t>
        </is>
      </c>
    </row>
    <row r="84" ht="15" customHeight="1" s="24">
      <c r="A84" s="27" t="n">
        <v>83</v>
      </c>
      <c r="B84" s="27" t="inlineStr">
        <is>
          <t>Adams</t>
        </is>
      </c>
      <c r="C84" s="27" t="inlineStr">
        <is>
          <t>Electronics</t>
        </is>
      </c>
      <c r="D84" s="27" t="inlineStr">
        <is>
          <t>SMB</t>
        </is>
      </c>
      <c r="E84" s="41" t="n">
        <v>44277</v>
      </c>
      <c r="F84" s="27" t="n">
        <v>63.93</v>
      </c>
      <c r="G84" s="27" t="inlineStr">
        <is>
          <t>WooCommerce Plugin</t>
        </is>
      </c>
    </row>
    <row r="85" ht="15" customHeight="1" s="24">
      <c r="A85" s="27" t="n">
        <v>84</v>
      </c>
      <c r="B85" s="27" t="inlineStr">
        <is>
          <t>Morgan PLC</t>
        </is>
      </c>
      <c r="C85" s="27" t="inlineStr">
        <is>
          <t>Outdoor &amp; Lifestyle</t>
        </is>
      </c>
      <c r="D85" s="27" t="inlineStr">
        <is>
          <t>Enterprise</t>
        </is>
      </c>
      <c r="E85" s="41" t="n">
        <v>44469</v>
      </c>
      <c r="F85" s="27" t="n">
        <v>47.41</v>
      </c>
      <c r="G85" s="27" t="inlineStr">
        <is>
          <t>Shopify Plugin</t>
        </is>
      </c>
    </row>
    <row r="86" ht="15" customHeight="1" s="24">
      <c r="A86" s="27" t="n">
        <v>85</v>
      </c>
      <c r="B86" s="27" t="inlineStr">
        <is>
          <t>Freeman Online</t>
        </is>
      </c>
      <c r="C86" s="27" t="inlineStr">
        <is>
          <t>Retail - Premium</t>
        </is>
      </c>
      <c r="D86" s="27" t="inlineStr">
        <is>
          <t>SMB</t>
        </is>
      </c>
      <c r="E86" s="41" t="n">
        <v>45108</v>
      </c>
      <c r="F86" s="27" t="n">
        <v>70.16</v>
      </c>
      <c r="G86" s="27" t="inlineStr">
        <is>
          <t>Manual Portal</t>
        </is>
      </c>
    </row>
    <row r="87" ht="15" customHeight="1" s="24">
      <c r="A87" s="27" t="n">
        <v>86</v>
      </c>
      <c r="B87" s="27" t="inlineStr">
        <is>
          <t>Jones Direct</t>
        </is>
      </c>
      <c r="C87" s="27" t="inlineStr">
        <is>
          <t>Health &amp; Pharmacy</t>
        </is>
      </c>
      <c r="D87" s="27" t="inlineStr">
        <is>
          <t>SMB</t>
        </is>
      </c>
      <c r="E87" s="41" t="n">
        <v>45108</v>
      </c>
      <c r="F87" s="27" t="n">
        <v>60.85</v>
      </c>
      <c r="G87" s="27" t="inlineStr">
        <is>
          <t>Shopify Plugin</t>
        </is>
      </c>
    </row>
    <row r="88" ht="15" customHeight="1" s="24">
      <c r="A88" s="27" t="n">
        <v>87</v>
      </c>
      <c r="B88" s="27" t="inlineStr">
        <is>
          <t>Hunt Inc Online</t>
        </is>
      </c>
      <c r="C88" s="27" t="inlineStr">
        <is>
          <t>Health &amp; Pharmacy</t>
        </is>
      </c>
      <c r="D88" s="27" t="inlineStr">
        <is>
          <t>SMB</t>
        </is>
      </c>
      <c r="E88" s="41" t="n">
        <v>44351</v>
      </c>
      <c r="F88" s="27" t="n">
        <v>66.18000000000001</v>
      </c>
      <c r="G88" s="27" t="inlineStr">
        <is>
          <t>Shopify Plugin</t>
        </is>
      </c>
    </row>
    <row r="89" ht="15" customHeight="1" s="24">
      <c r="A89" s="27" t="n">
        <v>88</v>
      </c>
      <c r="B89" s="27" t="inlineStr">
        <is>
          <t>Rees Inc SA</t>
        </is>
      </c>
      <c r="C89" s="27" t="inlineStr">
        <is>
          <t>E-commerce Marketplace</t>
        </is>
      </c>
      <c r="D89" s="27" t="inlineStr">
        <is>
          <t>SMB</t>
        </is>
      </c>
      <c r="E89" s="41" t="n">
        <v>44768</v>
      </c>
      <c r="F89" s="27" t="n">
        <v>61.88</v>
      </c>
      <c r="G89" s="27" t="inlineStr">
        <is>
          <t>WooCommerce Plugin</t>
        </is>
      </c>
    </row>
    <row r="90" ht="15" customHeight="1" s="24">
      <c r="A90" s="27" t="n">
        <v>89</v>
      </c>
      <c r="B90" s="27" t="inlineStr">
        <is>
          <t>Taylor Store</t>
        </is>
      </c>
      <c r="C90" s="27" t="inlineStr">
        <is>
          <t>Home &amp; Garden</t>
        </is>
      </c>
      <c r="D90" s="27" t="inlineStr">
        <is>
          <t>SMB</t>
        </is>
      </c>
      <c r="E90" s="41" t="n">
        <v>43618</v>
      </c>
      <c r="F90" s="27" t="n">
        <v>66.42</v>
      </c>
      <c r="G90" s="27" t="inlineStr">
        <is>
          <t>Manual Portal</t>
        </is>
      </c>
    </row>
    <row r="91" ht="15" customHeight="1" s="24">
      <c r="A91" s="27" t="n">
        <v>90</v>
      </c>
      <c r="B91" s="27" t="inlineStr">
        <is>
          <t>Smith Online</t>
        </is>
      </c>
      <c r="C91" s="27" t="inlineStr">
        <is>
          <t>Health &amp; Pharmacy</t>
        </is>
      </c>
      <c r="D91" s="27" t="inlineStr">
        <is>
          <t>SMB</t>
        </is>
      </c>
      <c r="E91" s="41" t="n">
        <v>45108</v>
      </c>
      <c r="F91" s="27" t="n">
        <v>64.61</v>
      </c>
      <c r="G91" s="27" t="inlineStr">
        <is>
          <t>WooCommerce Plugin</t>
        </is>
      </c>
    </row>
    <row r="92" ht="15" customHeight="1" s="24">
      <c r="A92" s="27" t="n">
        <v>91</v>
      </c>
      <c r="B92" s="27" t="inlineStr">
        <is>
          <t>Moss-Armstrong</t>
        </is>
      </c>
      <c r="C92" s="27" t="inlineStr">
        <is>
          <t>E-commerce Marketplace</t>
        </is>
      </c>
      <c r="D92" s="27" t="inlineStr">
        <is>
          <t>Enterprise</t>
        </is>
      </c>
      <c r="E92" s="41" t="n">
        <v>44514</v>
      </c>
      <c r="F92" s="27" t="n">
        <v>39.51</v>
      </c>
      <c r="G92" s="27" t="inlineStr">
        <is>
          <t>Manual Portal</t>
        </is>
      </c>
    </row>
    <row r="93" ht="15" customHeight="1" s="24">
      <c r="A93" s="27" t="n">
        <v>92</v>
      </c>
      <c r="B93" s="27" t="inlineStr">
        <is>
          <t>Hudson-Martin SA</t>
        </is>
      </c>
      <c r="C93" s="27" t="inlineStr">
        <is>
          <t>Beauty &amp; Cosmetics</t>
        </is>
      </c>
      <c r="D93" s="27" t="inlineStr">
        <is>
          <t>Mid-Market</t>
        </is>
      </c>
      <c r="E93" s="41" t="n">
        <v>44462</v>
      </c>
      <c r="F93" s="27" t="n">
        <v>57.78</v>
      </c>
      <c r="G93" s="27" t="inlineStr">
        <is>
          <t>WooCommerce Plugin</t>
        </is>
      </c>
    </row>
    <row r="94" ht="15" customHeight="1" s="24">
      <c r="A94" s="27" t="n">
        <v>93</v>
      </c>
      <c r="B94" s="27" t="inlineStr">
        <is>
          <t>McLean Online</t>
        </is>
      </c>
      <c r="C94" s="27" t="inlineStr">
        <is>
          <t>Retail - Premium</t>
        </is>
      </c>
      <c r="D94" s="27" t="inlineStr">
        <is>
          <t>SMB</t>
        </is>
      </c>
      <c r="E94" s="41" t="n">
        <v>45058</v>
      </c>
      <c r="F94" s="27" t="n">
        <v>63.18</v>
      </c>
      <c r="G94" s="27" t="inlineStr">
        <is>
          <t>Manual Portal</t>
        </is>
      </c>
    </row>
    <row r="95" ht="15" customHeight="1" s="24">
      <c r="A95" s="27" t="n">
        <v>94</v>
      </c>
      <c r="B95" s="27" t="inlineStr">
        <is>
          <t>Hodgson</t>
        </is>
      </c>
      <c r="C95" s="27" t="inlineStr">
        <is>
          <t>Electronics</t>
        </is>
      </c>
      <c r="D95" s="27" t="inlineStr">
        <is>
          <t>SMB</t>
        </is>
      </c>
      <c r="E95" s="41" t="n">
        <v>44718</v>
      </c>
      <c r="F95" s="27" t="n">
        <v>63.4</v>
      </c>
      <c r="G95" s="27" t="inlineStr">
        <is>
          <t>API</t>
        </is>
      </c>
    </row>
    <row r="96" ht="15" customHeight="1" s="24">
      <c r="A96" s="27" t="n">
        <v>95</v>
      </c>
      <c r="B96" s="27" t="inlineStr">
        <is>
          <t>Bailey PLC Store</t>
        </is>
      </c>
      <c r="C96" s="27" t="inlineStr">
        <is>
          <t>E-commerce Marketplace</t>
        </is>
      </c>
      <c r="D96" s="27" t="inlineStr">
        <is>
          <t>SMB</t>
        </is>
      </c>
      <c r="E96" s="41" t="n">
        <v>43286</v>
      </c>
      <c r="F96" s="27" t="n">
        <v>61.79</v>
      </c>
      <c r="G96" s="27" t="inlineStr">
        <is>
          <t>WooCommerce Plugin</t>
        </is>
      </c>
    </row>
    <row r="97" ht="15" customHeight="1" s="24">
      <c r="A97" s="27" t="n">
        <v>96</v>
      </c>
      <c r="B97" s="27" t="inlineStr">
        <is>
          <t>Turner</t>
        </is>
      </c>
      <c r="C97" s="27" t="inlineStr">
        <is>
          <t>E-commerce Marketplace</t>
        </is>
      </c>
      <c r="D97" s="27" t="inlineStr">
        <is>
          <t>SMB</t>
        </is>
      </c>
      <c r="E97" s="41" t="n">
        <v>43837</v>
      </c>
      <c r="F97" s="27" t="n">
        <v>63.04</v>
      </c>
      <c r="G97" s="27" t="inlineStr">
        <is>
          <t>API</t>
        </is>
      </c>
    </row>
    <row r="98" ht="15" customHeight="1" s="24">
      <c r="A98" s="27" t="n">
        <v>97</v>
      </c>
      <c r="B98" s="27" t="inlineStr">
        <is>
          <t>Daniels-Stone SA</t>
        </is>
      </c>
      <c r="C98" s="27" t="inlineStr">
        <is>
          <t>Health &amp; Pharmacy</t>
        </is>
      </c>
      <c r="D98" s="27" t="inlineStr">
        <is>
          <t>Enterprise</t>
        </is>
      </c>
      <c r="E98" s="41" t="n">
        <v>43552</v>
      </c>
      <c r="F98" s="27" t="n">
        <v>46.28</v>
      </c>
      <c r="G98" s="27" t="inlineStr">
        <is>
          <t>Shopify Plugin</t>
        </is>
      </c>
    </row>
    <row r="99" ht="15" customHeight="1" s="24">
      <c r="A99" s="27" t="n">
        <v>98</v>
      </c>
      <c r="B99" s="27" t="inlineStr">
        <is>
          <t>Shaw LLC Online</t>
        </is>
      </c>
      <c r="C99" s="27" t="inlineStr">
        <is>
          <t>Outdoor &amp; Lifestyle</t>
        </is>
      </c>
      <c r="D99" s="27" t="inlineStr">
        <is>
          <t>SMB</t>
        </is>
      </c>
      <c r="E99" s="41" t="n">
        <v>44978</v>
      </c>
      <c r="F99" s="27" t="n">
        <v>64.43000000000001</v>
      </c>
      <c r="G99" s="27" t="inlineStr">
        <is>
          <t>Shopify Plugin</t>
        </is>
      </c>
    </row>
    <row r="100" ht="15" customHeight="1" s="24">
      <c r="A100" s="27" t="n">
        <v>99</v>
      </c>
      <c r="B100" s="27" t="inlineStr">
        <is>
          <t>Fraser-Lee SA</t>
        </is>
      </c>
      <c r="C100" s="27" t="inlineStr">
        <is>
          <t>Retail - Premium</t>
        </is>
      </c>
      <c r="D100" s="27" t="inlineStr">
        <is>
          <t>SMB</t>
        </is>
      </c>
      <c r="E100" s="41" t="n">
        <v>43190</v>
      </c>
      <c r="F100" s="27" t="n">
        <v>65.98999999999999</v>
      </c>
      <c r="G100" s="27" t="inlineStr">
        <is>
          <t>Manual Portal</t>
        </is>
      </c>
    </row>
    <row r="101" ht="15" customHeight="1" s="24">
      <c r="A101" s="27" t="n">
        <v>100</v>
      </c>
      <c r="B101" s="27" t="inlineStr">
        <is>
          <t>Stokes</t>
        </is>
      </c>
      <c r="C101" s="27" t="inlineStr">
        <is>
          <t>Retail - Premium</t>
        </is>
      </c>
      <c r="D101" s="27" t="inlineStr">
        <is>
          <t>SMB</t>
        </is>
      </c>
      <c r="E101" s="41" t="n">
        <v>43618</v>
      </c>
      <c r="F101" s="27" t="n">
        <v>66.09</v>
      </c>
      <c r="G101" s="27" t="inlineStr">
        <is>
          <t>Manual Portal</t>
        </is>
      </c>
    </row>
    <row r="102" ht="15" customHeight="1" s="24">
      <c r="A102" s="27" t="n">
        <v>101</v>
      </c>
      <c r="B102" s="27" t="inlineStr">
        <is>
          <t>Bailey SA</t>
        </is>
      </c>
      <c r="C102" s="27" t="inlineStr">
        <is>
          <t>Beauty &amp; Cosmetics</t>
        </is>
      </c>
      <c r="D102" s="27" t="inlineStr">
        <is>
          <t>Mid-Market</t>
        </is>
      </c>
      <c r="E102" s="41" t="n">
        <v>44627</v>
      </c>
      <c r="F102" s="27" t="n">
        <v>58.96</v>
      </c>
      <c r="G102" s="27" t="inlineStr">
        <is>
          <t>API</t>
        </is>
      </c>
    </row>
    <row r="103" ht="15" customHeight="1" s="24">
      <c r="A103" s="27" t="n">
        <v>102</v>
      </c>
      <c r="B103" s="27" t="inlineStr">
        <is>
          <t>Webb SA</t>
        </is>
      </c>
      <c r="C103" s="27" t="inlineStr">
        <is>
          <t>Home &amp; Garden</t>
        </is>
      </c>
      <c r="D103" s="27" t="inlineStr">
        <is>
          <t>SMB</t>
        </is>
      </c>
      <c r="E103" s="41" t="n">
        <v>44876</v>
      </c>
      <c r="F103" s="27" t="n">
        <v>63.97</v>
      </c>
      <c r="G103" s="27" t="inlineStr">
        <is>
          <t>WooCommerce Plugin</t>
        </is>
      </c>
    </row>
    <row r="104" ht="15" customHeight="1" s="24">
      <c r="A104" s="27" t="n">
        <v>103</v>
      </c>
      <c r="B104" s="27" t="inlineStr">
        <is>
          <t>Cox and Sons Direct</t>
        </is>
      </c>
      <c r="C104" s="27" t="inlineStr">
        <is>
          <t>Electronics</t>
        </is>
      </c>
      <c r="D104" s="27" t="inlineStr">
        <is>
          <t>Enterprise</t>
        </is>
      </c>
      <c r="E104" s="41" t="n">
        <v>44386</v>
      </c>
      <c r="F104" s="27" t="n">
        <v>40.57</v>
      </c>
      <c r="G104" s="27" t="inlineStr">
        <is>
          <t>WooCommerce Plugin</t>
        </is>
      </c>
    </row>
    <row r="105" ht="15" customHeight="1" s="24">
      <c r="A105" s="27" t="n">
        <v>104</v>
      </c>
      <c r="B105" s="27" t="inlineStr">
        <is>
          <t>Bird-Kelly Store</t>
        </is>
      </c>
      <c r="C105" s="27" t="inlineStr">
        <is>
          <t>Home &amp; Garden</t>
        </is>
      </c>
      <c r="D105" s="27" t="inlineStr">
        <is>
          <t>Mid-Market</t>
        </is>
      </c>
      <c r="E105" s="41" t="n">
        <v>45108</v>
      </c>
      <c r="F105" s="27" t="n">
        <v>58.2</v>
      </c>
      <c r="G105" s="27" t="inlineStr">
        <is>
          <t>API</t>
        </is>
      </c>
    </row>
    <row r="106" ht="15" customHeight="1" s="24">
      <c r="A106" s="27" t="n">
        <v>105</v>
      </c>
      <c r="B106" s="27" t="inlineStr">
        <is>
          <t>Martin-Thomson SA</t>
        </is>
      </c>
      <c r="C106" s="27" t="inlineStr">
        <is>
          <t>Fintech</t>
        </is>
      </c>
      <c r="D106" s="27" t="inlineStr">
        <is>
          <t>Mid-Market</t>
        </is>
      </c>
      <c r="E106" s="41" t="n">
        <v>45108</v>
      </c>
      <c r="F106" s="27" t="n">
        <v>54.01</v>
      </c>
      <c r="G106" s="27" t="inlineStr">
        <is>
          <t>API</t>
        </is>
      </c>
    </row>
    <row r="107" ht="15" customHeight="1" s="24">
      <c r="A107" s="27" t="n">
        <v>106</v>
      </c>
      <c r="B107" s="27" t="inlineStr">
        <is>
          <t>Lowe-Smith SA</t>
        </is>
      </c>
      <c r="C107" s="27" t="inlineStr">
        <is>
          <t>Health &amp; Pharmacy</t>
        </is>
      </c>
      <c r="D107" s="27" t="inlineStr">
        <is>
          <t>SMB</t>
        </is>
      </c>
      <c r="E107" s="41" t="n">
        <v>43438</v>
      </c>
      <c r="F107" s="27" t="n">
        <v>68.34</v>
      </c>
      <c r="G107" s="27" t="inlineStr">
        <is>
          <t>API</t>
        </is>
      </c>
    </row>
    <row r="108" ht="15" customHeight="1" s="24">
      <c r="A108" s="27" t="n">
        <v>107</v>
      </c>
      <c r="B108" s="27" t="inlineStr">
        <is>
          <t>Green Group</t>
        </is>
      </c>
      <c r="C108" s="27" t="inlineStr">
        <is>
          <t>Health &amp; Pharmacy</t>
        </is>
      </c>
      <c r="D108" s="27" t="inlineStr">
        <is>
          <t>Mid-Market</t>
        </is>
      </c>
      <c r="E108" s="41" t="n">
        <v>45108</v>
      </c>
      <c r="F108" s="27" t="n">
        <v>56.15</v>
      </c>
      <c r="G108" s="27" t="inlineStr">
        <is>
          <t>WooCommerce Plugin</t>
        </is>
      </c>
    </row>
    <row r="109" ht="15" customHeight="1" s="24">
      <c r="A109" s="27" t="n">
        <v>108</v>
      </c>
      <c r="B109" s="27" t="inlineStr">
        <is>
          <t>Thomas-Shepherd Online</t>
        </is>
      </c>
      <c r="C109" s="27" t="inlineStr">
        <is>
          <t>Beauty &amp; Cosmetics</t>
        </is>
      </c>
      <c r="D109" s="27" t="inlineStr">
        <is>
          <t>SMB</t>
        </is>
      </c>
      <c r="E109" s="41" t="n">
        <v>44670</v>
      </c>
      <c r="F109" s="27" t="n">
        <v>64.61</v>
      </c>
      <c r="G109" s="27" t="inlineStr">
        <is>
          <t>Shopify Plugin</t>
        </is>
      </c>
    </row>
    <row r="110" ht="15" customHeight="1" s="24">
      <c r="A110" s="27" t="n">
        <v>109</v>
      </c>
      <c r="B110" s="27" t="inlineStr">
        <is>
          <t>Todd LLC SA</t>
        </is>
      </c>
      <c r="C110" s="27" t="inlineStr">
        <is>
          <t>Health &amp; Pharmacy</t>
        </is>
      </c>
      <c r="D110" s="27" t="inlineStr">
        <is>
          <t>Mid-Market</t>
        </is>
      </c>
      <c r="E110" s="41" t="n">
        <v>44726</v>
      </c>
      <c r="F110" s="27" t="n">
        <v>56.05</v>
      </c>
      <c r="G110" s="27" t="inlineStr">
        <is>
          <t>Manual Portal</t>
        </is>
      </c>
    </row>
    <row r="111" ht="15" customHeight="1" s="24">
      <c r="A111" s="27" t="n">
        <v>110</v>
      </c>
      <c r="B111" s="27" t="inlineStr">
        <is>
          <t>Cox PLC</t>
        </is>
      </c>
      <c r="C111" s="27" t="inlineStr">
        <is>
          <t>Home &amp; Garden</t>
        </is>
      </c>
      <c r="D111" s="27" t="inlineStr">
        <is>
          <t>SMB</t>
        </is>
      </c>
      <c r="E111" s="41" t="n">
        <v>43343</v>
      </c>
      <c r="F111" s="27" t="n">
        <v>70.84999999999999</v>
      </c>
      <c r="G111" s="27" t="inlineStr">
        <is>
          <t>Shopify Plugin</t>
        </is>
      </c>
    </row>
    <row r="112" ht="15" customHeight="1" s="24">
      <c r="A112" s="27" t="n">
        <v>111</v>
      </c>
      <c r="B112" s="27" t="inlineStr">
        <is>
          <t>Rowe Direct</t>
        </is>
      </c>
      <c r="C112" s="27" t="inlineStr">
        <is>
          <t>Beauty &amp; Cosmetics</t>
        </is>
      </c>
      <c r="D112" s="27" t="inlineStr">
        <is>
          <t>Mid-Market</t>
        </is>
      </c>
      <c r="E112" s="41" t="n">
        <v>44689</v>
      </c>
      <c r="F112" s="27" t="n">
        <v>61.23</v>
      </c>
      <c r="G112" s="27" t="inlineStr">
        <is>
          <t>Manual Portal</t>
        </is>
      </c>
    </row>
    <row r="113" ht="15" customHeight="1" s="24">
      <c r="A113" s="27" t="n">
        <v>112</v>
      </c>
      <c r="B113" s="27" t="inlineStr">
        <is>
          <t>Cooke</t>
        </is>
      </c>
      <c r="C113" s="27" t="inlineStr">
        <is>
          <t>Fashion &amp; Apparel</t>
        </is>
      </c>
      <c r="D113" s="27" t="inlineStr">
        <is>
          <t>Mid-Market</t>
        </is>
      </c>
      <c r="E113" s="41" t="n">
        <v>44955</v>
      </c>
      <c r="F113" s="27" t="n">
        <v>55.21</v>
      </c>
      <c r="G113" s="27" t="inlineStr">
        <is>
          <t>API</t>
        </is>
      </c>
    </row>
    <row r="114" ht="15" customHeight="1" s="24">
      <c r="A114" s="27" t="n">
        <v>113</v>
      </c>
      <c r="B114" s="27" t="inlineStr">
        <is>
          <t>Fisher Online</t>
        </is>
      </c>
      <c r="C114" s="27" t="inlineStr">
        <is>
          <t>Health &amp; Pharmacy</t>
        </is>
      </c>
      <c r="D114" s="27" t="inlineStr">
        <is>
          <t>SMB</t>
        </is>
      </c>
      <c r="E114" s="41" t="n">
        <v>44584</v>
      </c>
      <c r="F114" s="27" t="n">
        <v>65.48</v>
      </c>
      <c r="G114" s="27" t="inlineStr">
        <is>
          <t>WooCommerce Plugin</t>
        </is>
      </c>
    </row>
    <row r="115" ht="15" customHeight="1" s="24">
      <c r="A115" s="27" t="n">
        <v>114</v>
      </c>
      <c r="B115" s="27" t="inlineStr">
        <is>
          <t>Sutton-Coles</t>
        </is>
      </c>
      <c r="C115" s="27" t="inlineStr">
        <is>
          <t>Health &amp; Pharmacy</t>
        </is>
      </c>
      <c r="D115" s="27" t="inlineStr">
        <is>
          <t>SMB</t>
        </is>
      </c>
      <c r="E115" s="41" t="n">
        <v>43316</v>
      </c>
      <c r="F115" s="27" t="n">
        <v>68.23</v>
      </c>
      <c r="G115" s="27" t="inlineStr">
        <is>
          <t>API</t>
        </is>
      </c>
    </row>
    <row r="116" ht="15" customHeight="1" s="24">
      <c r="A116" s="27" t="n">
        <v>115</v>
      </c>
      <c r="B116" s="27" t="inlineStr">
        <is>
          <t>Sutton and Sons</t>
        </is>
      </c>
      <c r="C116" s="27" t="inlineStr">
        <is>
          <t>Books &amp; Media</t>
        </is>
      </c>
      <c r="D116" s="27" t="inlineStr">
        <is>
          <t>SMB</t>
        </is>
      </c>
      <c r="E116" s="41" t="n">
        <v>44437</v>
      </c>
      <c r="F116" s="27" t="n">
        <v>62.46</v>
      </c>
      <c r="G116" s="27" t="inlineStr">
        <is>
          <t>Shopify Plugin</t>
        </is>
      </c>
    </row>
    <row r="117" ht="15" customHeight="1" s="24">
      <c r="A117" s="27" t="n">
        <v>116</v>
      </c>
      <c r="B117" s="27" t="inlineStr">
        <is>
          <t>Smith Direct</t>
        </is>
      </c>
      <c r="C117" s="27" t="inlineStr">
        <is>
          <t>Health &amp; Pharmacy</t>
        </is>
      </c>
      <c r="D117" s="27" t="inlineStr">
        <is>
          <t>SMB</t>
        </is>
      </c>
      <c r="E117" s="41" t="n">
        <v>45108</v>
      </c>
      <c r="F117" s="27" t="n">
        <v>66</v>
      </c>
      <c r="G117" s="27" t="inlineStr">
        <is>
          <t>WooCommerce Plugin</t>
        </is>
      </c>
    </row>
    <row r="118" ht="15" customHeight="1" s="24">
      <c r="A118" s="27" t="n">
        <v>117</v>
      </c>
      <c r="B118" s="27" t="inlineStr">
        <is>
          <t>Simpson-Morris SA</t>
        </is>
      </c>
      <c r="C118" s="27" t="inlineStr">
        <is>
          <t>Home &amp; Garden</t>
        </is>
      </c>
      <c r="D118" s="27" t="inlineStr">
        <is>
          <t>SMB</t>
        </is>
      </c>
      <c r="E118" s="41" t="n">
        <v>44949</v>
      </c>
      <c r="F118" s="27" t="n">
        <v>64.92</v>
      </c>
      <c r="G118" s="27" t="inlineStr">
        <is>
          <t>Manual Portal</t>
        </is>
      </c>
    </row>
    <row r="119" ht="15" customHeight="1" s="24">
      <c r="A119" s="27" t="n">
        <v>118</v>
      </c>
      <c r="B119" s="27" t="inlineStr">
        <is>
          <t>Taylor and Sons</t>
        </is>
      </c>
      <c r="C119" s="27" t="inlineStr">
        <is>
          <t>Health &amp; Pharmacy</t>
        </is>
      </c>
      <c r="D119" s="27" t="inlineStr">
        <is>
          <t>Mid-Market</t>
        </is>
      </c>
      <c r="E119" s="41" t="n">
        <v>43452</v>
      </c>
      <c r="F119" s="27" t="n">
        <v>55.94</v>
      </c>
      <c r="G119" s="27" t="inlineStr">
        <is>
          <t>WooCommerce Plugin</t>
        </is>
      </c>
    </row>
    <row r="120" ht="15" customHeight="1" s="24">
      <c r="A120" s="27" t="n">
        <v>119</v>
      </c>
      <c r="B120" s="27" t="inlineStr">
        <is>
          <t>Jennings-Pratt Direct</t>
        </is>
      </c>
      <c r="C120" s="27" t="inlineStr">
        <is>
          <t>Fintech</t>
        </is>
      </c>
      <c r="D120" s="27" t="inlineStr">
        <is>
          <t>Mid-Market</t>
        </is>
      </c>
      <c r="E120" s="41" t="n">
        <v>45108</v>
      </c>
      <c r="F120" s="27" t="n">
        <v>52.5</v>
      </c>
      <c r="G120" s="27" t="inlineStr">
        <is>
          <t>API</t>
        </is>
      </c>
    </row>
    <row r="121" ht="15" customHeight="1" s="24">
      <c r="A121" s="27" t="n">
        <v>120</v>
      </c>
      <c r="B121" s="27" t="inlineStr">
        <is>
          <t>Gill-Ali</t>
        </is>
      </c>
      <c r="C121" s="27" t="inlineStr">
        <is>
          <t>Electronics</t>
        </is>
      </c>
      <c r="D121" s="27" t="inlineStr">
        <is>
          <t>SMB</t>
        </is>
      </c>
      <c r="E121" s="41" t="n">
        <v>45108</v>
      </c>
      <c r="F121" s="27" t="n">
        <v>60.23</v>
      </c>
      <c r="G121" s="27" t="inlineStr">
        <is>
          <t>API</t>
        </is>
      </c>
    </row>
    <row r="122" ht="15" customHeight="1" s="24">
      <c r="A122" s="27" t="n">
        <v>121</v>
      </c>
      <c r="B122" s="27" t="inlineStr">
        <is>
          <t>Taylor Direct</t>
        </is>
      </c>
      <c r="C122" s="27" t="inlineStr">
        <is>
          <t>Books &amp; Media</t>
        </is>
      </c>
      <c r="D122" s="27" t="inlineStr">
        <is>
          <t>SMB</t>
        </is>
      </c>
      <c r="E122" s="41" t="n">
        <v>43533</v>
      </c>
      <c r="F122" s="27" t="n">
        <v>58.78</v>
      </c>
      <c r="G122" s="27" t="inlineStr">
        <is>
          <t>API</t>
        </is>
      </c>
    </row>
    <row r="123" ht="15" customHeight="1" s="24">
      <c r="A123" s="27" t="n">
        <v>122</v>
      </c>
      <c r="B123" s="27" t="inlineStr">
        <is>
          <t>Griffiths Direct</t>
        </is>
      </c>
      <c r="C123" s="27" t="inlineStr">
        <is>
          <t>E-commerce Marketplace</t>
        </is>
      </c>
      <c r="D123" s="27" t="inlineStr">
        <is>
          <t>SMB</t>
        </is>
      </c>
      <c r="E123" s="41" t="n">
        <v>45108</v>
      </c>
      <c r="F123" s="27" t="n">
        <v>61.65</v>
      </c>
      <c r="G123" s="27" t="inlineStr">
        <is>
          <t>API</t>
        </is>
      </c>
    </row>
    <row r="124" ht="15" customHeight="1" s="24">
      <c r="A124" s="27" t="n">
        <v>123</v>
      </c>
      <c r="B124" s="27" t="inlineStr">
        <is>
          <t>Ryan Group Direct</t>
        </is>
      </c>
      <c r="C124" s="27" t="inlineStr">
        <is>
          <t>Fashion &amp; Apparel</t>
        </is>
      </c>
      <c r="D124" s="27" t="inlineStr">
        <is>
          <t>SMB</t>
        </is>
      </c>
      <c r="E124" s="41" t="n">
        <v>44140</v>
      </c>
      <c r="F124" s="27" t="n">
        <v>63.62</v>
      </c>
      <c r="G124" s="27" t="inlineStr">
        <is>
          <t>Shopify Plugin</t>
        </is>
      </c>
    </row>
    <row r="125" ht="15" customHeight="1" s="24">
      <c r="A125" s="27" t="n">
        <v>124</v>
      </c>
      <c r="B125" s="27" t="inlineStr">
        <is>
          <t>Rogers-James SA</t>
        </is>
      </c>
      <c r="C125" s="27" t="inlineStr">
        <is>
          <t>Books &amp; Media</t>
        </is>
      </c>
      <c r="D125" s="27" t="inlineStr">
        <is>
          <t>Mid-Market</t>
        </is>
      </c>
      <c r="E125" s="41" t="n">
        <v>44617</v>
      </c>
      <c r="F125" s="27" t="n">
        <v>54.12</v>
      </c>
      <c r="G125" s="27" t="inlineStr">
        <is>
          <t>WooCommerce Plugin</t>
        </is>
      </c>
    </row>
    <row r="126" ht="15" customHeight="1" s="24">
      <c r="A126" s="27" t="n">
        <v>125</v>
      </c>
      <c r="B126" s="27" t="inlineStr">
        <is>
          <t>Wilson Ltd Store</t>
        </is>
      </c>
      <c r="C126" s="27" t="inlineStr">
        <is>
          <t>Health &amp; Pharmacy</t>
        </is>
      </c>
      <c r="D126" s="27" t="inlineStr">
        <is>
          <t>SMB</t>
        </is>
      </c>
      <c r="E126" s="41" t="n">
        <v>44238</v>
      </c>
      <c r="F126" s="27" t="n">
        <v>70.81</v>
      </c>
      <c r="G126" s="27" t="inlineStr">
        <is>
          <t>WooCommerce Plugin</t>
        </is>
      </c>
    </row>
    <row r="127" ht="15" customHeight="1" s="24">
      <c r="A127" s="27" t="n">
        <v>126</v>
      </c>
      <c r="B127" s="27" t="inlineStr">
        <is>
          <t>Matthews LLC SA</t>
        </is>
      </c>
      <c r="C127" s="27" t="inlineStr">
        <is>
          <t>Fintech</t>
        </is>
      </c>
      <c r="D127" s="27" t="inlineStr">
        <is>
          <t>SMB</t>
        </is>
      </c>
      <c r="E127" s="41" t="n">
        <v>45100</v>
      </c>
      <c r="F127" s="27" t="n">
        <v>68.31999999999999</v>
      </c>
      <c r="G127" s="27" t="inlineStr">
        <is>
          <t>Manual Portal</t>
        </is>
      </c>
    </row>
    <row r="128" ht="15" customHeight="1" s="24">
      <c r="A128" s="27" t="n">
        <v>127</v>
      </c>
      <c r="B128" s="27" t="inlineStr">
        <is>
          <t>Morgan LLC SA</t>
        </is>
      </c>
      <c r="C128" s="27" t="inlineStr">
        <is>
          <t>Fintech</t>
        </is>
      </c>
      <c r="D128" s="27" t="inlineStr">
        <is>
          <t>SMB</t>
        </is>
      </c>
      <c r="E128" s="41" t="n">
        <v>45108</v>
      </c>
      <c r="F128" s="27" t="n">
        <v>62.11</v>
      </c>
      <c r="G128" s="27" t="inlineStr">
        <is>
          <t>WooCommerce Plugin</t>
        </is>
      </c>
    </row>
    <row r="129" ht="15" customHeight="1" s="24">
      <c r="A129" s="27" t="n">
        <v>128</v>
      </c>
      <c r="B129" s="27" t="inlineStr">
        <is>
          <t>Hart-Matthews Direct</t>
        </is>
      </c>
      <c r="C129" s="27" t="inlineStr">
        <is>
          <t>Outdoor &amp; Lifestyle</t>
        </is>
      </c>
      <c r="D129" s="27" t="inlineStr">
        <is>
          <t>SMB</t>
        </is>
      </c>
      <c r="E129" s="41" t="n">
        <v>45108</v>
      </c>
      <c r="F129" s="27" t="n">
        <v>66.04000000000001</v>
      </c>
      <c r="G129" s="27" t="inlineStr">
        <is>
          <t>WooCommerce Plugin</t>
        </is>
      </c>
    </row>
    <row r="130" ht="15" customHeight="1" s="24">
      <c r="A130" s="27" t="n">
        <v>129</v>
      </c>
      <c r="B130" s="27" t="inlineStr">
        <is>
          <t>Fry</t>
        </is>
      </c>
      <c r="C130" s="27" t="inlineStr">
        <is>
          <t>Fashion &amp; Apparel</t>
        </is>
      </c>
      <c r="D130" s="27" t="inlineStr">
        <is>
          <t>Mid-Market</t>
        </is>
      </c>
      <c r="E130" s="41" t="n">
        <v>45108</v>
      </c>
      <c r="F130" s="27" t="n">
        <v>53.78</v>
      </c>
      <c r="G130" s="27" t="inlineStr">
        <is>
          <t>API</t>
        </is>
      </c>
    </row>
    <row r="131" ht="15" customHeight="1" s="24">
      <c r="A131" s="27" t="n">
        <v>130</v>
      </c>
      <c r="B131" s="27" t="inlineStr">
        <is>
          <t>Carpenter-Hunt Online</t>
        </is>
      </c>
      <c r="C131" s="27" t="inlineStr">
        <is>
          <t>Retail - Premium</t>
        </is>
      </c>
      <c r="D131" s="27" t="inlineStr">
        <is>
          <t>SMB</t>
        </is>
      </c>
      <c r="E131" s="41" t="n">
        <v>45108</v>
      </c>
      <c r="F131" s="27" t="n">
        <v>64.15000000000001</v>
      </c>
      <c r="G131" s="27" t="inlineStr">
        <is>
          <t>API</t>
        </is>
      </c>
    </row>
    <row r="132" ht="15" customHeight="1" s="24">
      <c r="A132" s="27" t="n">
        <v>131</v>
      </c>
      <c r="B132" s="27" t="inlineStr">
        <is>
          <t>Thomas-Anderson Direct</t>
        </is>
      </c>
      <c r="C132" s="27" t="inlineStr">
        <is>
          <t>E-commerce Marketplace</t>
        </is>
      </c>
      <c r="D132" s="27" t="inlineStr">
        <is>
          <t>SMB</t>
        </is>
      </c>
      <c r="E132" s="41" t="n">
        <v>43331</v>
      </c>
      <c r="F132" s="27" t="n">
        <v>65.56</v>
      </c>
      <c r="G132" s="27" t="inlineStr">
        <is>
          <t>Shopify Plugin</t>
        </is>
      </c>
    </row>
    <row r="133" ht="15" customHeight="1" s="24">
      <c r="A133" s="27" t="n">
        <v>132</v>
      </c>
      <c r="B133" s="27" t="inlineStr">
        <is>
          <t>Briggs-Sinclair Store</t>
        </is>
      </c>
      <c r="C133" s="27" t="inlineStr">
        <is>
          <t>Books &amp; Media</t>
        </is>
      </c>
      <c r="D133" s="27" t="inlineStr">
        <is>
          <t>SMB</t>
        </is>
      </c>
      <c r="E133" s="41" t="n">
        <v>43748</v>
      </c>
      <c r="F133" s="27" t="n">
        <v>66.86</v>
      </c>
      <c r="G133" s="27" t="inlineStr">
        <is>
          <t>Manual Portal</t>
        </is>
      </c>
    </row>
    <row r="134" ht="15" customHeight="1" s="24">
      <c r="A134" s="27" t="n">
        <v>133</v>
      </c>
      <c r="B134" s="27" t="inlineStr">
        <is>
          <t>Robinson Store</t>
        </is>
      </c>
      <c r="C134" s="27" t="inlineStr">
        <is>
          <t>Books &amp; Media</t>
        </is>
      </c>
      <c r="D134" s="27" t="inlineStr">
        <is>
          <t>SMB</t>
        </is>
      </c>
      <c r="E134" s="41" t="n">
        <v>44945</v>
      </c>
      <c r="F134" s="27" t="n">
        <v>63.98</v>
      </c>
      <c r="G134" s="27" t="inlineStr">
        <is>
          <t>API</t>
        </is>
      </c>
    </row>
    <row r="135" ht="15" customHeight="1" s="24">
      <c r="A135" s="27" t="n">
        <v>134</v>
      </c>
      <c r="B135" s="27" t="inlineStr">
        <is>
          <t>Smith Ltd SA</t>
        </is>
      </c>
      <c r="C135" s="27" t="inlineStr">
        <is>
          <t>Electronics</t>
        </is>
      </c>
      <c r="D135" s="27" t="inlineStr">
        <is>
          <t>SMB</t>
        </is>
      </c>
      <c r="E135" s="41" t="n">
        <v>44608</v>
      </c>
      <c r="F135" s="27" t="n">
        <v>68.19</v>
      </c>
      <c r="G135" s="27" t="inlineStr">
        <is>
          <t>Shopify Plugin</t>
        </is>
      </c>
    </row>
    <row r="136" ht="15" customHeight="1" s="24">
      <c r="A136" s="27" t="n">
        <v>135</v>
      </c>
      <c r="B136" s="27" t="inlineStr">
        <is>
          <t>Winter-Bennett SA</t>
        </is>
      </c>
      <c r="C136" s="27" t="inlineStr">
        <is>
          <t>Books &amp; Media</t>
        </is>
      </c>
      <c r="D136" s="27" t="inlineStr">
        <is>
          <t>SMB</t>
        </is>
      </c>
      <c r="E136" s="41" t="n">
        <v>43229</v>
      </c>
      <c r="F136" s="27" t="n">
        <v>61.57</v>
      </c>
      <c r="G136" s="27" t="inlineStr">
        <is>
          <t>Shopify Plugin</t>
        </is>
      </c>
    </row>
    <row r="137" ht="15" customHeight="1" s="24">
      <c r="A137" s="27" t="n">
        <v>136</v>
      </c>
      <c r="B137" s="27" t="inlineStr">
        <is>
          <t>Holmes Online</t>
        </is>
      </c>
      <c r="C137" s="27" t="inlineStr">
        <is>
          <t>Outdoor &amp; Lifestyle</t>
        </is>
      </c>
      <c r="D137" s="27" t="inlineStr">
        <is>
          <t>Mid-Market</t>
        </is>
      </c>
      <c r="E137" s="41" t="n">
        <v>43343</v>
      </c>
      <c r="F137" s="27" t="n">
        <v>55.02</v>
      </c>
      <c r="G137" s="27" t="inlineStr">
        <is>
          <t>API</t>
        </is>
      </c>
    </row>
    <row r="138" ht="15" customHeight="1" s="24">
      <c r="A138" s="27" t="n">
        <v>137</v>
      </c>
      <c r="B138" s="27" t="inlineStr">
        <is>
          <t>Hargreaves Inc Online</t>
        </is>
      </c>
      <c r="C138" s="27" t="inlineStr">
        <is>
          <t>E-commerce Marketplace</t>
        </is>
      </c>
      <c r="D138" s="27" t="inlineStr">
        <is>
          <t>SMB</t>
        </is>
      </c>
      <c r="E138" s="41" t="n">
        <v>44430</v>
      </c>
      <c r="F138" s="27" t="n">
        <v>72.79000000000001</v>
      </c>
      <c r="G138" s="27" t="inlineStr">
        <is>
          <t>API</t>
        </is>
      </c>
    </row>
    <row r="139" ht="15" customHeight="1" s="24">
      <c r="A139" s="27" t="n">
        <v>138</v>
      </c>
      <c r="B139" s="27" t="inlineStr">
        <is>
          <t>Wall</t>
        </is>
      </c>
      <c r="C139" s="27" t="inlineStr">
        <is>
          <t>Retail - Premium</t>
        </is>
      </c>
      <c r="D139" s="27" t="inlineStr">
        <is>
          <t>Mid-Market</t>
        </is>
      </c>
      <c r="E139" s="41" t="n">
        <v>44675</v>
      </c>
      <c r="F139" s="27" t="n">
        <v>55.67</v>
      </c>
      <c r="G139" s="27" t="inlineStr">
        <is>
          <t>Manual Portal</t>
        </is>
      </c>
    </row>
    <row r="140" ht="15" customHeight="1" s="24">
      <c r="A140" s="27" t="n">
        <v>139</v>
      </c>
      <c r="B140" s="27" t="inlineStr">
        <is>
          <t>Peters LLC</t>
        </is>
      </c>
      <c r="C140" s="27" t="inlineStr">
        <is>
          <t>Fashion &amp; Apparel</t>
        </is>
      </c>
      <c r="D140" s="27" t="inlineStr">
        <is>
          <t>SMB</t>
        </is>
      </c>
      <c r="E140" s="41" t="n">
        <v>43529</v>
      </c>
      <c r="F140" s="27" t="n">
        <v>69.3</v>
      </c>
      <c r="G140" s="27" t="inlineStr">
        <is>
          <t>Shopify Plugin</t>
        </is>
      </c>
    </row>
    <row r="141" ht="15" customHeight="1" s="24">
      <c r="A141" s="27" t="n">
        <v>140</v>
      </c>
      <c r="B141" s="27" t="inlineStr">
        <is>
          <t>Gordon Online</t>
        </is>
      </c>
      <c r="C141" s="27" t="inlineStr">
        <is>
          <t>Health &amp; Pharmacy</t>
        </is>
      </c>
      <c r="D141" s="27" t="inlineStr">
        <is>
          <t>SMB</t>
        </is>
      </c>
      <c r="E141" s="41" t="n">
        <v>43538</v>
      </c>
      <c r="F141" s="27" t="n">
        <v>65.27</v>
      </c>
      <c r="G141" s="27" t="inlineStr">
        <is>
          <t>API</t>
        </is>
      </c>
    </row>
    <row r="142" ht="15" customHeight="1" s="24">
      <c r="A142" s="27" t="n">
        <v>141</v>
      </c>
      <c r="B142" s="27" t="inlineStr">
        <is>
          <t>Naylor-Lucas Online</t>
        </is>
      </c>
      <c r="C142" s="27" t="inlineStr">
        <is>
          <t>Electronics</t>
        </is>
      </c>
      <c r="D142" s="27" t="inlineStr">
        <is>
          <t>Mid-Market</t>
        </is>
      </c>
      <c r="E142" s="41" t="n">
        <v>43431</v>
      </c>
      <c r="F142" s="27" t="n">
        <v>56.74</v>
      </c>
      <c r="G142" s="27" t="inlineStr">
        <is>
          <t>Manual Portal</t>
        </is>
      </c>
    </row>
    <row r="143" ht="15" customHeight="1" s="24">
      <c r="A143" s="27" t="n">
        <v>142</v>
      </c>
      <c r="B143" s="27" t="inlineStr">
        <is>
          <t>Singh</t>
        </is>
      </c>
      <c r="C143" s="27" t="inlineStr">
        <is>
          <t>Fintech</t>
        </is>
      </c>
      <c r="D143" s="27" t="inlineStr">
        <is>
          <t>Mid-Market</t>
        </is>
      </c>
      <c r="E143" s="41" t="n">
        <v>44544</v>
      </c>
      <c r="F143" s="27" t="n">
        <v>54.83</v>
      </c>
      <c r="G143" s="27" t="inlineStr">
        <is>
          <t>API</t>
        </is>
      </c>
    </row>
    <row r="144" ht="15" customHeight="1" s="24">
      <c r="A144" s="27" t="n">
        <v>143</v>
      </c>
      <c r="B144" s="27" t="inlineStr">
        <is>
          <t>Pearce SA</t>
        </is>
      </c>
      <c r="C144" s="27" t="inlineStr">
        <is>
          <t>E-commerce Marketplace</t>
        </is>
      </c>
      <c r="D144" s="27" t="inlineStr">
        <is>
          <t>Mid-Market</t>
        </is>
      </c>
      <c r="E144" s="41" t="n">
        <v>43121</v>
      </c>
      <c r="F144" s="27" t="n">
        <v>54.49</v>
      </c>
      <c r="G144" s="27" t="inlineStr">
        <is>
          <t>Manual Portal</t>
        </is>
      </c>
    </row>
    <row r="145" ht="15" customHeight="1" s="24">
      <c r="A145" s="27" t="n">
        <v>144</v>
      </c>
      <c r="B145" s="27" t="inlineStr">
        <is>
          <t>Hussain-Sykes Direct</t>
        </is>
      </c>
      <c r="C145" s="27" t="inlineStr">
        <is>
          <t>Health &amp; Pharmacy</t>
        </is>
      </c>
      <c r="D145" s="27" t="inlineStr">
        <is>
          <t>Enterprise</t>
        </is>
      </c>
      <c r="E145" s="41" t="n">
        <v>44563</v>
      </c>
      <c r="F145" s="27" t="n">
        <v>42.66</v>
      </c>
      <c r="G145" s="27" t="inlineStr">
        <is>
          <t>API</t>
        </is>
      </c>
    </row>
    <row r="146" ht="15" customHeight="1" s="24">
      <c r="A146" s="27" t="n">
        <v>145</v>
      </c>
      <c r="B146" s="27" t="inlineStr">
        <is>
          <t>Jenkins Store</t>
        </is>
      </c>
      <c r="C146" s="27" t="inlineStr">
        <is>
          <t>Fashion &amp; Apparel</t>
        </is>
      </c>
      <c r="D146" s="27" t="inlineStr">
        <is>
          <t>Mid-Market</t>
        </is>
      </c>
      <c r="E146" s="41" t="n">
        <v>44316</v>
      </c>
      <c r="F146" s="27" t="n">
        <v>56.29</v>
      </c>
      <c r="G146" s="27" t="inlineStr">
        <is>
          <t>Shopify Plugin</t>
        </is>
      </c>
    </row>
    <row r="147" ht="15" customHeight="1" s="24">
      <c r="A147" s="27" t="n">
        <v>146</v>
      </c>
      <c r="B147" s="27" t="inlineStr">
        <is>
          <t>Dobson</t>
        </is>
      </c>
      <c r="C147" s="27" t="inlineStr">
        <is>
          <t>Fashion &amp; Apparel</t>
        </is>
      </c>
      <c r="D147" s="27" t="inlineStr">
        <is>
          <t>SMB</t>
        </is>
      </c>
      <c r="E147" s="41" t="n">
        <v>44291</v>
      </c>
      <c r="F147" s="27" t="n">
        <v>62.45</v>
      </c>
      <c r="G147" s="27" t="inlineStr">
        <is>
          <t>API</t>
        </is>
      </c>
    </row>
    <row r="148" ht="15" customHeight="1" s="24">
      <c r="A148" s="27" t="n">
        <v>147</v>
      </c>
      <c r="B148" s="27" t="inlineStr">
        <is>
          <t>Thompson Direct</t>
        </is>
      </c>
      <c r="C148" s="27" t="inlineStr">
        <is>
          <t>Books &amp; Media</t>
        </is>
      </c>
      <c r="D148" s="27" t="inlineStr">
        <is>
          <t>Mid-Market</t>
        </is>
      </c>
      <c r="E148" s="41" t="n">
        <v>44836</v>
      </c>
      <c r="F148" s="27" t="n">
        <v>57</v>
      </c>
      <c r="G148" s="27" t="inlineStr">
        <is>
          <t>API</t>
        </is>
      </c>
    </row>
    <row r="149" ht="15" customHeight="1" s="24">
      <c r="A149" s="27" t="n">
        <v>148</v>
      </c>
      <c r="B149" s="27" t="inlineStr">
        <is>
          <t>Bibi</t>
        </is>
      </c>
      <c r="C149" s="27" t="inlineStr">
        <is>
          <t>Electronics</t>
        </is>
      </c>
      <c r="D149" s="27" t="inlineStr">
        <is>
          <t>SMB</t>
        </is>
      </c>
      <c r="E149" s="41" t="n">
        <v>44436</v>
      </c>
      <c r="F149" s="27" t="n">
        <v>68.26000000000001</v>
      </c>
      <c r="G149" s="27" t="inlineStr">
        <is>
          <t>Manual Portal</t>
        </is>
      </c>
    </row>
    <row r="150" ht="15" customHeight="1" s="24">
      <c r="A150" s="27" t="n">
        <v>149</v>
      </c>
      <c r="B150" s="27" t="inlineStr">
        <is>
          <t>Davies and Sons Store</t>
        </is>
      </c>
      <c r="C150" s="27" t="inlineStr">
        <is>
          <t>Retail - Premium</t>
        </is>
      </c>
      <c r="D150" s="27" t="inlineStr">
        <is>
          <t>SMB</t>
        </is>
      </c>
      <c r="E150" s="41" t="n">
        <v>44960</v>
      </c>
      <c r="F150" s="27" t="n">
        <v>66.09999999999999</v>
      </c>
      <c r="G150" s="27" t="inlineStr">
        <is>
          <t>API</t>
        </is>
      </c>
    </row>
    <row r="151" ht="15" customHeight="1" s="24">
      <c r="A151" s="27" t="n">
        <v>150</v>
      </c>
      <c r="B151" s="27" t="inlineStr">
        <is>
          <t>Kennedy Inc Direct</t>
        </is>
      </c>
      <c r="C151" s="27" t="inlineStr">
        <is>
          <t>Fashion &amp; Apparel</t>
        </is>
      </c>
      <c r="D151" s="27" t="inlineStr">
        <is>
          <t>Mid-Market</t>
        </is>
      </c>
      <c r="E151" s="41" t="n">
        <v>45052</v>
      </c>
      <c r="F151" s="27" t="n">
        <v>54.14</v>
      </c>
      <c r="G151" s="27" t="inlineStr">
        <is>
          <t>API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26" customWidth="1" style="23" min="2" max="2"/>
    <col width="18" customWidth="1" style="23" min="3" max="3"/>
    <col width="15" customWidth="1" style="23" min="4" max="4"/>
    <col width="14" customWidth="1" style="23" min="5" max="5"/>
    <col width="12" customWidth="1" style="23" min="6" max="10"/>
  </cols>
  <sheetData>
    <row r="1" ht="15" customHeight="1" s="24">
      <c r="A1" s="28" t="inlineStr">
        <is>
          <t>pickup_point_id</t>
        </is>
      </c>
      <c r="B1" s="28" t="inlineStr">
        <is>
          <t>store_name</t>
        </is>
      </c>
      <c r="C1" s="28" t="inlineStr">
        <is>
          <t>partner_name</t>
        </is>
      </c>
      <c r="D1" s="28" t="inlineStr">
        <is>
          <t>province</t>
        </is>
      </c>
      <c r="E1" s="28" t="inlineStr">
        <is>
          <t>city</t>
        </is>
      </c>
      <c r="F1" s="28" t="inlineStr">
        <is>
          <t>latitude</t>
        </is>
      </c>
      <c r="G1" s="28" t="inlineStr">
        <is>
          <t>longitude</t>
        </is>
      </c>
      <c r="H1" s="28" t="inlineStr">
        <is>
          <t>opening_date</t>
        </is>
      </c>
      <c r="I1" s="28" t="inlineStr">
        <is>
          <t>capacity_per_day</t>
        </is>
      </c>
      <c r="J1" s="28" t="inlineStr">
        <is>
          <t>status</t>
        </is>
      </c>
    </row>
    <row r="2" ht="15" customHeight="1" s="24">
      <c r="A2" s="27" t="n">
        <v>314</v>
      </c>
      <c r="B2" s="27" t="inlineStr">
        <is>
          <t>Clicks Newcastle Mall</t>
        </is>
      </c>
      <c r="C2" s="27" t="inlineStr">
        <is>
          <t>Clicks</t>
        </is>
      </c>
      <c r="D2" s="27" t="inlineStr">
        <is>
          <t>KwaZulu-Natal</t>
        </is>
      </c>
      <c r="E2" s="27" t="inlineStr">
        <is>
          <t>Newcastle</t>
        </is>
      </c>
      <c r="F2" s="27" t="n">
        <v>-27.384111</v>
      </c>
      <c r="G2" s="27" t="n">
        <v>29.026651</v>
      </c>
      <c r="H2" s="41" t="n">
        <v>44220</v>
      </c>
      <c r="I2" s="27" t="n">
        <v>35</v>
      </c>
      <c r="J2" s="27" t="inlineStr">
        <is>
          <t>Active</t>
        </is>
      </c>
    </row>
    <row r="3" ht="15" customHeight="1" s="24">
      <c r="A3" s="27" t="n">
        <v>3489</v>
      </c>
      <c r="B3" s="27" t="inlineStr">
        <is>
          <t xml:space="preserve">Clicks Umhlanga </t>
        </is>
      </c>
      <c r="C3" s="27" t="inlineStr">
        <is>
          <t>Clicks</t>
        </is>
      </c>
      <c r="D3" s="27" t="inlineStr">
        <is>
          <t>KwaZulu-Natal</t>
        </is>
      </c>
      <c r="E3" s="27" t="inlineStr">
        <is>
          <t>Umhlanga</t>
        </is>
      </c>
      <c r="F3" s="27" t="n">
        <v>-27.951628</v>
      </c>
      <c r="G3" s="27" t="n">
        <v>29.043078</v>
      </c>
      <c r="H3" s="41" t="n">
        <v>42447</v>
      </c>
      <c r="I3" s="27" t="n">
        <v>35</v>
      </c>
      <c r="J3" s="27" t="inlineStr">
        <is>
          <t>Active</t>
        </is>
      </c>
    </row>
    <row r="4" ht="15" customHeight="1" s="24">
      <c r="A4" s="27" t="n">
        <v>2731</v>
      </c>
      <c r="B4" s="27" t="inlineStr">
        <is>
          <t>Lewis Polokwane Square</t>
        </is>
      </c>
      <c r="C4" s="27" t="inlineStr">
        <is>
          <t>Lewis</t>
        </is>
      </c>
      <c r="D4" s="27" t="inlineStr">
        <is>
          <t>Limpopo</t>
        </is>
      </c>
      <c r="E4" s="27" t="inlineStr">
        <is>
          <t>Polokwane</t>
        </is>
      </c>
      <c r="F4" s="27" t="n">
        <v>-22.885509</v>
      </c>
      <c r="G4" s="27" t="n">
        <v>27.416431</v>
      </c>
      <c r="H4" s="41" t="n">
        <v>44684</v>
      </c>
      <c r="I4" s="27" t="n">
        <v>50</v>
      </c>
      <c r="J4" s="27" t="inlineStr">
        <is>
          <t>Active</t>
        </is>
      </c>
    </row>
    <row r="5" ht="15" customHeight="1" s="24">
      <c r="A5" s="27" t="n">
        <v>193</v>
      </c>
      <c r="B5" s="27" t="inlineStr">
        <is>
          <t>PEP Tzaneen Central</t>
        </is>
      </c>
      <c r="C5" s="27" t="inlineStr">
        <is>
          <t>PEP</t>
        </is>
      </c>
      <c r="D5" s="27" t="inlineStr">
        <is>
          <t>Limpopo</t>
        </is>
      </c>
      <c r="E5" s="27" t="inlineStr">
        <is>
          <t>Tzaneen</t>
        </is>
      </c>
      <c r="F5" s="27" t="n">
        <v>-22.343412</v>
      </c>
      <c r="G5" s="27" t="n">
        <v>30.84085</v>
      </c>
      <c r="H5" s="41" t="n">
        <v>44305</v>
      </c>
      <c r="I5" s="27" t="n">
        <v>20</v>
      </c>
      <c r="J5" s="27" t="inlineStr">
        <is>
          <t>Active</t>
        </is>
      </c>
    </row>
    <row r="6" ht="15" customHeight="1" s="24">
      <c r="A6" s="27" t="n">
        <v>3066</v>
      </c>
      <c r="B6" s="27" t="inlineStr">
        <is>
          <t>PostNet Mokopane Plaza</t>
        </is>
      </c>
      <c r="C6" s="27" t="inlineStr">
        <is>
          <t>PostNet</t>
        </is>
      </c>
      <c r="D6" s="27" t="inlineStr">
        <is>
          <t>Limpopo</t>
        </is>
      </c>
      <c r="E6" s="27" t="inlineStr">
        <is>
          <t>Mokopane</t>
        </is>
      </c>
      <c r="F6" s="27" t="n">
        <v>-24.688662</v>
      </c>
      <c r="G6" s="27" t="n">
        <v>27.152757</v>
      </c>
      <c r="H6" s="41" t="n">
        <v>44639</v>
      </c>
      <c r="I6" s="27" t="n">
        <v>80</v>
      </c>
      <c r="J6" s="27" t="inlineStr">
        <is>
          <t>Active</t>
        </is>
      </c>
    </row>
    <row r="7" ht="15" customHeight="1" s="24">
      <c r="A7" s="27" t="n">
        <v>1374</v>
      </c>
      <c r="B7" s="27" t="inlineStr">
        <is>
          <t>Caltex Freshstop Roodepoort Mall</t>
        </is>
      </c>
      <c r="C7" s="27" t="inlineStr">
        <is>
          <t>Caltex Freshstop</t>
        </is>
      </c>
      <c r="D7" s="27" t="inlineStr">
        <is>
          <t>Gauteng</t>
        </is>
      </c>
      <c r="E7" s="27" t="inlineStr">
        <is>
          <t>Roodepoort</t>
        </is>
      </c>
      <c r="F7" s="27" t="n">
        <v>-25.207415</v>
      </c>
      <c r="G7" s="27" t="n">
        <v>27.486037</v>
      </c>
      <c r="H7" s="41" t="n">
        <v>42702</v>
      </c>
      <c r="I7" s="27" t="n">
        <v>80</v>
      </c>
      <c r="J7" s="27" t="inlineStr">
        <is>
          <t>Active</t>
        </is>
      </c>
    </row>
    <row r="8" ht="15" customHeight="1" s="24">
      <c r="A8" s="27" t="n">
        <v>2056</v>
      </c>
      <c r="B8" s="27" t="inlineStr">
        <is>
          <t xml:space="preserve">Clicks Cape Town </t>
        </is>
      </c>
      <c r="C8" s="27" t="inlineStr">
        <is>
          <t>Clicks</t>
        </is>
      </c>
      <c r="D8" s="27" t="inlineStr">
        <is>
          <t>Western Cape</t>
        </is>
      </c>
      <c r="E8" s="27" t="inlineStr">
        <is>
          <t>Cape Town</t>
        </is>
      </c>
      <c r="F8" s="27" t="n">
        <v>-32.155526</v>
      </c>
      <c r="G8" s="27" t="n">
        <v>20.092185</v>
      </c>
      <c r="H8" s="41" t="n">
        <v>44183</v>
      </c>
      <c r="I8" s="27" t="n">
        <v>35</v>
      </c>
      <c r="J8" s="27" t="inlineStr">
        <is>
          <t>Active</t>
        </is>
      </c>
    </row>
    <row r="9" ht="15" customHeight="1" s="24">
      <c r="A9" s="27" t="n">
        <v>3343</v>
      </c>
      <c r="B9" s="27" t="inlineStr">
        <is>
          <t>PEP Somerset West Central</t>
        </is>
      </c>
      <c r="C9" s="27" t="inlineStr">
        <is>
          <t>PEP</t>
        </is>
      </c>
      <c r="D9" s="27" t="inlineStr">
        <is>
          <t>Western Cape</t>
        </is>
      </c>
      <c r="E9" s="27" t="inlineStr">
        <is>
          <t>Somerset West</t>
        </is>
      </c>
      <c r="F9" s="27" t="n">
        <v>-31.632267</v>
      </c>
      <c r="G9" s="27" t="n">
        <v>22.07496</v>
      </c>
      <c r="H9" s="41" t="n">
        <v>43642</v>
      </c>
      <c r="I9" s="27" t="n">
        <v>120</v>
      </c>
      <c r="J9" s="27" t="inlineStr">
        <is>
          <t>Active</t>
        </is>
      </c>
    </row>
    <row r="10" ht="15" customHeight="1" s="24">
      <c r="A10" s="27" t="n">
        <v>552</v>
      </c>
      <c r="B10" s="27" t="inlineStr">
        <is>
          <t xml:space="preserve">Clicks Bellville </t>
        </is>
      </c>
      <c r="C10" s="27" t="inlineStr">
        <is>
          <t>Clicks</t>
        </is>
      </c>
      <c r="D10" s="27" t="inlineStr">
        <is>
          <t>Western Cape</t>
        </is>
      </c>
      <c r="E10" s="27" t="inlineStr">
        <is>
          <t>Bellville</t>
        </is>
      </c>
      <c r="F10" s="27" t="n">
        <v>-32.691228</v>
      </c>
      <c r="G10" s="27" t="n">
        <v>21.068475</v>
      </c>
      <c r="H10" s="41" t="n">
        <v>43325</v>
      </c>
      <c r="I10" s="27" t="n">
        <v>80</v>
      </c>
      <c r="J10" s="27" t="inlineStr">
        <is>
          <t>Active</t>
        </is>
      </c>
    </row>
    <row r="11" ht="15" customHeight="1" s="24">
      <c r="A11" s="27" t="n">
        <v>3863</v>
      </c>
      <c r="B11" s="27" t="inlineStr">
        <is>
          <t>Build it Mokopane Park</t>
        </is>
      </c>
      <c r="C11" s="27" t="inlineStr">
        <is>
          <t>Build it</t>
        </is>
      </c>
      <c r="D11" s="27" t="inlineStr">
        <is>
          <t>Limpopo</t>
        </is>
      </c>
      <c r="E11" s="27" t="inlineStr">
        <is>
          <t>Mokopane</t>
        </is>
      </c>
      <c r="F11" s="27" t="n">
        <v>-24.892049</v>
      </c>
      <c r="G11" s="27" t="n">
        <v>30.306525</v>
      </c>
      <c r="H11" s="41" t="n">
        <v>44791</v>
      </c>
      <c r="I11" s="27" t="n">
        <v>35</v>
      </c>
      <c r="J11" s="27" t="inlineStr">
        <is>
          <t>Active</t>
        </is>
      </c>
    </row>
    <row r="12" ht="15" customHeight="1" s="24">
      <c r="A12" s="27" t="n">
        <v>753</v>
      </c>
      <c r="B12" s="27" t="inlineStr">
        <is>
          <t>Clicks Cape Town Park</t>
        </is>
      </c>
      <c r="C12" s="27" t="inlineStr">
        <is>
          <t>Clicks</t>
        </is>
      </c>
      <c r="D12" s="27" t="inlineStr">
        <is>
          <t>Western Cape</t>
        </is>
      </c>
      <c r="E12" s="27" t="inlineStr">
        <is>
          <t>Cape Town</t>
        </is>
      </c>
      <c r="F12" s="27" t="n">
        <v>-33.631004</v>
      </c>
      <c r="G12" s="27" t="n">
        <v>22.582231</v>
      </c>
      <c r="H12" s="41" t="n">
        <v>44326</v>
      </c>
      <c r="I12" s="27" t="n">
        <v>20</v>
      </c>
      <c r="J12" s="27" t="inlineStr">
        <is>
          <t>Active</t>
        </is>
      </c>
    </row>
    <row r="13" ht="15" customHeight="1" s="24">
      <c r="A13" s="27" t="n">
        <v>1548</v>
      </c>
      <c r="B13" s="27" t="inlineStr">
        <is>
          <t>Build it Bellville Square</t>
        </is>
      </c>
      <c r="C13" s="27" t="inlineStr">
        <is>
          <t>Build it</t>
        </is>
      </c>
      <c r="D13" s="27" t="inlineStr">
        <is>
          <t>Western Cape</t>
        </is>
      </c>
      <c r="E13" s="27" t="inlineStr">
        <is>
          <t>Bellville</t>
        </is>
      </c>
      <c r="F13" s="27" t="n">
        <v>-31.598204</v>
      </c>
      <c r="G13" s="27" t="n">
        <v>18.468107</v>
      </c>
      <c r="H13" s="41" t="n">
        <v>42869</v>
      </c>
      <c r="I13" s="27" t="n">
        <v>120</v>
      </c>
      <c r="J13" s="27" t="inlineStr">
        <is>
          <t>Active</t>
        </is>
      </c>
    </row>
    <row r="14" ht="15" customHeight="1" s="24">
      <c r="A14" s="27" t="n">
        <v>2565</v>
      </c>
      <c r="B14" s="27" t="inlineStr">
        <is>
          <t>Independent Spaza Gqeberha Junction</t>
        </is>
      </c>
      <c r="C14" s="27" t="inlineStr">
        <is>
          <t>Independent Spaza</t>
        </is>
      </c>
      <c r="D14" s="27" t="inlineStr">
        <is>
          <t>Eastern Cape</t>
        </is>
      </c>
      <c r="E14" s="27" t="inlineStr">
        <is>
          <t>Gqeberha</t>
        </is>
      </c>
      <c r="F14" s="27" t="n">
        <v>-33.881275</v>
      </c>
      <c r="G14" s="27" t="n">
        <v>25.761381</v>
      </c>
      <c r="H14" s="41" t="n">
        <v>44991</v>
      </c>
      <c r="I14" s="27" t="n">
        <v>120</v>
      </c>
      <c r="J14" s="27" t="inlineStr">
        <is>
          <t>Active</t>
        </is>
      </c>
    </row>
    <row r="15" ht="15" customHeight="1" s="24">
      <c r="A15" s="27" t="n">
        <v>1478</v>
      </c>
      <c r="B15" s="27" t="inlineStr">
        <is>
          <t>PEP Umhlanga Park</t>
        </is>
      </c>
      <c r="C15" s="27" t="inlineStr">
        <is>
          <t>PEP</t>
        </is>
      </c>
      <c r="D15" s="27" t="inlineStr">
        <is>
          <t>KwaZulu-Natal</t>
        </is>
      </c>
      <c r="E15" s="27" t="inlineStr">
        <is>
          <t>Umhlanga</t>
        </is>
      </c>
      <c r="F15" s="27" t="n">
        <v>-27.851114</v>
      </c>
      <c r="G15" s="27" t="n">
        <v>31.284227</v>
      </c>
      <c r="H15" s="41" t="n">
        <v>44307</v>
      </c>
      <c r="I15" s="27" t="n">
        <v>200</v>
      </c>
      <c r="J15" s="27" t="inlineStr">
        <is>
          <t>Active</t>
        </is>
      </c>
    </row>
    <row r="16" ht="15" customHeight="1" s="24">
      <c r="A16" s="27" t="n">
        <v>722</v>
      </c>
      <c r="B16" s="27" t="inlineStr">
        <is>
          <t>Independent Spaza Sandton Park</t>
        </is>
      </c>
      <c r="C16" s="27" t="inlineStr">
        <is>
          <t>Independent Spaza</t>
        </is>
      </c>
      <c r="D16" s="27" t="inlineStr">
        <is>
          <t>Gauteng</t>
        </is>
      </c>
      <c r="E16" s="27" t="inlineStr">
        <is>
          <t>Sandton</t>
        </is>
      </c>
      <c r="F16" s="27" t="n">
        <v>-26.113466</v>
      </c>
      <c r="G16" s="27" t="n">
        <v>28.457714</v>
      </c>
      <c r="H16" s="41" t="n">
        <v>44293</v>
      </c>
      <c r="I16" s="27" t="n">
        <v>20</v>
      </c>
      <c r="J16" s="27" t="inlineStr">
        <is>
          <t>Active</t>
        </is>
      </c>
    </row>
    <row r="17" ht="15" customHeight="1" s="24">
      <c r="A17" s="27" t="n">
        <v>1852</v>
      </c>
      <c r="B17" s="27" t="inlineStr">
        <is>
          <t>Waltons Secunda Junction</t>
        </is>
      </c>
      <c r="C17" s="27" t="inlineStr">
        <is>
          <t>Waltons</t>
        </is>
      </c>
      <c r="D17" s="27" t="inlineStr">
        <is>
          <t>Mpumalanga</t>
        </is>
      </c>
      <c r="E17" s="27" t="inlineStr">
        <is>
          <t>Secunda</t>
        </is>
      </c>
      <c r="F17" s="27" t="n">
        <v>-25.539503</v>
      </c>
      <c r="G17" s="27" t="n">
        <v>31.627672</v>
      </c>
      <c r="H17" s="41" t="n">
        <v>44336</v>
      </c>
      <c r="I17" s="27" t="n">
        <v>35</v>
      </c>
      <c r="J17" s="27" t="inlineStr">
        <is>
          <t>Active</t>
        </is>
      </c>
    </row>
    <row r="18" ht="15" customHeight="1" s="24">
      <c r="A18" s="27" t="n">
        <v>2972</v>
      </c>
      <c r="B18" s="27" t="inlineStr">
        <is>
          <t xml:space="preserve">Clicks Sandton </t>
        </is>
      </c>
      <c r="C18" s="27" t="inlineStr">
        <is>
          <t>Clicks</t>
        </is>
      </c>
      <c r="D18" s="27" t="inlineStr">
        <is>
          <t>Gauteng</t>
        </is>
      </c>
      <c r="E18" s="27" t="inlineStr">
        <is>
          <t>Sandton</t>
        </is>
      </c>
      <c r="F18" s="27" t="n">
        <v>-25.575531</v>
      </c>
      <c r="G18" s="27" t="n">
        <v>27.593792</v>
      </c>
      <c r="H18" s="41" t="n">
        <v>45019</v>
      </c>
      <c r="I18" s="27" t="n">
        <v>120</v>
      </c>
      <c r="J18" s="27" t="inlineStr">
        <is>
          <t>Active</t>
        </is>
      </c>
    </row>
    <row r="19" ht="15" customHeight="1" s="24">
      <c r="A19" s="27" t="n">
        <v>1972</v>
      </c>
      <c r="B19" s="27" t="inlineStr">
        <is>
          <t>Caltex Freshstop Pietermaritzburg Central</t>
        </is>
      </c>
      <c r="C19" s="27" t="inlineStr">
        <is>
          <t>Caltex Freshstop</t>
        </is>
      </c>
      <c r="D19" s="27" t="inlineStr">
        <is>
          <t>KwaZulu-Natal</t>
        </is>
      </c>
      <c r="E19" s="27" t="inlineStr">
        <is>
          <t>Pietermaritzburg</t>
        </is>
      </c>
      <c r="F19" s="27" t="n">
        <v>-27.084165</v>
      </c>
      <c r="G19" s="27" t="n">
        <v>31.678913</v>
      </c>
      <c r="H19" s="41" t="n">
        <v>45557</v>
      </c>
      <c r="I19" s="27" t="n">
        <v>20</v>
      </c>
      <c r="J19" s="27" t="inlineStr">
        <is>
          <t>Active</t>
        </is>
      </c>
    </row>
    <row r="20" ht="15" customHeight="1" s="24">
      <c r="A20" s="27" t="n">
        <v>3638</v>
      </c>
      <c r="B20" s="27" t="inlineStr">
        <is>
          <t>Waltons Mokopane Central</t>
        </is>
      </c>
      <c r="C20" s="27" t="inlineStr">
        <is>
          <t>Waltons</t>
        </is>
      </c>
      <c r="D20" s="27" t="inlineStr">
        <is>
          <t>Limpopo</t>
        </is>
      </c>
      <c r="E20" s="27" t="inlineStr">
        <is>
          <t>Mokopane</t>
        </is>
      </c>
      <c r="F20" s="27" t="n">
        <v>-23.564432</v>
      </c>
      <c r="G20" s="27" t="n">
        <v>27.613193</v>
      </c>
      <c r="H20" s="41" t="n">
        <v>44714</v>
      </c>
      <c r="I20" s="27" t="n">
        <v>20</v>
      </c>
      <c r="J20" s="27" t="inlineStr">
        <is>
          <t>Active</t>
        </is>
      </c>
    </row>
    <row r="21" ht="15" customHeight="1" s="24">
      <c r="A21" s="27" t="n">
        <v>454</v>
      </c>
      <c r="B21" s="27" t="inlineStr">
        <is>
          <t>Spar Mbombela Central</t>
        </is>
      </c>
      <c r="C21" s="27" t="inlineStr">
        <is>
          <t>Spar</t>
        </is>
      </c>
      <c r="D21" s="27" t="inlineStr">
        <is>
          <t>Mpumalanga</t>
        </is>
      </c>
      <c r="E21" s="27" t="inlineStr">
        <is>
          <t>Mbombela</t>
        </is>
      </c>
      <c r="F21" s="27" t="n">
        <v>-25.335802</v>
      </c>
      <c r="G21" s="27" t="n">
        <v>31.936339</v>
      </c>
      <c r="H21" s="41" t="n">
        <v>44543</v>
      </c>
      <c r="I21" s="27" t="n">
        <v>20</v>
      </c>
      <c r="J21" s="27" t="inlineStr">
        <is>
          <t>Active</t>
        </is>
      </c>
    </row>
    <row r="22" ht="15" customHeight="1" s="24">
      <c r="A22" s="27" t="n">
        <v>3584</v>
      </c>
      <c r="B22" s="27" t="inlineStr">
        <is>
          <t>PEP Sandton Square</t>
        </is>
      </c>
      <c r="C22" s="27" t="inlineStr">
        <is>
          <t>PEP</t>
        </is>
      </c>
      <c r="D22" s="27" t="inlineStr">
        <is>
          <t>Gauteng</t>
        </is>
      </c>
      <c r="E22" s="27" t="inlineStr">
        <is>
          <t>Sandton</t>
        </is>
      </c>
      <c r="F22" s="27" t="n">
        <v>-26.341193</v>
      </c>
      <c r="G22" s="27" t="n">
        <v>28.222485</v>
      </c>
      <c r="H22" s="41" t="n">
        <v>45507</v>
      </c>
      <c r="I22" s="27" t="n">
        <v>50</v>
      </c>
      <c r="J22" s="27" t="inlineStr">
        <is>
          <t>Active</t>
        </is>
      </c>
    </row>
    <row r="23" ht="15" customHeight="1" s="24">
      <c r="A23" s="27" t="n">
        <v>452</v>
      </c>
      <c r="B23" s="27" t="inlineStr">
        <is>
          <t>PostNet Roodepoort Park</t>
        </is>
      </c>
      <c r="C23" s="27" t="inlineStr">
        <is>
          <t>PostNet</t>
        </is>
      </c>
      <c r="D23" s="27" t="inlineStr">
        <is>
          <t>Gauteng</t>
        </is>
      </c>
      <c r="E23" s="27" t="inlineStr">
        <is>
          <t>Roodepoort</t>
        </is>
      </c>
      <c r="F23" s="27" t="n">
        <v>-26.494283</v>
      </c>
      <c r="G23" s="27" t="n">
        <v>28.807313</v>
      </c>
      <c r="H23" s="41" t="n">
        <v>44831</v>
      </c>
      <c r="I23" s="27" t="n">
        <v>120</v>
      </c>
      <c r="J23" s="27" t="inlineStr">
        <is>
          <t>Active</t>
        </is>
      </c>
    </row>
    <row r="24" ht="15" customHeight="1" s="24">
      <c r="A24" s="27" t="n">
        <v>780</v>
      </c>
      <c r="B24" s="27" t="inlineStr">
        <is>
          <t>Clicks Johannesburg Square</t>
        </is>
      </c>
      <c r="C24" s="27" t="inlineStr">
        <is>
          <t>Clicks</t>
        </is>
      </c>
      <c r="D24" s="27" t="inlineStr">
        <is>
          <t>Gauteng</t>
        </is>
      </c>
      <c r="E24" s="27" t="inlineStr">
        <is>
          <t>Johannesburg</t>
        </is>
      </c>
      <c r="F24" s="27" t="n">
        <v>-26.196928</v>
      </c>
      <c r="G24" s="27" t="n">
        <v>29.085959</v>
      </c>
      <c r="H24" s="41" t="n">
        <v>44619</v>
      </c>
      <c r="I24" s="27" t="n">
        <v>35</v>
      </c>
      <c r="J24" s="27" t="inlineStr">
        <is>
          <t>Suspended</t>
        </is>
      </c>
    </row>
    <row r="25" ht="15" customHeight="1" s="24">
      <c r="A25" s="27" t="n">
        <v>1603</v>
      </c>
      <c r="B25" s="27" t="inlineStr">
        <is>
          <t>PostNet Tzaneen Park</t>
        </is>
      </c>
      <c r="C25" s="27" t="inlineStr">
        <is>
          <t>PostNet</t>
        </is>
      </c>
      <c r="D25" s="27" t="inlineStr">
        <is>
          <t>Limpopo</t>
        </is>
      </c>
      <c r="E25" s="27" t="inlineStr">
        <is>
          <t>Tzaneen</t>
        </is>
      </c>
      <c r="F25" s="27" t="n">
        <v>-24.154743</v>
      </c>
      <c r="G25" s="27" t="n">
        <v>28.981929</v>
      </c>
      <c r="H25" s="41" t="n">
        <v>42849</v>
      </c>
      <c r="I25" s="27" t="n">
        <v>50</v>
      </c>
      <c r="J25" s="27" t="inlineStr">
        <is>
          <t>Active</t>
        </is>
      </c>
    </row>
    <row r="26" ht="15" customHeight="1" s="24">
      <c r="A26" s="27" t="n">
        <v>1928</v>
      </c>
      <c r="B26" s="27" t="inlineStr">
        <is>
          <t xml:space="preserve">Clicks Klerksdorp </t>
        </is>
      </c>
      <c r="C26" s="27" t="inlineStr">
        <is>
          <t>Clicks</t>
        </is>
      </c>
      <c r="D26" s="27" t="inlineStr">
        <is>
          <t>North West</t>
        </is>
      </c>
      <c r="E26" s="27" t="inlineStr">
        <is>
          <t>Klerksdorp</t>
        </is>
      </c>
      <c r="F26" s="27" t="n">
        <v>-26.33502</v>
      </c>
      <c r="G26" s="27" t="n">
        <v>27.22106</v>
      </c>
      <c r="H26" s="41" t="n">
        <v>45476</v>
      </c>
      <c r="I26" s="27" t="n">
        <v>20</v>
      </c>
      <c r="J26" s="27" t="inlineStr">
        <is>
          <t>Active</t>
        </is>
      </c>
    </row>
    <row r="27" ht="15" customHeight="1" s="24">
      <c r="A27" s="27" t="n">
        <v>1092</v>
      </c>
      <c r="B27" s="27" t="inlineStr">
        <is>
          <t xml:space="preserve">PostNet Cape Town </t>
        </is>
      </c>
      <c r="C27" s="27" t="inlineStr">
        <is>
          <t>PostNet</t>
        </is>
      </c>
      <c r="D27" s="27" t="inlineStr">
        <is>
          <t>Western Cape</t>
        </is>
      </c>
      <c r="E27" s="27" t="inlineStr">
        <is>
          <t>Cape Town</t>
        </is>
      </c>
      <c r="F27" s="27" t="n">
        <v>-32.138801</v>
      </c>
      <c r="G27" s="27" t="n">
        <v>22.126479</v>
      </c>
      <c r="H27" s="41" t="n">
        <v>42609</v>
      </c>
      <c r="I27" s="27" t="n">
        <v>120</v>
      </c>
      <c r="J27" s="27" t="inlineStr">
        <is>
          <t>Active</t>
        </is>
      </c>
    </row>
    <row r="28" ht="15" customHeight="1" s="24">
      <c r="A28" s="27" t="n">
        <v>3684</v>
      </c>
      <c r="B28" s="27" t="inlineStr">
        <is>
          <t>Waltons Rustenburg Park</t>
        </is>
      </c>
      <c r="C28" s="27" t="inlineStr">
        <is>
          <t>Waltons</t>
        </is>
      </c>
      <c r="D28" s="27" t="inlineStr">
        <is>
          <t>North West</t>
        </is>
      </c>
      <c r="E28" s="27" t="inlineStr">
        <is>
          <t>Rustenburg</t>
        </is>
      </c>
      <c r="F28" s="27" t="n">
        <v>-26.268241</v>
      </c>
      <c r="G28" s="27" t="n">
        <v>25.583969</v>
      </c>
      <c r="H28" s="41" t="n">
        <v>45128</v>
      </c>
      <c r="I28" s="27" t="n">
        <v>35</v>
      </c>
      <c r="J28" s="27" t="inlineStr">
        <is>
          <t>Suspended</t>
        </is>
      </c>
    </row>
    <row r="29" ht="15" customHeight="1" s="24">
      <c r="A29" s="27" t="n">
        <v>2630</v>
      </c>
      <c r="B29" s="27" t="inlineStr">
        <is>
          <t>Clicks Bellville Square</t>
        </is>
      </c>
      <c r="C29" s="27" t="inlineStr">
        <is>
          <t>Clicks</t>
        </is>
      </c>
      <c r="D29" s="27" t="inlineStr">
        <is>
          <t>Western Cape</t>
        </is>
      </c>
      <c r="E29" s="27" t="inlineStr">
        <is>
          <t>Bellville</t>
        </is>
      </c>
      <c r="F29" s="27" t="n">
        <v>-32.006691</v>
      </c>
      <c r="G29" s="27" t="n">
        <v>21.957734</v>
      </c>
      <c r="H29" s="41" t="n">
        <v>42463</v>
      </c>
      <c r="I29" s="27" t="n">
        <v>50</v>
      </c>
      <c r="J29" s="27" t="inlineStr">
        <is>
          <t>Active</t>
        </is>
      </c>
    </row>
    <row r="30" ht="15" customHeight="1" s="24">
      <c r="A30" s="27" t="n">
        <v>1817</v>
      </c>
      <c r="B30" s="27" t="inlineStr">
        <is>
          <t>Clicks George Park</t>
        </is>
      </c>
      <c r="C30" s="27" t="inlineStr">
        <is>
          <t>Clicks</t>
        </is>
      </c>
      <c r="D30" s="27" t="inlineStr">
        <is>
          <t>Western Cape</t>
        </is>
      </c>
      <c r="E30" s="27" t="inlineStr">
        <is>
          <t>George</t>
        </is>
      </c>
      <c r="F30" s="27" t="n">
        <v>-32.882406</v>
      </c>
      <c r="G30" s="27" t="n">
        <v>19.83384</v>
      </c>
      <c r="H30" s="41" t="n">
        <v>42810</v>
      </c>
      <c r="I30" s="27" t="n">
        <v>120</v>
      </c>
      <c r="J30" s="27" t="inlineStr">
        <is>
          <t>Active</t>
        </is>
      </c>
    </row>
    <row r="31" ht="15" customHeight="1" s="24">
      <c r="A31" s="27" t="n">
        <v>2596</v>
      </c>
      <c r="B31" s="27" t="inlineStr">
        <is>
          <t>Caltex Freshstop Pretoria Mall</t>
        </is>
      </c>
      <c r="C31" s="27" t="inlineStr">
        <is>
          <t>Caltex Freshstop</t>
        </is>
      </c>
      <c r="D31" s="27" t="inlineStr">
        <is>
          <t>Gauteng</t>
        </is>
      </c>
      <c r="E31" s="27" t="inlineStr">
        <is>
          <t>Pretoria</t>
        </is>
      </c>
      <c r="F31" s="27" t="n">
        <v>-25.498907</v>
      </c>
      <c r="G31" s="27" t="n">
        <v>28.077413</v>
      </c>
      <c r="H31" s="41" t="n">
        <v>45830</v>
      </c>
      <c r="I31" s="27" t="n">
        <v>35</v>
      </c>
      <c r="J31" s="27" t="inlineStr">
        <is>
          <t>Active</t>
        </is>
      </c>
    </row>
    <row r="32" ht="15" customHeight="1" s="24">
      <c r="A32" s="27" t="n">
        <v>494</v>
      </c>
      <c r="B32" s="27" t="inlineStr">
        <is>
          <t>Build it Johannesburg Central</t>
        </is>
      </c>
      <c r="C32" s="27" t="inlineStr">
        <is>
          <t>Build it</t>
        </is>
      </c>
      <c r="D32" s="27" t="inlineStr">
        <is>
          <t>Gauteng</t>
        </is>
      </c>
      <c r="E32" s="27" t="inlineStr">
        <is>
          <t>Johannesburg</t>
        </is>
      </c>
      <c r="F32" s="27" t="n">
        <v>-25.289797</v>
      </c>
      <c r="G32" s="27" t="n">
        <v>27.306052</v>
      </c>
      <c r="H32" s="41" t="n">
        <v>42388</v>
      </c>
      <c r="I32" s="27" t="n">
        <v>50</v>
      </c>
      <c r="J32" s="27" t="inlineStr">
        <is>
          <t>Active</t>
        </is>
      </c>
    </row>
    <row r="33" ht="15" customHeight="1" s="24">
      <c r="A33" s="27" t="n">
        <v>3211</v>
      </c>
      <c r="B33" s="27" t="inlineStr">
        <is>
          <t>Clicks Kimberley Square</t>
        </is>
      </c>
      <c r="C33" s="27" t="inlineStr">
        <is>
          <t>Clicks</t>
        </is>
      </c>
      <c r="D33" s="27" t="inlineStr">
        <is>
          <t>Northern Cape</t>
        </is>
      </c>
      <c r="E33" s="27" t="inlineStr">
        <is>
          <t>Kimberley</t>
        </is>
      </c>
      <c r="F33" s="27" t="n">
        <v>-30.691582</v>
      </c>
      <c r="G33" s="27" t="n">
        <v>20.133613</v>
      </c>
      <c r="H33" s="41" t="n">
        <v>44368</v>
      </c>
      <c r="I33" s="27" t="n">
        <v>50</v>
      </c>
      <c r="J33" s="27" t="inlineStr">
        <is>
          <t>Active</t>
        </is>
      </c>
    </row>
    <row r="34" ht="15" customHeight="1" s="24">
      <c r="A34" s="27" t="n">
        <v>3857</v>
      </c>
      <c r="B34" s="27" t="inlineStr">
        <is>
          <t>PostNet Benoni Central</t>
        </is>
      </c>
      <c r="C34" s="27" t="inlineStr">
        <is>
          <t>PostNet</t>
        </is>
      </c>
      <c r="D34" s="27" t="inlineStr">
        <is>
          <t>Gauteng</t>
        </is>
      </c>
      <c r="E34" s="27" t="inlineStr">
        <is>
          <t>Benoni</t>
        </is>
      </c>
      <c r="F34" s="27" t="n">
        <v>-25.480608</v>
      </c>
      <c r="G34" s="27" t="n">
        <v>28.144242</v>
      </c>
      <c r="H34" s="41" t="n">
        <v>42886</v>
      </c>
      <c r="I34" s="27" t="n">
        <v>80</v>
      </c>
      <c r="J34" s="27" t="inlineStr">
        <is>
          <t>Active</t>
        </is>
      </c>
    </row>
    <row r="35" ht="15" customHeight="1" s="24">
      <c r="A35" s="27" t="n">
        <v>245</v>
      </c>
      <c r="B35" s="27" t="inlineStr">
        <is>
          <t>Build it Pretoria Plaza</t>
        </is>
      </c>
      <c r="C35" s="27" t="inlineStr">
        <is>
          <t>Build it</t>
        </is>
      </c>
      <c r="D35" s="27" t="inlineStr">
        <is>
          <t>Gauteng</t>
        </is>
      </c>
      <c r="E35" s="27" t="inlineStr">
        <is>
          <t>Pretoria</t>
        </is>
      </c>
      <c r="F35" s="27" t="n">
        <v>-26.004802</v>
      </c>
      <c r="G35" s="27" t="n">
        <v>29.035676</v>
      </c>
      <c r="H35" s="41" t="n">
        <v>44983</v>
      </c>
      <c r="I35" s="27" t="n">
        <v>35</v>
      </c>
      <c r="J35" s="27" t="inlineStr">
        <is>
          <t>Active</t>
        </is>
      </c>
    </row>
    <row r="36" ht="15" customHeight="1" s="24">
      <c r="A36" s="27" t="n">
        <v>3348</v>
      </c>
      <c r="B36" s="27" t="inlineStr">
        <is>
          <t>Caltex Freshstop Soweto Mall</t>
        </is>
      </c>
      <c r="C36" s="27" t="inlineStr">
        <is>
          <t>Caltex Freshstop</t>
        </is>
      </c>
      <c r="D36" s="27" t="inlineStr">
        <is>
          <t>Gauteng</t>
        </is>
      </c>
      <c r="E36" s="27" t="inlineStr">
        <is>
          <t>Soweto</t>
        </is>
      </c>
      <c r="F36" s="27" t="n">
        <v>-25.884195</v>
      </c>
      <c r="G36" s="27" t="n">
        <v>27.317141</v>
      </c>
      <c r="H36" s="41" t="n">
        <v>43575</v>
      </c>
      <c r="I36" s="27" t="n">
        <v>35</v>
      </c>
      <c r="J36" s="27" t="inlineStr">
        <is>
          <t>Active</t>
        </is>
      </c>
    </row>
    <row r="37" ht="15" customHeight="1" s="24">
      <c r="A37" s="27" t="n">
        <v>2732</v>
      </c>
      <c r="B37" s="27" t="inlineStr">
        <is>
          <t>Spar Rustenburg Mall</t>
        </is>
      </c>
      <c r="C37" s="27" t="inlineStr">
        <is>
          <t>Spar</t>
        </is>
      </c>
      <c r="D37" s="27" t="inlineStr">
        <is>
          <t>North West</t>
        </is>
      </c>
      <c r="E37" s="27" t="inlineStr">
        <is>
          <t>Rustenburg</t>
        </is>
      </c>
      <c r="F37" s="27" t="n">
        <v>-26.269135</v>
      </c>
      <c r="G37" s="27" t="n">
        <v>27.114152</v>
      </c>
      <c r="H37" s="41" t="n">
        <v>44330</v>
      </c>
      <c r="I37" s="27" t="n">
        <v>50</v>
      </c>
      <c r="J37" s="27" t="inlineStr">
        <is>
          <t>Active</t>
        </is>
      </c>
    </row>
    <row r="38" ht="15" customHeight="1" s="24">
      <c r="A38" s="27" t="n">
        <v>379</v>
      </c>
      <c r="B38" s="27" t="inlineStr">
        <is>
          <t>Clicks East London Junction</t>
        </is>
      </c>
      <c r="C38" s="27" t="inlineStr">
        <is>
          <t>Clicks</t>
        </is>
      </c>
      <c r="D38" s="27" t="inlineStr">
        <is>
          <t>Eastern Cape</t>
        </is>
      </c>
      <c r="E38" s="27" t="inlineStr">
        <is>
          <t>East London</t>
        </is>
      </c>
      <c r="F38" s="27" t="n">
        <v>-32.843196</v>
      </c>
      <c r="G38" s="27" t="n">
        <v>28.824971</v>
      </c>
      <c r="H38" s="41" t="n">
        <v>44383</v>
      </c>
      <c r="I38" s="27" t="n">
        <v>35</v>
      </c>
      <c r="J38" s="27" t="inlineStr">
        <is>
          <t>Active</t>
        </is>
      </c>
    </row>
    <row r="39" ht="15" customHeight="1" s="24">
      <c r="A39" s="27" t="n">
        <v>190</v>
      </c>
      <c r="B39" s="27" t="inlineStr">
        <is>
          <t>Caltex Freshstop Rustenburg Mall</t>
        </is>
      </c>
      <c r="C39" s="27" t="inlineStr">
        <is>
          <t>Caltex Freshstop</t>
        </is>
      </c>
      <c r="D39" s="27" t="inlineStr">
        <is>
          <t>North West</t>
        </is>
      </c>
      <c r="E39" s="27" t="inlineStr">
        <is>
          <t>Rustenburg</t>
        </is>
      </c>
      <c r="F39" s="27" t="n">
        <v>-25.001103</v>
      </c>
      <c r="G39" s="27" t="n">
        <v>27.194047</v>
      </c>
      <c r="H39" s="41" t="n">
        <v>43269</v>
      </c>
      <c r="I39" s="27" t="n">
        <v>35</v>
      </c>
      <c r="J39" s="27" t="inlineStr">
        <is>
          <t>Active</t>
        </is>
      </c>
    </row>
    <row r="40" ht="15" customHeight="1" s="24">
      <c r="A40" s="27" t="n">
        <v>3172</v>
      </c>
      <c r="B40" s="27" t="inlineStr">
        <is>
          <t>Clicks Umhlanga Plaza</t>
        </is>
      </c>
      <c r="C40" s="27" t="inlineStr">
        <is>
          <t>Clicks</t>
        </is>
      </c>
      <c r="D40" s="27" t="inlineStr">
        <is>
          <t>KwaZulu-Natal</t>
        </is>
      </c>
      <c r="E40" s="27" t="inlineStr">
        <is>
          <t>Umhlanga</t>
        </is>
      </c>
      <c r="F40" s="27" t="n">
        <v>-29.982849</v>
      </c>
      <c r="G40" s="27" t="n">
        <v>31.841276</v>
      </c>
      <c r="H40" s="41" t="n">
        <v>44902</v>
      </c>
      <c r="I40" s="27" t="n">
        <v>80</v>
      </c>
      <c r="J40" s="27" t="inlineStr">
        <is>
          <t>Active</t>
        </is>
      </c>
    </row>
    <row r="41" ht="15" customHeight="1" s="24">
      <c r="A41" s="27" t="n">
        <v>2611</v>
      </c>
      <c r="B41" s="27" t="inlineStr">
        <is>
          <t>Spar Thohoyandou Park</t>
        </is>
      </c>
      <c r="C41" s="27" t="inlineStr">
        <is>
          <t>Spar</t>
        </is>
      </c>
      <c r="D41" s="27" t="inlineStr">
        <is>
          <t>Limpopo</t>
        </is>
      </c>
      <c r="E41" s="27" t="inlineStr">
        <is>
          <t>Thohoyandou</t>
        </is>
      </c>
      <c r="F41" s="27" t="n">
        <v>-23.125661</v>
      </c>
      <c r="G41" s="27" t="n">
        <v>28.381336</v>
      </c>
      <c r="H41" s="41" t="n">
        <v>44361</v>
      </c>
      <c r="I41" s="27" t="n">
        <v>35</v>
      </c>
      <c r="J41" s="27" t="inlineStr">
        <is>
          <t>Active</t>
        </is>
      </c>
    </row>
    <row r="42" ht="15" customHeight="1" s="24">
      <c r="A42" s="27" t="n">
        <v>3679</v>
      </c>
      <c r="B42" s="27" t="inlineStr">
        <is>
          <t>Clicks Paarl Central</t>
        </is>
      </c>
      <c r="C42" s="27" t="inlineStr">
        <is>
          <t>Clicks</t>
        </is>
      </c>
      <c r="D42" s="27" t="inlineStr">
        <is>
          <t>Western Cape</t>
        </is>
      </c>
      <c r="E42" s="27" t="inlineStr">
        <is>
          <t>Paarl</t>
        </is>
      </c>
      <c r="F42" s="27" t="n">
        <v>-34.420184</v>
      </c>
      <c r="G42" s="27" t="n">
        <v>18.076836</v>
      </c>
      <c r="H42" s="41" t="n">
        <v>44833</v>
      </c>
      <c r="I42" s="27" t="n">
        <v>35</v>
      </c>
      <c r="J42" s="27" t="inlineStr">
        <is>
          <t>Active</t>
        </is>
      </c>
    </row>
    <row r="43" ht="15" customHeight="1" s="24">
      <c r="A43" s="27" t="n">
        <v>784</v>
      </c>
      <c r="B43" s="27" t="inlineStr">
        <is>
          <t>PEP Bellville Junction</t>
        </is>
      </c>
      <c r="C43" s="27" t="inlineStr">
        <is>
          <t>PEP</t>
        </is>
      </c>
      <c r="D43" s="27" t="inlineStr">
        <is>
          <t>Western Cape</t>
        </is>
      </c>
      <c r="E43" s="27" t="inlineStr">
        <is>
          <t>Bellville</t>
        </is>
      </c>
      <c r="F43" s="27" t="n">
        <v>-34.308792</v>
      </c>
      <c r="G43" s="27" t="n">
        <v>20.433825</v>
      </c>
      <c r="H43" s="41" t="n">
        <v>43676</v>
      </c>
      <c r="I43" s="27" t="n">
        <v>50</v>
      </c>
      <c r="J43" s="27" t="inlineStr">
        <is>
          <t>Active</t>
        </is>
      </c>
    </row>
    <row r="44" ht="15" customHeight="1" s="24">
      <c r="A44" s="27" t="n">
        <v>2840</v>
      </c>
      <c r="B44" s="27" t="inlineStr">
        <is>
          <t>Clicks Gqeberha Mall</t>
        </is>
      </c>
      <c r="C44" s="27" t="inlineStr">
        <is>
          <t>Clicks</t>
        </is>
      </c>
      <c r="D44" s="27" t="inlineStr">
        <is>
          <t>Eastern Cape</t>
        </is>
      </c>
      <c r="E44" s="27" t="inlineStr">
        <is>
          <t>Gqeberha</t>
        </is>
      </c>
      <c r="F44" s="27" t="n">
        <v>-32.566688</v>
      </c>
      <c r="G44" s="27" t="n">
        <v>27.817108</v>
      </c>
      <c r="H44" s="41" t="n">
        <v>43485</v>
      </c>
      <c r="I44" s="27" t="n">
        <v>120</v>
      </c>
      <c r="J44" s="27" t="inlineStr">
        <is>
          <t>Active</t>
        </is>
      </c>
    </row>
    <row r="45" ht="15" customHeight="1" s="24">
      <c r="A45" s="27" t="n">
        <v>3691</v>
      </c>
      <c r="B45" s="27" t="inlineStr">
        <is>
          <t>Caltex Freshstop Klerksdorp Plaza</t>
        </is>
      </c>
      <c r="C45" s="27" t="inlineStr">
        <is>
          <t>Caltex Freshstop</t>
        </is>
      </c>
      <c r="D45" s="27" t="inlineStr">
        <is>
          <t>North West</t>
        </is>
      </c>
      <c r="E45" s="27" t="inlineStr">
        <is>
          <t>Klerksdorp</t>
        </is>
      </c>
      <c r="F45" s="27" t="n">
        <v>-25.699364</v>
      </c>
      <c r="G45" s="27" t="n">
        <v>26.831637</v>
      </c>
      <c r="H45" s="41" t="n">
        <v>45346</v>
      </c>
      <c r="I45" s="27" t="n">
        <v>35</v>
      </c>
      <c r="J45" s="27" t="inlineStr">
        <is>
          <t>Active</t>
        </is>
      </c>
    </row>
    <row r="46" ht="15" customHeight="1" s="24">
      <c r="A46" s="27" t="n">
        <v>1860</v>
      </c>
      <c r="B46" s="27" t="inlineStr">
        <is>
          <t>Caltex Freshstop Gqeberha Plaza</t>
        </is>
      </c>
      <c r="C46" s="27" t="inlineStr">
        <is>
          <t>Caltex Freshstop</t>
        </is>
      </c>
      <c r="D46" s="27" t="inlineStr">
        <is>
          <t>Eastern Cape</t>
        </is>
      </c>
      <c r="E46" s="27" t="inlineStr">
        <is>
          <t>Gqeberha</t>
        </is>
      </c>
      <c r="F46" s="27" t="n">
        <v>-31.475484</v>
      </c>
      <c r="G46" s="27" t="n">
        <v>24.846872</v>
      </c>
      <c r="H46" s="41" t="n">
        <v>44263</v>
      </c>
      <c r="I46" s="27" t="n">
        <v>120</v>
      </c>
      <c r="J46" s="27" t="inlineStr">
        <is>
          <t>Active</t>
        </is>
      </c>
    </row>
    <row r="47" ht="15" customHeight="1" s="24">
      <c r="A47" s="27" t="n">
        <v>345</v>
      </c>
      <c r="B47" s="27" t="inlineStr">
        <is>
          <t>Clicks Mokopane Central</t>
        </is>
      </c>
      <c r="C47" s="27" t="inlineStr">
        <is>
          <t>Clicks</t>
        </is>
      </c>
      <c r="D47" s="27" t="inlineStr">
        <is>
          <t>Limpopo</t>
        </is>
      </c>
      <c r="E47" s="27" t="inlineStr">
        <is>
          <t>Mokopane</t>
        </is>
      </c>
      <c r="F47" s="27" t="n">
        <v>-22.800477</v>
      </c>
      <c r="G47" s="27" t="n">
        <v>28.85037</v>
      </c>
      <c r="H47" s="41" t="n">
        <v>44886</v>
      </c>
      <c r="I47" s="27" t="n">
        <v>80</v>
      </c>
      <c r="J47" s="27" t="inlineStr">
        <is>
          <t>Active</t>
        </is>
      </c>
    </row>
    <row r="48" ht="15" customHeight="1" s="24">
      <c r="A48" s="27" t="n">
        <v>3099</v>
      </c>
      <c r="B48" s="27" t="inlineStr">
        <is>
          <t>Lewis Sandton Square</t>
        </is>
      </c>
      <c r="C48" s="27" t="inlineStr">
        <is>
          <t>Lewis</t>
        </is>
      </c>
      <c r="D48" s="27" t="inlineStr">
        <is>
          <t>Gauteng</t>
        </is>
      </c>
      <c r="E48" s="27" t="inlineStr">
        <is>
          <t>Sandton</t>
        </is>
      </c>
      <c r="F48" s="27" t="n">
        <v>-26.543864</v>
      </c>
      <c r="G48" s="27" t="n">
        <v>27.651878</v>
      </c>
      <c r="H48" s="41" t="n">
        <v>42845</v>
      </c>
      <c r="I48" s="27" t="n">
        <v>35</v>
      </c>
      <c r="J48" s="27" t="inlineStr">
        <is>
          <t>Active</t>
        </is>
      </c>
    </row>
    <row r="49" ht="15" customHeight="1" s="24">
      <c r="A49" s="27" t="n">
        <v>2528</v>
      </c>
      <c r="B49" s="27" t="inlineStr">
        <is>
          <t>PEP Midrand Junction</t>
        </is>
      </c>
      <c r="C49" s="27" t="inlineStr">
        <is>
          <t>PEP</t>
        </is>
      </c>
      <c r="D49" s="27" t="inlineStr">
        <is>
          <t>Gauteng</t>
        </is>
      </c>
      <c r="E49" s="27" t="inlineStr">
        <is>
          <t>Midrand</t>
        </is>
      </c>
      <c r="F49" s="27" t="n">
        <v>-25.249562</v>
      </c>
      <c r="G49" s="27" t="n">
        <v>27.724434</v>
      </c>
      <c r="H49" s="41" t="n">
        <v>43187</v>
      </c>
      <c r="I49" s="27" t="n">
        <v>20</v>
      </c>
      <c r="J49" s="27" t="inlineStr">
        <is>
          <t>Active</t>
        </is>
      </c>
    </row>
    <row r="50" ht="15" customHeight="1" s="24">
      <c r="A50" s="27" t="n">
        <v>3340</v>
      </c>
      <c r="B50" s="27" t="inlineStr">
        <is>
          <t>Clicks Benoni Mall</t>
        </is>
      </c>
      <c r="C50" s="27" t="inlineStr">
        <is>
          <t>Clicks</t>
        </is>
      </c>
      <c r="D50" s="27" t="inlineStr">
        <is>
          <t>Gauteng</t>
        </is>
      </c>
      <c r="E50" s="27" t="inlineStr">
        <is>
          <t>Benoni</t>
        </is>
      </c>
      <c r="F50" s="27" t="n">
        <v>-25.258396</v>
      </c>
      <c r="G50" s="27" t="n">
        <v>29.014872</v>
      </c>
      <c r="H50" s="41" t="n">
        <v>44339</v>
      </c>
      <c r="I50" s="27" t="n">
        <v>80</v>
      </c>
      <c r="J50" s="27" t="inlineStr">
        <is>
          <t>Active</t>
        </is>
      </c>
    </row>
    <row r="51" ht="15" customHeight="1" s="24">
      <c r="A51" s="27" t="n">
        <v>3708</v>
      </c>
      <c r="B51" s="27" t="inlineStr">
        <is>
          <t xml:space="preserve">Clicks Sandton </t>
        </is>
      </c>
      <c r="C51" s="27" t="inlineStr">
        <is>
          <t>Clicks</t>
        </is>
      </c>
      <c r="D51" s="27" t="inlineStr">
        <is>
          <t>Gauteng</t>
        </is>
      </c>
      <c r="E51" s="27" t="inlineStr">
        <is>
          <t>Sandton</t>
        </is>
      </c>
      <c r="F51" s="27" t="n">
        <v>-25.80082</v>
      </c>
      <c r="G51" s="27" t="n">
        <v>28.982973</v>
      </c>
      <c r="H51" s="41" t="n">
        <v>44082</v>
      </c>
      <c r="I51" s="27" t="n">
        <v>20</v>
      </c>
      <c r="J51" s="27" t="inlineStr">
        <is>
          <t>Active</t>
        </is>
      </c>
    </row>
    <row r="52" ht="15" customHeight="1" s="24">
      <c r="A52" s="27" t="n">
        <v>1266</v>
      </c>
      <c r="B52" s="27" t="inlineStr">
        <is>
          <t>Spar Pinetown Mall</t>
        </is>
      </c>
      <c r="C52" s="27" t="inlineStr">
        <is>
          <t>Spar</t>
        </is>
      </c>
      <c r="D52" s="27" t="inlineStr">
        <is>
          <t>KwaZulu-Natal</t>
        </is>
      </c>
      <c r="E52" s="27" t="inlineStr">
        <is>
          <t>Pinetown</t>
        </is>
      </c>
      <c r="F52" s="27" t="n">
        <v>-29.802153</v>
      </c>
      <c r="G52" s="27" t="n">
        <v>29.343783</v>
      </c>
      <c r="H52" s="41" t="n">
        <v>43836</v>
      </c>
      <c r="I52" s="27" t="n">
        <v>50</v>
      </c>
      <c r="J52" s="27" t="inlineStr">
        <is>
          <t>Active</t>
        </is>
      </c>
    </row>
    <row r="53" ht="15" customHeight="1" s="24">
      <c r="A53" s="27" t="n">
        <v>1735</v>
      </c>
      <c r="B53" s="27" t="inlineStr">
        <is>
          <t>Build it Benoni Plaza</t>
        </is>
      </c>
      <c r="C53" s="27" t="inlineStr">
        <is>
          <t>Build it</t>
        </is>
      </c>
      <c r="D53" s="27" t="inlineStr">
        <is>
          <t>Gauteng</t>
        </is>
      </c>
      <c r="E53" s="27" t="inlineStr">
        <is>
          <t>Benoni</t>
        </is>
      </c>
      <c r="F53" s="27" t="n">
        <v>-26.427306</v>
      </c>
      <c r="G53" s="27" t="n">
        <v>27.889292</v>
      </c>
      <c r="H53" s="41" t="n">
        <v>45443</v>
      </c>
      <c r="I53" s="27" t="n">
        <v>80</v>
      </c>
      <c r="J53" s="27" t="inlineStr">
        <is>
          <t>Active</t>
        </is>
      </c>
    </row>
    <row r="54" ht="15" customHeight="1" s="24">
      <c r="A54" s="27" t="n">
        <v>96</v>
      </c>
      <c r="B54" s="27" t="inlineStr">
        <is>
          <t>PEP Bellville Junction</t>
        </is>
      </c>
      <c r="C54" s="27" t="inlineStr">
        <is>
          <t>PEP</t>
        </is>
      </c>
      <c r="D54" s="27" t="inlineStr">
        <is>
          <t>Western Cape</t>
        </is>
      </c>
      <c r="E54" s="27" t="inlineStr">
        <is>
          <t>Bellville</t>
        </is>
      </c>
      <c r="F54" s="27" t="n">
        <v>-33.175072</v>
      </c>
      <c r="G54" s="27" t="n">
        <v>20.373751</v>
      </c>
      <c r="H54" s="41" t="n">
        <v>43920</v>
      </c>
      <c r="I54" s="27" t="n">
        <v>50</v>
      </c>
      <c r="J54" s="27" t="inlineStr">
        <is>
          <t>Active</t>
        </is>
      </c>
    </row>
    <row r="55" ht="15" customHeight="1" s="24">
      <c r="A55" s="27" t="n">
        <v>2298</v>
      </c>
      <c r="B55" s="27" t="inlineStr">
        <is>
          <t>PEP Bethlehem Square</t>
        </is>
      </c>
      <c r="C55" s="27" t="inlineStr">
        <is>
          <t>PEP</t>
        </is>
      </c>
      <c r="D55" s="27" t="inlineStr">
        <is>
          <t>Free State</t>
        </is>
      </c>
      <c r="E55" s="27" t="inlineStr">
        <is>
          <t>Bethlehem</t>
        </is>
      </c>
      <c r="F55" s="27" t="n">
        <v>-27.004169</v>
      </c>
      <c r="G55" s="27" t="n">
        <v>26.704507</v>
      </c>
      <c r="H55" s="41" t="n">
        <v>45207</v>
      </c>
      <c r="I55" s="27" t="n">
        <v>35</v>
      </c>
      <c r="J55" s="27" t="inlineStr">
        <is>
          <t>Active</t>
        </is>
      </c>
    </row>
    <row r="56" ht="15" customHeight="1" s="24">
      <c r="A56" s="27" t="n">
        <v>2987</v>
      </c>
      <c r="B56" s="27" t="inlineStr">
        <is>
          <t>Independent Spaza Richards Bay Central</t>
        </is>
      </c>
      <c r="C56" s="27" t="inlineStr">
        <is>
          <t>Independent Spaza</t>
        </is>
      </c>
      <c r="D56" s="27" t="inlineStr">
        <is>
          <t>KwaZulu-Natal</t>
        </is>
      </c>
      <c r="E56" s="27" t="inlineStr">
        <is>
          <t>Richards Bay</t>
        </is>
      </c>
      <c r="F56" s="27" t="n">
        <v>-28.90584</v>
      </c>
      <c r="G56" s="27" t="n">
        <v>29.819665</v>
      </c>
      <c r="H56" s="41" t="n">
        <v>45896</v>
      </c>
      <c r="I56" s="27" t="n">
        <v>80</v>
      </c>
      <c r="J56" s="27" t="inlineStr">
        <is>
          <t>Active</t>
        </is>
      </c>
    </row>
    <row r="57" ht="15" customHeight="1" s="24">
      <c r="A57" s="27" t="n">
        <v>3737</v>
      </c>
      <c r="B57" s="27" t="inlineStr">
        <is>
          <t>PostNet Witbank Mall</t>
        </is>
      </c>
      <c r="C57" s="27" t="inlineStr">
        <is>
          <t>PostNet</t>
        </is>
      </c>
      <c r="D57" s="27" t="inlineStr">
        <is>
          <t>Mpumalanga</t>
        </is>
      </c>
      <c r="E57" s="27" t="inlineStr">
        <is>
          <t>Witbank</t>
        </is>
      </c>
      <c r="F57" s="27" t="n">
        <v>-26.973974</v>
      </c>
      <c r="G57" s="27" t="n">
        <v>30.634031</v>
      </c>
      <c r="H57" s="41" t="n">
        <v>43317</v>
      </c>
      <c r="I57" s="27" t="n">
        <v>80</v>
      </c>
      <c r="J57" s="27" t="inlineStr">
        <is>
          <t>Active</t>
        </is>
      </c>
    </row>
    <row r="58" ht="15" customHeight="1" s="24">
      <c r="A58" s="27" t="n">
        <v>1203</v>
      </c>
      <c r="B58" s="27" t="inlineStr">
        <is>
          <t>Clicks Welkom Junction</t>
        </is>
      </c>
      <c r="C58" s="27" t="inlineStr">
        <is>
          <t>Clicks</t>
        </is>
      </c>
      <c r="D58" s="27" t="inlineStr">
        <is>
          <t>Free State</t>
        </is>
      </c>
      <c r="E58" s="27" t="inlineStr">
        <is>
          <t>Welkom</t>
        </is>
      </c>
      <c r="F58" s="27" t="n">
        <v>-27.679614</v>
      </c>
      <c r="G58" s="27" t="n">
        <v>25.087083</v>
      </c>
      <c r="H58" s="41" t="n">
        <v>44363</v>
      </c>
      <c r="I58" s="27" t="n">
        <v>80</v>
      </c>
      <c r="J58" s="27" t="inlineStr">
        <is>
          <t>Active</t>
        </is>
      </c>
    </row>
    <row r="59" ht="15" customHeight="1" s="24">
      <c r="A59" s="27" t="n">
        <v>951</v>
      </c>
      <c r="B59" s="27" t="inlineStr">
        <is>
          <t>Caltex Freshstop Witbank Park</t>
        </is>
      </c>
      <c r="C59" s="27" t="inlineStr">
        <is>
          <t>Caltex Freshstop</t>
        </is>
      </c>
      <c r="D59" s="27" t="inlineStr">
        <is>
          <t>Mpumalanga</t>
        </is>
      </c>
      <c r="E59" s="27" t="inlineStr">
        <is>
          <t>Witbank</t>
        </is>
      </c>
      <c r="F59" s="27" t="n">
        <v>-26.632033</v>
      </c>
      <c r="G59" s="27" t="n">
        <v>29.061666</v>
      </c>
      <c r="H59" s="41" t="n">
        <v>43858</v>
      </c>
      <c r="I59" s="27" t="n">
        <v>120</v>
      </c>
      <c r="J59" s="27" t="inlineStr">
        <is>
          <t>Active</t>
        </is>
      </c>
    </row>
    <row r="60" ht="15" customHeight="1" s="24">
      <c r="A60" s="27" t="n">
        <v>3518</v>
      </c>
      <c r="B60" s="27" t="inlineStr">
        <is>
          <t>Spar Sandton Park</t>
        </is>
      </c>
      <c r="C60" s="27" t="inlineStr">
        <is>
          <t>Spar</t>
        </is>
      </c>
      <c r="D60" s="27" t="inlineStr">
        <is>
          <t>Gauteng</t>
        </is>
      </c>
      <c r="E60" s="27" t="inlineStr">
        <is>
          <t>Sandton</t>
        </is>
      </c>
      <c r="F60" s="27" t="n">
        <v>-26.074906</v>
      </c>
      <c r="G60" s="27" t="n">
        <v>28.90496</v>
      </c>
      <c r="H60" s="41" t="n">
        <v>43081</v>
      </c>
      <c r="I60" s="27" t="n">
        <v>35</v>
      </c>
      <c r="J60" s="27" t="inlineStr">
        <is>
          <t>Active</t>
        </is>
      </c>
    </row>
    <row r="61" ht="15" customHeight="1" s="24">
      <c r="A61" s="27" t="n">
        <v>3770</v>
      </c>
      <c r="B61" s="27" t="inlineStr">
        <is>
          <t>Caltex Freshstop Newcastle Square</t>
        </is>
      </c>
      <c r="C61" s="27" t="inlineStr">
        <is>
          <t>Caltex Freshstop</t>
        </is>
      </c>
      <c r="D61" s="27" t="inlineStr">
        <is>
          <t>KwaZulu-Natal</t>
        </is>
      </c>
      <c r="E61" s="27" t="inlineStr">
        <is>
          <t>Newcastle</t>
        </is>
      </c>
      <c r="F61" s="27" t="n">
        <v>-27.583407</v>
      </c>
      <c r="G61" s="27" t="n">
        <v>29.231194</v>
      </c>
      <c r="H61" s="41" t="n">
        <v>45559</v>
      </c>
      <c r="I61" s="27" t="n">
        <v>120</v>
      </c>
      <c r="J61" s="27" t="inlineStr">
        <is>
          <t>Active</t>
        </is>
      </c>
    </row>
    <row r="62" ht="15" customHeight="1" s="24">
      <c r="A62" s="27" t="n">
        <v>1601</v>
      </c>
      <c r="B62" s="27" t="inlineStr">
        <is>
          <t>Spar Stellenbosch Plaza</t>
        </is>
      </c>
      <c r="C62" s="27" t="inlineStr">
        <is>
          <t>Spar</t>
        </is>
      </c>
      <c r="D62" s="27" t="inlineStr">
        <is>
          <t>Western Cape</t>
        </is>
      </c>
      <c r="E62" s="27" t="inlineStr">
        <is>
          <t>Stellenbosch</t>
        </is>
      </c>
      <c r="F62" s="27" t="n">
        <v>-34.324499</v>
      </c>
      <c r="G62" s="27" t="n">
        <v>20.821496</v>
      </c>
      <c r="H62" s="41" t="n">
        <v>43764</v>
      </c>
      <c r="I62" s="27" t="n">
        <v>200</v>
      </c>
      <c r="J62" s="27" t="inlineStr">
        <is>
          <t>Active</t>
        </is>
      </c>
    </row>
    <row r="63" ht="15" customHeight="1" s="24">
      <c r="A63" s="27" t="n">
        <v>2121</v>
      </c>
      <c r="B63" s="27" t="inlineStr">
        <is>
          <t>Lewis Roodepoort Plaza</t>
        </is>
      </c>
      <c r="C63" s="27" t="inlineStr">
        <is>
          <t>Lewis</t>
        </is>
      </c>
      <c r="D63" s="27" t="inlineStr">
        <is>
          <t>Gauteng</t>
        </is>
      </c>
      <c r="E63" s="27" t="inlineStr">
        <is>
          <t>Roodepoort</t>
        </is>
      </c>
      <c r="F63" s="27" t="n">
        <v>-26.259989</v>
      </c>
      <c r="G63" s="27" t="n">
        <v>28.117648</v>
      </c>
      <c r="H63" s="41" t="n">
        <v>43740</v>
      </c>
      <c r="I63" s="27" t="n">
        <v>50</v>
      </c>
      <c r="J63" s="27" t="inlineStr">
        <is>
          <t>Active</t>
        </is>
      </c>
    </row>
    <row r="64" ht="15" customHeight="1" s="24">
      <c r="A64" s="27" t="n">
        <v>3844</v>
      </c>
      <c r="B64" s="27" t="inlineStr">
        <is>
          <t>Clicks Soweto Mall</t>
        </is>
      </c>
      <c r="C64" s="27" t="inlineStr">
        <is>
          <t>Clicks</t>
        </is>
      </c>
      <c r="D64" s="27" t="inlineStr">
        <is>
          <t>Gauteng</t>
        </is>
      </c>
      <c r="E64" s="27" t="inlineStr">
        <is>
          <t>Soweto</t>
        </is>
      </c>
      <c r="F64" s="27" t="n">
        <v>-25.431013</v>
      </c>
      <c r="G64" s="27" t="n">
        <v>28.290242</v>
      </c>
      <c r="H64" s="41" t="n">
        <v>44290</v>
      </c>
      <c r="I64" s="27" t="n">
        <v>50</v>
      </c>
      <c r="J64" s="27" t="inlineStr">
        <is>
          <t>Active</t>
        </is>
      </c>
    </row>
    <row r="65" ht="15" customHeight="1" s="24">
      <c r="A65" s="27" t="n">
        <v>1227</v>
      </c>
      <c r="B65" s="27" t="inlineStr">
        <is>
          <t>Waltons Roodepoort Square</t>
        </is>
      </c>
      <c r="C65" s="27" t="inlineStr">
        <is>
          <t>Waltons</t>
        </is>
      </c>
      <c r="D65" s="27" t="inlineStr">
        <is>
          <t>Gauteng</t>
        </is>
      </c>
      <c r="E65" s="27" t="inlineStr">
        <is>
          <t>Roodepoort</t>
        </is>
      </c>
      <c r="F65" s="27" t="n">
        <v>-25.201692</v>
      </c>
      <c r="G65" s="27" t="n">
        <v>28.560545</v>
      </c>
      <c r="H65" s="41" t="n">
        <v>45641</v>
      </c>
      <c r="I65" s="27" t="n">
        <v>50</v>
      </c>
      <c r="J65" s="27" t="inlineStr">
        <is>
          <t>Active</t>
        </is>
      </c>
    </row>
    <row r="66" ht="15" customHeight="1" s="24">
      <c r="A66" s="27" t="n">
        <v>759</v>
      </c>
      <c r="B66" s="27" t="inlineStr">
        <is>
          <t>PEP Paarl Central</t>
        </is>
      </c>
      <c r="C66" s="27" t="inlineStr">
        <is>
          <t>PEP</t>
        </is>
      </c>
      <c r="D66" s="27" t="inlineStr">
        <is>
          <t>Western Cape</t>
        </is>
      </c>
      <c r="E66" s="27" t="inlineStr">
        <is>
          <t>Paarl</t>
        </is>
      </c>
      <c r="F66" s="27" t="n">
        <v>-32.438977</v>
      </c>
      <c r="G66" s="27" t="n">
        <v>21.983389</v>
      </c>
      <c r="H66" s="41" t="n">
        <v>44135</v>
      </c>
      <c r="I66" s="27" t="n">
        <v>80</v>
      </c>
      <c r="J66" s="27" t="inlineStr">
        <is>
          <t>Active</t>
        </is>
      </c>
    </row>
    <row r="67" ht="15" customHeight="1" s="24">
      <c r="A67" s="27" t="n">
        <v>337</v>
      </c>
      <c r="B67" s="27" t="inlineStr">
        <is>
          <t>Lewis Johannesburg Junction</t>
        </is>
      </c>
      <c r="C67" s="27" t="inlineStr">
        <is>
          <t>Lewis</t>
        </is>
      </c>
      <c r="D67" s="27" t="inlineStr">
        <is>
          <t>Gauteng</t>
        </is>
      </c>
      <c r="E67" s="27" t="inlineStr">
        <is>
          <t>Johannesburg</t>
        </is>
      </c>
      <c r="F67" s="27" t="n">
        <v>-26.378063</v>
      </c>
      <c r="G67" s="27" t="n">
        <v>28.961597</v>
      </c>
      <c r="H67" s="41" t="n">
        <v>43516</v>
      </c>
      <c r="I67" s="27" t="n">
        <v>120</v>
      </c>
      <c r="J67" s="27" t="inlineStr">
        <is>
          <t>Active</t>
        </is>
      </c>
    </row>
    <row r="68" ht="15" customHeight="1" s="24">
      <c r="A68" s="27" t="n">
        <v>3033</v>
      </c>
      <c r="B68" s="27" t="inlineStr">
        <is>
          <t>Caltex Freshstop Durban Plaza</t>
        </is>
      </c>
      <c r="C68" s="27" t="inlineStr">
        <is>
          <t>Caltex Freshstop</t>
        </is>
      </c>
      <c r="D68" s="27" t="inlineStr">
        <is>
          <t>KwaZulu-Natal</t>
        </is>
      </c>
      <c r="E68" s="27" t="inlineStr">
        <is>
          <t>Durban</t>
        </is>
      </c>
      <c r="F68" s="27" t="n">
        <v>-29.932344</v>
      </c>
      <c r="G68" s="27" t="n">
        <v>31.166347</v>
      </c>
      <c r="H68" s="41" t="n">
        <v>43379</v>
      </c>
      <c r="I68" s="27" t="n">
        <v>200</v>
      </c>
      <c r="J68" s="27" t="inlineStr">
        <is>
          <t>Active</t>
        </is>
      </c>
    </row>
    <row r="69" ht="15" customHeight="1" s="24">
      <c r="A69" s="27" t="n">
        <v>1619</v>
      </c>
      <c r="B69" s="27" t="inlineStr">
        <is>
          <t>PEP Newcastle Plaza</t>
        </is>
      </c>
      <c r="C69" s="27" t="inlineStr">
        <is>
          <t>PEP</t>
        </is>
      </c>
      <c r="D69" s="27" t="inlineStr">
        <is>
          <t>KwaZulu-Natal</t>
        </is>
      </c>
      <c r="E69" s="27" t="inlineStr">
        <is>
          <t>Newcastle</t>
        </is>
      </c>
      <c r="F69" s="27" t="n">
        <v>-28.34934</v>
      </c>
      <c r="G69" s="27" t="n">
        <v>31.341882</v>
      </c>
      <c r="H69" s="41" t="n">
        <v>44475</v>
      </c>
      <c r="I69" s="27" t="n">
        <v>80</v>
      </c>
      <c r="J69" s="27" t="inlineStr">
        <is>
          <t>Active</t>
        </is>
      </c>
    </row>
    <row r="70" ht="15" customHeight="1" s="24">
      <c r="A70" s="27" t="n">
        <v>89</v>
      </c>
      <c r="B70" s="27" t="inlineStr">
        <is>
          <t>Independent Spaza Benoni Plaza</t>
        </is>
      </c>
      <c r="C70" s="27" t="inlineStr">
        <is>
          <t>Independent Spaza</t>
        </is>
      </c>
      <c r="D70" s="27" t="inlineStr">
        <is>
          <t>Gauteng</t>
        </is>
      </c>
      <c r="E70" s="27" t="inlineStr">
        <is>
          <t>Benoni</t>
        </is>
      </c>
      <c r="F70" s="27" t="n">
        <v>-25.458181</v>
      </c>
      <c r="G70" s="27" t="n">
        <v>28.152758</v>
      </c>
      <c r="H70" s="41" t="n">
        <v>43468</v>
      </c>
      <c r="I70" s="27" t="n">
        <v>35</v>
      </c>
      <c r="J70" s="27" t="inlineStr">
        <is>
          <t>Active</t>
        </is>
      </c>
    </row>
    <row r="71" ht="15" customHeight="1" s="24">
      <c r="A71" s="27" t="n">
        <v>3952</v>
      </c>
      <c r="B71" s="27" t="inlineStr">
        <is>
          <t>PEP Umhlanga Junction</t>
        </is>
      </c>
      <c r="C71" s="27" t="inlineStr">
        <is>
          <t>PEP</t>
        </is>
      </c>
      <c r="D71" s="27" t="inlineStr">
        <is>
          <t>KwaZulu-Natal</t>
        </is>
      </c>
      <c r="E71" s="27" t="inlineStr">
        <is>
          <t>Umhlanga</t>
        </is>
      </c>
      <c r="F71" s="27" t="n">
        <v>-30.29617</v>
      </c>
      <c r="G71" s="27" t="n">
        <v>29.284182</v>
      </c>
      <c r="H71" s="41" t="n">
        <v>45356</v>
      </c>
      <c r="I71" s="27" t="n">
        <v>20</v>
      </c>
      <c r="J71" s="27" t="inlineStr">
        <is>
          <t>Active</t>
        </is>
      </c>
    </row>
    <row r="72" ht="15" customHeight="1" s="24">
      <c r="A72" s="27" t="n">
        <v>172</v>
      </c>
      <c r="B72" s="27" t="inlineStr">
        <is>
          <t>Clicks Cape Town Plaza</t>
        </is>
      </c>
      <c r="C72" s="27" t="inlineStr">
        <is>
          <t>Clicks</t>
        </is>
      </c>
      <c r="D72" s="27" t="inlineStr">
        <is>
          <t>Western Cape</t>
        </is>
      </c>
      <c r="E72" s="27" t="inlineStr">
        <is>
          <t>Cape Town</t>
        </is>
      </c>
      <c r="F72" s="27" t="n">
        <v>-33.878527</v>
      </c>
      <c r="G72" s="27" t="n">
        <v>18.636139</v>
      </c>
      <c r="H72" s="41" t="n">
        <v>45142</v>
      </c>
      <c r="I72" s="27" t="n">
        <v>35</v>
      </c>
      <c r="J72" s="27" t="inlineStr">
        <is>
          <t>Active</t>
        </is>
      </c>
    </row>
    <row r="73" ht="15" customHeight="1" s="24">
      <c r="A73" s="27" t="n">
        <v>3551</v>
      </c>
      <c r="B73" s="27" t="inlineStr">
        <is>
          <t>Lewis Bellville Junction</t>
        </is>
      </c>
      <c r="C73" s="27" t="inlineStr">
        <is>
          <t>Lewis</t>
        </is>
      </c>
      <c r="D73" s="27" t="inlineStr">
        <is>
          <t>Western Cape</t>
        </is>
      </c>
      <c r="E73" s="27" t="inlineStr">
        <is>
          <t>Bellville</t>
        </is>
      </c>
      <c r="F73" s="27" t="n">
        <v>-32.073453</v>
      </c>
      <c r="G73" s="27" t="n">
        <v>20.274748</v>
      </c>
      <c r="H73" s="41" t="n">
        <v>45522</v>
      </c>
      <c r="I73" s="27" t="n">
        <v>50</v>
      </c>
      <c r="J73" s="27" t="inlineStr">
        <is>
          <t>Active</t>
        </is>
      </c>
    </row>
    <row r="74" ht="15" customHeight="1" s="24">
      <c r="A74" s="27" t="n">
        <v>2377</v>
      </c>
      <c r="B74" s="27" t="inlineStr">
        <is>
          <t>Clicks Durban Mall</t>
        </is>
      </c>
      <c r="C74" s="27" t="inlineStr">
        <is>
          <t>Clicks</t>
        </is>
      </c>
      <c r="D74" s="27" t="inlineStr">
        <is>
          <t>KwaZulu-Natal</t>
        </is>
      </c>
      <c r="E74" s="27" t="inlineStr">
        <is>
          <t>Durban</t>
        </is>
      </c>
      <c r="F74" s="27" t="n">
        <v>-28.182757</v>
      </c>
      <c r="G74" s="27" t="n">
        <v>31.498046</v>
      </c>
      <c r="H74" s="41" t="n">
        <v>43696</v>
      </c>
      <c r="I74" s="27" t="n">
        <v>20</v>
      </c>
      <c r="J74" s="27" t="inlineStr">
        <is>
          <t>Active</t>
        </is>
      </c>
    </row>
    <row r="75" ht="15" customHeight="1" s="24">
      <c r="A75" s="27" t="n">
        <v>914</v>
      </c>
      <c r="B75" s="27" t="inlineStr">
        <is>
          <t>Clicks Secunda Plaza</t>
        </is>
      </c>
      <c r="C75" s="27" t="inlineStr">
        <is>
          <t>Clicks</t>
        </is>
      </c>
      <c r="D75" s="27" t="inlineStr">
        <is>
          <t>Mpumalanga</t>
        </is>
      </c>
      <c r="E75" s="27" t="inlineStr">
        <is>
          <t>Secunda</t>
        </is>
      </c>
      <c r="F75" s="27" t="n">
        <v>-25.645505</v>
      </c>
      <c r="G75" s="27" t="n">
        <v>29.347292</v>
      </c>
      <c r="H75" s="41" t="n">
        <v>42413</v>
      </c>
      <c r="I75" s="27" t="n">
        <v>20</v>
      </c>
      <c r="J75" s="27" t="inlineStr">
        <is>
          <t>Active</t>
        </is>
      </c>
    </row>
    <row r="76" ht="15" customHeight="1" s="24">
      <c r="A76" s="27" t="n">
        <v>1761</v>
      </c>
      <c r="B76" s="27" t="inlineStr">
        <is>
          <t>PEP Rustenburg Central</t>
        </is>
      </c>
      <c r="C76" s="27" t="inlineStr">
        <is>
          <t>PEP</t>
        </is>
      </c>
      <c r="D76" s="27" t="inlineStr">
        <is>
          <t>North West</t>
        </is>
      </c>
      <c r="E76" s="27" t="inlineStr">
        <is>
          <t>Rustenburg</t>
        </is>
      </c>
      <c r="F76" s="27" t="n">
        <v>-26.496454</v>
      </c>
      <c r="G76" s="27" t="n">
        <v>27.204999</v>
      </c>
      <c r="H76" s="41" t="n">
        <v>42571</v>
      </c>
      <c r="I76" s="27" t="n">
        <v>35</v>
      </c>
      <c r="J76" s="27" t="inlineStr">
        <is>
          <t>Active</t>
        </is>
      </c>
    </row>
    <row r="77" ht="15" customHeight="1" s="24">
      <c r="A77" s="27" t="n">
        <v>1641</v>
      </c>
      <c r="B77" s="27" t="inlineStr">
        <is>
          <t>Lewis Durban Square</t>
        </is>
      </c>
      <c r="C77" s="27" t="inlineStr">
        <is>
          <t>Lewis</t>
        </is>
      </c>
      <c r="D77" s="27" t="inlineStr">
        <is>
          <t>KwaZulu-Natal</t>
        </is>
      </c>
      <c r="E77" s="27" t="inlineStr">
        <is>
          <t>Durban</t>
        </is>
      </c>
      <c r="F77" s="27" t="n">
        <v>-30.446321</v>
      </c>
      <c r="G77" s="27" t="n">
        <v>30.435511</v>
      </c>
      <c r="H77" s="41" t="n">
        <v>43205</v>
      </c>
      <c r="I77" s="27" t="n">
        <v>20</v>
      </c>
      <c r="J77" s="27" t="inlineStr">
        <is>
          <t>Active</t>
        </is>
      </c>
    </row>
    <row r="78" ht="15" customHeight="1" s="24">
      <c r="A78" s="27" t="n">
        <v>2219</v>
      </c>
      <c r="B78" s="27" t="inlineStr">
        <is>
          <t>Spar Somerset West Mall</t>
        </is>
      </c>
      <c r="C78" s="27" t="inlineStr">
        <is>
          <t>Spar</t>
        </is>
      </c>
      <c r="D78" s="27" t="inlineStr">
        <is>
          <t>Western Cape</t>
        </is>
      </c>
      <c r="E78" s="27" t="inlineStr">
        <is>
          <t>Somerset West</t>
        </is>
      </c>
      <c r="F78" s="27" t="n">
        <v>-31.967922</v>
      </c>
      <c r="G78" s="27" t="n">
        <v>20.802585</v>
      </c>
      <c r="H78" s="41" t="n">
        <v>45616</v>
      </c>
      <c r="I78" s="27" t="n">
        <v>80</v>
      </c>
      <c r="J78" s="27" t="inlineStr">
        <is>
          <t>Active</t>
        </is>
      </c>
    </row>
    <row r="79" ht="15" customHeight="1" s="24">
      <c r="A79" s="27" t="n">
        <v>3912</v>
      </c>
      <c r="B79" s="27" t="inlineStr">
        <is>
          <t>Spar Soweto Junction</t>
        </is>
      </c>
      <c r="C79" s="27" t="inlineStr">
        <is>
          <t>Spar</t>
        </is>
      </c>
      <c r="D79" s="27" t="inlineStr">
        <is>
          <t>Gauteng</t>
        </is>
      </c>
      <c r="E79" s="27" t="inlineStr">
        <is>
          <t>Soweto</t>
        </is>
      </c>
      <c r="F79" s="27" t="n">
        <v>-25.435971</v>
      </c>
      <c r="G79" s="27" t="n">
        <v>27.785028</v>
      </c>
      <c r="H79" s="41" t="n">
        <v>44560</v>
      </c>
      <c r="I79" s="27" t="n">
        <v>80</v>
      </c>
      <c r="J79" s="27" t="inlineStr">
        <is>
          <t>Active</t>
        </is>
      </c>
    </row>
    <row r="80" ht="15" customHeight="1" s="24">
      <c r="A80" s="27" t="n">
        <v>3452</v>
      </c>
      <c r="B80" s="27" t="inlineStr">
        <is>
          <t>Caltex Freshstop Pietermaritzburg Junction</t>
        </is>
      </c>
      <c r="C80" s="27" t="inlineStr">
        <is>
          <t>Caltex Freshstop</t>
        </is>
      </c>
      <c r="D80" s="27" t="inlineStr">
        <is>
          <t>KwaZulu-Natal</t>
        </is>
      </c>
      <c r="E80" s="27" t="inlineStr">
        <is>
          <t>Pietermaritzburg</t>
        </is>
      </c>
      <c r="F80" s="27" t="n">
        <v>-28.361664</v>
      </c>
      <c r="G80" s="27" t="n">
        <v>31.204752</v>
      </c>
      <c r="H80" s="41" t="n">
        <v>45396</v>
      </c>
      <c r="I80" s="27" t="n">
        <v>35</v>
      </c>
      <c r="J80" s="27" t="inlineStr">
        <is>
          <t>Active</t>
        </is>
      </c>
    </row>
    <row r="81" ht="15" customHeight="1" s="24">
      <c r="A81" s="27" t="n">
        <v>24</v>
      </c>
      <c r="B81" s="27" t="inlineStr">
        <is>
          <t>PostNet Bloemfontein Central</t>
        </is>
      </c>
      <c r="C81" s="27" t="inlineStr">
        <is>
          <t>PostNet</t>
        </is>
      </c>
      <c r="D81" s="27" t="inlineStr">
        <is>
          <t>Free State</t>
        </is>
      </c>
      <c r="E81" s="27" t="inlineStr">
        <is>
          <t>Bloemfontein</t>
        </is>
      </c>
      <c r="F81" s="27" t="n">
        <v>-28.948142</v>
      </c>
      <c r="G81" s="27" t="n">
        <v>26.747998</v>
      </c>
      <c r="H81" s="41" t="n">
        <v>44810</v>
      </c>
      <c r="I81" s="27" t="n">
        <v>120</v>
      </c>
      <c r="J81" s="27" t="inlineStr">
        <is>
          <t>Suspended</t>
        </is>
      </c>
    </row>
    <row r="82" ht="15" customHeight="1" s="24">
      <c r="A82" s="27" t="n">
        <v>3395</v>
      </c>
      <c r="B82" s="27" t="inlineStr">
        <is>
          <t>Lewis Durban Park</t>
        </is>
      </c>
      <c r="C82" s="27" t="inlineStr">
        <is>
          <t>Lewis</t>
        </is>
      </c>
      <c r="D82" s="27" t="inlineStr">
        <is>
          <t>KwaZulu-Natal</t>
        </is>
      </c>
      <c r="E82" s="27" t="inlineStr">
        <is>
          <t>Durban</t>
        </is>
      </c>
      <c r="F82" s="27" t="n">
        <v>-28.623219</v>
      </c>
      <c r="G82" s="27" t="n">
        <v>31.272632</v>
      </c>
      <c r="H82" s="41" t="n">
        <v>42480</v>
      </c>
      <c r="I82" s="27" t="n">
        <v>120</v>
      </c>
      <c r="J82" s="27" t="inlineStr">
        <is>
          <t>Active</t>
        </is>
      </c>
    </row>
    <row r="83" ht="15" customHeight="1" s="24">
      <c r="A83" s="27" t="n">
        <v>1030</v>
      </c>
      <c r="B83" s="27" t="inlineStr">
        <is>
          <t>PEP Thohoyandou Park</t>
        </is>
      </c>
      <c r="C83" s="27" t="inlineStr">
        <is>
          <t>PEP</t>
        </is>
      </c>
      <c r="D83" s="27" t="inlineStr">
        <is>
          <t>Limpopo</t>
        </is>
      </c>
      <c r="E83" s="27" t="inlineStr">
        <is>
          <t>Thohoyandou</t>
        </is>
      </c>
      <c r="F83" s="27" t="n">
        <v>-23.734806</v>
      </c>
      <c r="G83" s="27" t="n">
        <v>28.512631</v>
      </c>
      <c r="H83" s="41" t="n">
        <v>42435</v>
      </c>
      <c r="I83" s="27" t="n">
        <v>20</v>
      </c>
      <c r="J83" s="27" t="inlineStr">
        <is>
          <t>Suspended</t>
        </is>
      </c>
    </row>
    <row r="84" ht="15" customHeight="1" s="24">
      <c r="A84" s="27" t="n">
        <v>3544</v>
      </c>
      <c r="B84" s="27" t="inlineStr">
        <is>
          <t>Clicks Benoni Junction</t>
        </is>
      </c>
      <c r="C84" s="27" t="inlineStr">
        <is>
          <t>Clicks</t>
        </is>
      </c>
      <c r="D84" s="27" t="inlineStr">
        <is>
          <t>Gauteng</t>
        </is>
      </c>
      <c r="E84" s="27" t="inlineStr">
        <is>
          <t>Benoni</t>
        </is>
      </c>
      <c r="F84" s="27" t="n">
        <v>-26.548287</v>
      </c>
      <c r="G84" s="27" t="n">
        <v>29.062954</v>
      </c>
      <c r="H84" s="41" t="n">
        <v>43398</v>
      </c>
      <c r="I84" s="27" t="n">
        <v>80</v>
      </c>
      <c r="J84" s="27" t="inlineStr">
        <is>
          <t>Active</t>
        </is>
      </c>
    </row>
    <row r="85" ht="15" customHeight="1" s="24">
      <c r="A85" s="27" t="n">
        <v>3896</v>
      </c>
      <c r="B85" s="27" t="inlineStr">
        <is>
          <t xml:space="preserve">Independent Spaza Tzaneen </t>
        </is>
      </c>
      <c r="C85" s="27" t="inlineStr">
        <is>
          <t>Independent Spaza</t>
        </is>
      </c>
      <c r="D85" s="27" t="inlineStr">
        <is>
          <t>Limpopo</t>
        </is>
      </c>
      <c r="E85" s="27" t="inlineStr">
        <is>
          <t>Tzaneen</t>
        </is>
      </c>
      <c r="F85" s="27" t="n">
        <v>-24.918006</v>
      </c>
      <c r="G85" s="27" t="n">
        <v>28.894798</v>
      </c>
      <c r="H85" s="41" t="n">
        <v>42699</v>
      </c>
      <c r="I85" s="27" t="n">
        <v>80</v>
      </c>
      <c r="J85" s="27" t="inlineStr">
        <is>
          <t>Active</t>
        </is>
      </c>
    </row>
    <row r="86" ht="15" customHeight="1" s="24">
      <c r="A86" s="27" t="n">
        <v>2584</v>
      </c>
      <c r="B86" s="27" t="inlineStr">
        <is>
          <t xml:space="preserve">PEP Secunda </t>
        </is>
      </c>
      <c r="C86" s="27" t="inlineStr">
        <is>
          <t>PEP</t>
        </is>
      </c>
      <c r="D86" s="27" t="inlineStr">
        <is>
          <t>Mpumalanga</t>
        </is>
      </c>
      <c r="E86" s="27" t="inlineStr">
        <is>
          <t>Secunda</t>
        </is>
      </c>
      <c r="F86" s="27" t="n">
        <v>-25.931499</v>
      </c>
      <c r="G86" s="27" t="n">
        <v>31.33677</v>
      </c>
      <c r="H86" s="41" t="n">
        <v>44364</v>
      </c>
      <c r="I86" s="27" t="n">
        <v>120</v>
      </c>
      <c r="J86" s="27" t="inlineStr">
        <is>
          <t>Active</t>
        </is>
      </c>
    </row>
    <row r="87" ht="15" customHeight="1" s="24">
      <c r="A87" s="27" t="n">
        <v>1554</v>
      </c>
      <c r="B87" s="27" t="inlineStr">
        <is>
          <t>Waltons Rustenburg Central</t>
        </is>
      </c>
      <c r="C87" s="27" t="inlineStr">
        <is>
          <t>Waltons</t>
        </is>
      </c>
      <c r="D87" s="27" t="inlineStr">
        <is>
          <t>North West</t>
        </is>
      </c>
      <c r="E87" s="27" t="inlineStr">
        <is>
          <t>Rustenburg</t>
        </is>
      </c>
      <c r="F87" s="27" t="n">
        <v>-25.745017</v>
      </c>
      <c r="G87" s="27" t="n">
        <v>26.346651</v>
      </c>
      <c r="H87" s="41" t="n">
        <v>42513</v>
      </c>
      <c r="I87" s="27" t="n">
        <v>50</v>
      </c>
      <c r="J87" s="27" t="inlineStr">
        <is>
          <t>Active</t>
        </is>
      </c>
    </row>
    <row r="88" ht="15" customHeight="1" s="24">
      <c r="A88" s="27" t="n">
        <v>1710</v>
      </c>
      <c r="B88" s="27" t="inlineStr">
        <is>
          <t xml:space="preserve">Caltex Freshstop Pretoria </t>
        </is>
      </c>
      <c r="C88" s="27" t="inlineStr">
        <is>
          <t>Caltex Freshstop</t>
        </is>
      </c>
      <c r="D88" s="27" t="inlineStr">
        <is>
          <t>Gauteng</t>
        </is>
      </c>
      <c r="E88" s="27" t="inlineStr">
        <is>
          <t>Pretoria</t>
        </is>
      </c>
      <c r="F88" s="27" t="n">
        <v>-25.348851</v>
      </c>
      <c r="G88" s="27" t="n">
        <v>27.562549</v>
      </c>
      <c r="H88" s="41" t="n">
        <v>43411</v>
      </c>
      <c r="I88" s="27" t="n">
        <v>20</v>
      </c>
      <c r="J88" s="27" t="inlineStr">
        <is>
          <t>Active</t>
        </is>
      </c>
    </row>
    <row r="89" ht="15" customHeight="1" s="24">
      <c r="A89" s="27" t="n">
        <v>1129</v>
      </c>
      <c r="B89" s="27" t="inlineStr">
        <is>
          <t>Clicks Soweto Square</t>
        </is>
      </c>
      <c r="C89" s="27" t="inlineStr">
        <is>
          <t>Clicks</t>
        </is>
      </c>
      <c r="D89" s="27" t="inlineStr">
        <is>
          <t>Gauteng</t>
        </is>
      </c>
      <c r="E89" s="27" t="inlineStr">
        <is>
          <t>Soweto</t>
        </is>
      </c>
      <c r="F89" s="27" t="n">
        <v>-25.283668</v>
      </c>
      <c r="G89" s="27" t="n">
        <v>28.961105</v>
      </c>
      <c r="H89" s="41" t="n">
        <v>44969</v>
      </c>
      <c r="I89" s="27" t="n">
        <v>50</v>
      </c>
      <c r="J89" s="27" t="inlineStr">
        <is>
          <t>Active</t>
        </is>
      </c>
    </row>
    <row r="90" ht="15" customHeight="1" s="24">
      <c r="A90" s="27" t="n">
        <v>3529</v>
      </c>
      <c r="B90" s="27" t="inlineStr">
        <is>
          <t>PEP Cape Town Central</t>
        </is>
      </c>
      <c r="C90" s="27" t="inlineStr">
        <is>
          <t>PEP</t>
        </is>
      </c>
      <c r="D90" s="27" t="inlineStr">
        <is>
          <t>Western Cape</t>
        </is>
      </c>
      <c r="E90" s="27" t="inlineStr">
        <is>
          <t>Cape Town</t>
        </is>
      </c>
      <c r="F90" s="27" t="n">
        <v>-32.670979</v>
      </c>
      <c r="G90" s="27" t="n">
        <v>21.6685</v>
      </c>
      <c r="H90" s="41" t="n">
        <v>43159</v>
      </c>
      <c r="I90" s="27" t="n">
        <v>50</v>
      </c>
      <c r="J90" s="27" t="inlineStr">
        <is>
          <t>Active</t>
        </is>
      </c>
    </row>
    <row r="91" ht="15" customHeight="1" s="24">
      <c r="A91" s="27" t="n">
        <v>3561</v>
      </c>
      <c r="B91" s="27" t="inlineStr">
        <is>
          <t>Lewis Midrand Park</t>
        </is>
      </c>
      <c r="C91" s="27" t="inlineStr">
        <is>
          <t>Lewis</t>
        </is>
      </c>
      <c r="D91" s="27" t="inlineStr">
        <is>
          <t>Gauteng</t>
        </is>
      </c>
      <c r="E91" s="27" t="inlineStr">
        <is>
          <t>Midrand</t>
        </is>
      </c>
      <c r="F91" s="27" t="n">
        <v>-25.533672</v>
      </c>
      <c r="G91" s="27" t="n">
        <v>27.562517</v>
      </c>
      <c r="H91" s="41" t="n">
        <v>44981</v>
      </c>
      <c r="I91" s="27" t="n">
        <v>80</v>
      </c>
      <c r="J91" s="27" t="inlineStr">
        <is>
          <t>Active</t>
        </is>
      </c>
    </row>
    <row r="92" ht="15" customHeight="1" s="24">
      <c r="A92" s="27" t="n">
        <v>2534</v>
      </c>
      <c r="B92" s="27" t="inlineStr">
        <is>
          <t xml:space="preserve">PEP Roodepoort </t>
        </is>
      </c>
      <c r="C92" s="27" t="inlineStr">
        <is>
          <t>PEP</t>
        </is>
      </c>
      <c r="D92" s="27" t="inlineStr">
        <is>
          <t>Gauteng</t>
        </is>
      </c>
      <c r="E92" s="27" t="inlineStr">
        <is>
          <t>Roodepoort</t>
        </is>
      </c>
      <c r="F92" s="27" t="n">
        <v>-26.619571</v>
      </c>
      <c r="G92" s="27" t="n">
        <v>27.352418</v>
      </c>
      <c r="H92" s="41" t="n">
        <v>43802</v>
      </c>
      <c r="I92" s="27" t="n">
        <v>80</v>
      </c>
      <c r="J92" s="27" t="inlineStr">
        <is>
          <t>Active</t>
        </is>
      </c>
    </row>
    <row r="93" ht="15" customHeight="1" s="24">
      <c r="A93" s="27" t="n">
        <v>3631</v>
      </c>
      <c r="B93" s="27" t="inlineStr">
        <is>
          <t>Clicks Witbank Mall</t>
        </is>
      </c>
      <c r="C93" s="27" t="inlineStr">
        <is>
          <t>Clicks</t>
        </is>
      </c>
      <c r="D93" s="27" t="inlineStr">
        <is>
          <t>Mpumalanga</t>
        </is>
      </c>
      <c r="E93" s="27" t="inlineStr">
        <is>
          <t>Witbank</t>
        </is>
      </c>
      <c r="F93" s="27" t="n">
        <v>-25.447993</v>
      </c>
      <c r="G93" s="27" t="n">
        <v>31.147344</v>
      </c>
      <c r="H93" s="41" t="n">
        <v>44705</v>
      </c>
      <c r="I93" s="27" t="n">
        <v>120</v>
      </c>
      <c r="J93" s="27" t="inlineStr">
        <is>
          <t>Active</t>
        </is>
      </c>
    </row>
    <row r="94" ht="15" customHeight="1" s="24">
      <c r="A94" s="27" t="n">
        <v>510</v>
      </c>
      <c r="B94" s="27" t="inlineStr">
        <is>
          <t>Spar Mokopane Central</t>
        </is>
      </c>
      <c r="C94" s="27" t="inlineStr">
        <is>
          <t>Spar</t>
        </is>
      </c>
      <c r="D94" s="27" t="inlineStr">
        <is>
          <t>Limpopo</t>
        </is>
      </c>
      <c r="E94" s="27" t="inlineStr">
        <is>
          <t>Mokopane</t>
        </is>
      </c>
      <c r="F94" s="27" t="n">
        <v>-22.43411</v>
      </c>
      <c r="G94" s="27" t="n">
        <v>30.922992</v>
      </c>
      <c r="H94" s="41" t="n">
        <v>43053</v>
      </c>
      <c r="I94" s="27" t="n">
        <v>50</v>
      </c>
      <c r="J94" s="27" t="inlineStr">
        <is>
          <t>Active</t>
        </is>
      </c>
    </row>
    <row r="95" ht="15" customHeight="1" s="24">
      <c r="A95" s="27" t="n">
        <v>1720</v>
      </c>
      <c r="B95" s="27" t="inlineStr">
        <is>
          <t>PEP Sandton Junction</t>
        </is>
      </c>
      <c r="C95" s="27" t="inlineStr">
        <is>
          <t>PEP</t>
        </is>
      </c>
      <c r="D95" s="27" t="inlineStr">
        <is>
          <t>Gauteng</t>
        </is>
      </c>
      <c r="E95" s="27" t="inlineStr">
        <is>
          <t>Sandton</t>
        </is>
      </c>
      <c r="F95" s="27" t="n">
        <v>-26.227187</v>
      </c>
      <c r="G95" s="27" t="n">
        <v>28.834998</v>
      </c>
      <c r="H95" s="41" t="n">
        <v>45974</v>
      </c>
      <c r="I95" s="27" t="n">
        <v>50</v>
      </c>
      <c r="J95" s="27" t="inlineStr">
        <is>
          <t>Active</t>
        </is>
      </c>
    </row>
    <row r="96" ht="15" customHeight="1" s="24">
      <c r="A96" s="27" t="n">
        <v>1819</v>
      </c>
      <c r="B96" s="27" t="inlineStr">
        <is>
          <t>Independent Spaza Soweto Mall</t>
        </is>
      </c>
      <c r="C96" s="27" t="inlineStr">
        <is>
          <t>Independent Spaza</t>
        </is>
      </c>
      <c r="D96" s="27" t="inlineStr">
        <is>
          <t>Gauteng</t>
        </is>
      </c>
      <c r="E96" s="27" t="inlineStr">
        <is>
          <t>Soweto</t>
        </is>
      </c>
      <c r="F96" s="27" t="n">
        <v>-26.480543</v>
      </c>
      <c r="G96" s="27" t="n">
        <v>27.323342</v>
      </c>
      <c r="H96" s="41" t="n">
        <v>44854</v>
      </c>
      <c r="I96" s="27" t="n">
        <v>35</v>
      </c>
      <c r="J96" s="27" t="inlineStr">
        <is>
          <t>Active</t>
        </is>
      </c>
    </row>
    <row r="97" ht="15" customHeight="1" s="24">
      <c r="A97" s="27" t="n">
        <v>150</v>
      </c>
      <c r="B97" s="27" t="inlineStr">
        <is>
          <t>Clicks Gqeberha Plaza</t>
        </is>
      </c>
      <c r="C97" s="27" t="inlineStr">
        <is>
          <t>Clicks</t>
        </is>
      </c>
      <c r="D97" s="27" t="inlineStr">
        <is>
          <t>Eastern Cape</t>
        </is>
      </c>
      <c r="E97" s="27" t="inlineStr">
        <is>
          <t>Gqeberha</t>
        </is>
      </c>
      <c r="F97" s="27" t="n">
        <v>-32.05927</v>
      </c>
      <c r="G97" s="27" t="n">
        <v>25.7884</v>
      </c>
      <c r="H97" s="41" t="n">
        <v>45194</v>
      </c>
      <c r="I97" s="27" t="n">
        <v>80</v>
      </c>
      <c r="J97" s="27" t="inlineStr">
        <is>
          <t>Active</t>
        </is>
      </c>
    </row>
    <row r="98" ht="15" customHeight="1" s="24">
      <c r="A98" s="27" t="n">
        <v>3499</v>
      </c>
      <c r="B98" s="27" t="inlineStr">
        <is>
          <t>PEP Witbank Central</t>
        </is>
      </c>
      <c r="C98" s="27" t="inlineStr">
        <is>
          <t>PEP</t>
        </is>
      </c>
      <c r="D98" s="27" t="inlineStr">
        <is>
          <t>Mpumalanga</t>
        </is>
      </c>
      <c r="E98" s="27" t="inlineStr">
        <is>
          <t>Witbank</t>
        </is>
      </c>
      <c r="F98" s="27" t="n">
        <v>-26.204554</v>
      </c>
      <c r="G98" s="27" t="n">
        <v>30.588984</v>
      </c>
      <c r="H98" s="41" t="n">
        <v>42581</v>
      </c>
      <c r="I98" s="27" t="n">
        <v>20</v>
      </c>
      <c r="J98" s="27" t="inlineStr">
        <is>
          <t>Active</t>
        </is>
      </c>
    </row>
    <row r="99" ht="15" customHeight="1" s="24">
      <c r="A99" s="27" t="n">
        <v>1434</v>
      </c>
      <c r="B99" s="27" t="inlineStr">
        <is>
          <t>Waltons Bellville Central</t>
        </is>
      </c>
      <c r="C99" s="27" t="inlineStr">
        <is>
          <t>Waltons</t>
        </is>
      </c>
      <c r="D99" s="27" t="inlineStr">
        <is>
          <t>Western Cape</t>
        </is>
      </c>
      <c r="E99" s="27" t="inlineStr">
        <is>
          <t>Bellville</t>
        </is>
      </c>
      <c r="F99" s="27" t="n">
        <v>-34.280453</v>
      </c>
      <c r="G99" s="27" t="n">
        <v>18.043605</v>
      </c>
      <c r="H99" s="41" t="n">
        <v>45018</v>
      </c>
      <c r="I99" s="27" t="n">
        <v>35</v>
      </c>
      <c r="J99" s="27" t="inlineStr">
        <is>
          <t>Active</t>
        </is>
      </c>
    </row>
    <row r="100" ht="15" customHeight="1" s="24">
      <c r="A100" s="27" t="n">
        <v>390</v>
      </c>
      <c r="B100" s="27" t="inlineStr">
        <is>
          <t>Caltex Freshstop Johannesburg Mall</t>
        </is>
      </c>
      <c r="C100" s="27" t="inlineStr">
        <is>
          <t>Caltex Freshstop</t>
        </is>
      </c>
      <c r="D100" s="27" t="inlineStr">
        <is>
          <t>Gauteng</t>
        </is>
      </c>
      <c r="E100" s="27" t="inlineStr">
        <is>
          <t>Johannesburg</t>
        </is>
      </c>
      <c r="F100" s="27" t="n">
        <v>-25.821627</v>
      </c>
      <c r="G100" s="27" t="n">
        <v>27.616844</v>
      </c>
      <c r="H100" s="41" t="n">
        <v>42882</v>
      </c>
      <c r="I100" s="27" t="n">
        <v>120</v>
      </c>
      <c r="J100" s="27" t="inlineStr">
        <is>
          <t>Active</t>
        </is>
      </c>
    </row>
    <row r="101" ht="15" customHeight="1" s="24">
      <c r="A101" s="27" t="n">
        <v>1474</v>
      </c>
      <c r="B101" s="27" t="inlineStr">
        <is>
          <t>Clicks Thohoyandou Square</t>
        </is>
      </c>
      <c r="C101" s="27" t="inlineStr">
        <is>
          <t>Clicks</t>
        </is>
      </c>
      <c r="D101" s="27" t="inlineStr">
        <is>
          <t>Limpopo</t>
        </is>
      </c>
      <c r="E101" s="27" t="inlineStr">
        <is>
          <t>Thohoyandou</t>
        </is>
      </c>
      <c r="F101" s="27" t="n">
        <v>-24.000182</v>
      </c>
      <c r="G101" s="27" t="n">
        <v>29.625579</v>
      </c>
      <c r="H101" s="41" t="n">
        <v>44436</v>
      </c>
      <c r="I101" s="27" t="n">
        <v>80</v>
      </c>
      <c r="J101" s="27" t="inlineStr">
        <is>
          <t>Active</t>
        </is>
      </c>
    </row>
    <row r="102" ht="15" customHeight="1" s="24">
      <c r="A102" s="27" t="n">
        <v>749</v>
      </c>
      <c r="B102" s="27" t="inlineStr">
        <is>
          <t>Clicks Secunda Plaza</t>
        </is>
      </c>
      <c r="C102" s="27" t="inlineStr">
        <is>
          <t>Clicks</t>
        </is>
      </c>
      <c r="D102" s="27" t="inlineStr">
        <is>
          <t>Mpumalanga</t>
        </is>
      </c>
      <c r="E102" s="27" t="inlineStr">
        <is>
          <t>Secunda</t>
        </is>
      </c>
      <c r="F102" s="27" t="n">
        <v>-25.447828</v>
      </c>
      <c r="G102" s="27" t="n">
        <v>29.811318</v>
      </c>
      <c r="H102" s="41" t="n">
        <v>43593</v>
      </c>
      <c r="I102" s="27" t="n">
        <v>80</v>
      </c>
      <c r="J102" s="27" t="inlineStr">
        <is>
          <t>Active</t>
        </is>
      </c>
    </row>
    <row r="103" ht="15" customHeight="1" s="24">
      <c r="A103" s="27" t="n">
        <v>2397</v>
      </c>
      <c r="B103" s="27" t="inlineStr">
        <is>
          <t>Independent Spaza East London Square</t>
        </is>
      </c>
      <c r="C103" s="27" t="inlineStr">
        <is>
          <t>Independent Spaza</t>
        </is>
      </c>
      <c r="D103" s="27" t="inlineStr">
        <is>
          <t>Eastern Cape</t>
        </is>
      </c>
      <c r="E103" s="27" t="inlineStr">
        <is>
          <t>East London</t>
        </is>
      </c>
      <c r="F103" s="27" t="n">
        <v>-30.913958</v>
      </c>
      <c r="G103" s="27" t="n">
        <v>29.396381</v>
      </c>
      <c r="H103" s="41" t="n">
        <v>44731</v>
      </c>
      <c r="I103" s="27" t="n">
        <v>120</v>
      </c>
      <c r="J103" s="27" t="inlineStr">
        <is>
          <t>Active</t>
        </is>
      </c>
    </row>
    <row r="104" ht="15" customHeight="1" s="24">
      <c r="A104" s="27" t="n">
        <v>940</v>
      </c>
      <c r="B104" s="27" t="inlineStr">
        <is>
          <t>Waltons Witbank Junction</t>
        </is>
      </c>
      <c r="C104" s="27" t="inlineStr">
        <is>
          <t>Waltons</t>
        </is>
      </c>
      <c r="D104" s="27" t="inlineStr">
        <is>
          <t>Mpumalanga</t>
        </is>
      </c>
      <c r="E104" s="27" t="inlineStr">
        <is>
          <t>Witbank</t>
        </is>
      </c>
      <c r="F104" s="27" t="n">
        <v>-24.589986</v>
      </c>
      <c r="G104" s="27" t="n">
        <v>31.707905</v>
      </c>
      <c r="H104" s="41" t="n">
        <v>44584</v>
      </c>
      <c r="I104" s="27" t="n">
        <v>35</v>
      </c>
      <c r="J104" s="27" t="inlineStr">
        <is>
          <t>Active</t>
        </is>
      </c>
    </row>
    <row r="105" ht="15" customHeight="1" s="24">
      <c r="A105" s="27" t="n">
        <v>459</v>
      </c>
      <c r="B105" s="27" t="inlineStr">
        <is>
          <t>Build it Secunda Plaza</t>
        </is>
      </c>
      <c r="C105" s="27" t="inlineStr">
        <is>
          <t>Build it</t>
        </is>
      </c>
      <c r="D105" s="27" t="inlineStr">
        <is>
          <t>Mpumalanga</t>
        </is>
      </c>
      <c r="E105" s="27" t="inlineStr">
        <is>
          <t>Secunda</t>
        </is>
      </c>
      <c r="F105" s="27" t="n">
        <v>-25.289441</v>
      </c>
      <c r="G105" s="27" t="n">
        <v>29.312441</v>
      </c>
      <c r="H105" s="41" t="n">
        <v>45953</v>
      </c>
      <c r="I105" s="27" t="n">
        <v>20</v>
      </c>
      <c r="J105" s="27" t="inlineStr">
        <is>
          <t>Active</t>
        </is>
      </c>
    </row>
    <row r="106" ht="15" customHeight="1" s="24">
      <c r="A106" s="27" t="n">
        <v>1130</v>
      </c>
      <c r="B106" s="27" t="inlineStr">
        <is>
          <t>Caltex Freshstop Gqeberha Park</t>
        </is>
      </c>
      <c r="C106" s="27" t="inlineStr">
        <is>
          <t>Caltex Freshstop</t>
        </is>
      </c>
      <c r="D106" s="27" t="inlineStr">
        <is>
          <t>Eastern Cape</t>
        </is>
      </c>
      <c r="E106" s="27" t="inlineStr">
        <is>
          <t>Gqeberha</t>
        </is>
      </c>
      <c r="F106" s="27" t="n">
        <v>-30.862715</v>
      </c>
      <c r="G106" s="27" t="n">
        <v>26.066608</v>
      </c>
      <c r="H106" s="41" t="n">
        <v>42487</v>
      </c>
      <c r="I106" s="27" t="n">
        <v>20</v>
      </c>
      <c r="J106" s="27" t="inlineStr">
        <is>
          <t>Active</t>
        </is>
      </c>
    </row>
    <row r="107" ht="15" customHeight="1" s="24">
      <c r="A107" s="27" t="n">
        <v>758</v>
      </c>
      <c r="B107" s="27" t="inlineStr">
        <is>
          <t>Clicks Stellenbosch Park</t>
        </is>
      </c>
      <c r="C107" s="27" t="inlineStr">
        <is>
          <t>Clicks</t>
        </is>
      </c>
      <c r="D107" s="27" t="inlineStr">
        <is>
          <t>Western Cape</t>
        </is>
      </c>
      <c r="E107" s="27" t="inlineStr">
        <is>
          <t>Stellenbosch</t>
        </is>
      </c>
      <c r="F107" s="27" t="n">
        <v>-33.426043</v>
      </c>
      <c r="G107" s="27" t="n">
        <v>18.8916</v>
      </c>
      <c r="H107" s="41" t="n">
        <v>45567</v>
      </c>
      <c r="I107" s="27" t="n">
        <v>20</v>
      </c>
      <c r="J107" s="27" t="inlineStr">
        <is>
          <t>Active</t>
        </is>
      </c>
    </row>
    <row r="108" ht="15" customHeight="1" s="24">
      <c r="A108" s="27" t="n">
        <v>1294</v>
      </c>
      <c r="B108" s="27" t="inlineStr">
        <is>
          <t>PEP Benoni Central</t>
        </is>
      </c>
      <c r="C108" s="27" t="inlineStr">
        <is>
          <t>PEP</t>
        </is>
      </c>
      <c r="D108" s="27" t="inlineStr">
        <is>
          <t>Gauteng</t>
        </is>
      </c>
      <c r="E108" s="27" t="inlineStr">
        <is>
          <t>Benoni</t>
        </is>
      </c>
      <c r="F108" s="27" t="n">
        <v>-25.85165</v>
      </c>
      <c r="G108" s="27" t="n">
        <v>28.680379</v>
      </c>
      <c r="H108" s="41" t="n">
        <v>45689</v>
      </c>
      <c r="I108" s="27" t="n">
        <v>50</v>
      </c>
      <c r="J108" s="27" t="inlineStr">
        <is>
          <t>Active</t>
        </is>
      </c>
    </row>
    <row r="109" ht="15" customHeight="1" s="24">
      <c r="A109" s="27" t="n">
        <v>1120</v>
      </c>
      <c r="B109" s="27" t="inlineStr">
        <is>
          <t>PEP Johannesburg Square</t>
        </is>
      </c>
      <c r="C109" s="27" t="inlineStr">
        <is>
          <t>PEP</t>
        </is>
      </c>
      <c r="D109" s="27" t="inlineStr">
        <is>
          <t>Gauteng</t>
        </is>
      </c>
      <c r="E109" s="27" t="inlineStr">
        <is>
          <t>Johannesburg</t>
        </is>
      </c>
      <c r="F109" s="27" t="n">
        <v>-25.895544</v>
      </c>
      <c r="G109" s="27" t="n">
        <v>28.340207</v>
      </c>
      <c r="H109" s="41" t="n">
        <v>45869</v>
      </c>
      <c r="I109" s="27" t="n">
        <v>200</v>
      </c>
      <c r="J109" s="27" t="inlineStr">
        <is>
          <t>Active</t>
        </is>
      </c>
    </row>
    <row r="110" ht="15" customHeight="1" s="24">
      <c r="A110" s="27" t="n">
        <v>934</v>
      </c>
      <c r="B110" s="27" t="inlineStr">
        <is>
          <t>Lewis Soweto Plaza</t>
        </is>
      </c>
      <c r="C110" s="27" t="inlineStr">
        <is>
          <t>Lewis</t>
        </is>
      </c>
      <c r="D110" s="27" t="inlineStr">
        <is>
          <t>Gauteng</t>
        </is>
      </c>
      <c r="E110" s="27" t="inlineStr">
        <is>
          <t>Soweto</t>
        </is>
      </c>
      <c r="F110" s="27" t="n">
        <v>-25.253541</v>
      </c>
      <c r="G110" s="27" t="n">
        <v>28.957985</v>
      </c>
      <c r="H110" s="41" t="n">
        <v>45369</v>
      </c>
      <c r="I110" s="27" t="n">
        <v>50</v>
      </c>
      <c r="J110" s="27" t="inlineStr">
        <is>
          <t>Active</t>
        </is>
      </c>
    </row>
    <row r="111" ht="15" customHeight="1" s="24">
      <c r="A111" s="27" t="n">
        <v>957</v>
      </c>
      <c r="B111" s="27" t="inlineStr">
        <is>
          <t>PEP Centurion Plaza</t>
        </is>
      </c>
      <c r="C111" s="27" t="inlineStr">
        <is>
          <t>PEP</t>
        </is>
      </c>
      <c r="D111" s="27" t="inlineStr">
        <is>
          <t>Gauteng</t>
        </is>
      </c>
      <c r="E111" s="27" t="inlineStr">
        <is>
          <t>Centurion</t>
        </is>
      </c>
      <c r="F111" s="27" t="n">
        <v>-25.624192</v>
      </c>
      <c r="G111" s="27" t="n">
        <v>28.028735</v>
      </c>
      <c r="H111" s="41" t="n">
        <v>43715</v>
      </c>
      <c r="I111" s="27" t="n">
        <v>35</v>
      </c>
      <c r="J111" s="27" t="inlineStr">
        <is>
          <t>Active</t>
        </is>
      </c>
    </row>
    <row r="112" ht="15" customHeight="1" s="24">
      <c r="A112" s="27" t="n">
        <v>412</v>
      </c>
      <c r="B112" s="27" t="inlineStr">
        <is>
          <t>Caltex Freshstop Richards Bay Central</t>
        </is>
      </c>
      <c r="C112" s="27" t="inlineStr">
        <is>
          <t>Caltex Freshstop</t>
        </is>
      </c>
      <c r="D112" s="27" t="inlineStr">
        <is>
          <t>KwaZulu-Natal</t>
        </is>
      </c>
      <c r="E112" s="27" t="inlineStr">
        <is>
          <t>Richards Bay</t>
        </is>
      </c>
      <c r="F112" s="27" t="n">
        <v>-30.43552</v>
      </c>
      <c r="G112" s="27" t="n">
        <v>31.217143</v>
      </c>
      <c r="H112" s="41" t="n">
        <v>46006</v>
      </c>
      <c r="I112" s="27" t="n">
        <v>200</v>
      </c>
      <c r="J112" s="27" t="inlineStr">
        <is>
          <t>Active</t>
        </is>
      </c>
    </row>
    <row r="113" ht="15" customHeight="1" s="24">
      <c r="A113" s="27" t="n">
        <v>3615</v>
      </c>
      <c r="B113" s="27" t="inlineStr">
        <is>
          <t>Clicks Durban Central</t>
        </is>
      </c>
      <c r="C113" s="27" t="inlineStr">
        <is>
          <t>Clicks</t>
        </is>
      </c>
      <c r="D113" s="27" t="inlineStr">
        <is>
          <t>KwaZulu-Natal</t>
        </is>
      </c>
      <c r="E113" s="27" t="inlineStr">
        <is>
          <t>Durban</t>
        </is>
      </c>
      <c r="F113" s="27" t="n">
        <v>-29.213744</v>
      </c>
      <c r="G113" s="27" t="n">
        <v>29.710556</v>
      </c>
      <c r="H113" s="41" t="n">
        <v>42768</v>
      </c>
      <c r="I113" s="27" t="n">
        <v>80</v>
      </c>
      <c r="J113" s="27" t="inlineStr">
        <is>
          <t>Active</t>
        </is>
      </c>
    </row>
    <row r="114" ht="15" customHeight="1" s="24">
      <c r="A114" s="27" t="n">
        <v>869</v>
      </c>
      <c r="B114" s="27" t="inlineStr">
        <is>
          <t xml:space="preserve">PEP George </t>
        </is>
      </c>
      <c r="C114" s="27" t="inlineStr">
        <is>
          <t>PEP</t>
        </is>
      </c>
      <c r="D114" s="27" t="inlineStr">
        <is>
          <t>Western Cape</t>
        </is>
      </c>
      <c r="E114" s="27" t="inlineStr">
        <is>
          <t>George</t>
        </is>
      </c>
      <c r="F114" s="27" t="n">
        <v>-33.228926</v>
      </c>
      <c r="G114" s="27" t="n">
        <v>19.174803</v>
      </c>
      <c r="H114" s="41" t="n">
        <v>43305</v>
      </c>
      <c r="I114" s="27" t="n">
        <v>50</v>
      </c>
      <c r="J114" s="27" t="inlineStr">
        <is>
          <t>Active</t>
        </is>
      </c>
    </row>
    <row r="115" ht="15" customHeight="1" s="24">
      <c r="A115" s="27" t="n">
        <v>2065</v>
      </c>
      <c r="B115" s="27" t="inlineStr">
        <is>
          <t>Clicks Pietermaritzburg Junction</t>
        </is>
      </c>
      <c r="C115" s="27" t="inlineStr">
        <is>
          <t>Clicks</t>
        </is>
      </c>
      <c r="D115" s="27" t="inlineStr">
        <is>
          <t>KwaZulu-Natal</t>
        </is>
      </c>
      <c r="E115" s="27" t="inlineStr">
        <is>
          <t>Pietermaritzburg</t>
        </is>
      </c>
      <c r="F115" s="27" t="n">
        <v>-29.372158</v>
      </c>
      <c r="G115" s="27" t="n">
        <v>31.921986</v>
      </c>
      <c r="H115" s="41" t="n">
        <v>43049</v>
      </c>
      <c r="I115" s="27" t="n">
        <v>50</v>
      </c>
      <c r="J115" s="27" t="inlineStr">
        <is>
          <t>Active</t>
        </is>
      </c>
    </row>
    <row r="116" ht="15" customHeight="1" s="24">
      <c r="A116" s="27" t="n">
        <v>387</v>
      </c>
      <c r="B116" s="27" t="inlineStr">
        <is>
          <t xml:space="preserve">Build it Mthatha </t>
        </is>
      </c>
      <c r="C116" s="27" t="inlineStr">
        <is>
          <t>Build it</t>
        </is>
      </c>
      <c r="D116" s="27" t="inlineStr">
        <is>
          <t>Eastern Cape</t>
        </is>
      </c>
      <c r="E116" s="27" t="inlineStr">
        <is>
          <t>Mthatha</t>
        </is>
      </c>
      <c r="F116" s="27" t="n">
        <v>-31.689788</v>
      </c>
      <c r="G116" s="27" t="n">
        <v>27.823907</v>
      </c>
      <c r="H116" s="41" t="n">
        <v>43673</v>
      </c>
      <c r="I116" s="27" t="n">
        <v>35</v>
      </c>
      <c r="J116" s="27" t="inlineStr">
        <is>
          <t>Active</t>
        </is>
      </c>
    </row>
    <row r="117" ht="15" customHeight="1" s="24">
      <c r="A117" s="27" t="n">
        <v>3924</v>
      </c>
      <c r="B117" s="27" t="inlineStr">
        <is>
          <t>Build it Klerksdorp Central</t>
        </is>
      </c>
      <c r="C117" s="27" t="inlineStr">
        <is>
          <t>Build it</t>
        </is>
      </c>
      <c r="D117" s="27" t="inlineStr">
        <is>
          <t>North West</t>
        </is>
      </c>
      <c r="E117" s="27" t="inlineStr">
        <is>
          <t>Klerksdorp</t>
        </is>
      </c>
      <c r="F117" s="27" t="n">
        <v>-26.32294</v>
      </c>
      <c r="G117" s="27" t="n">
        <v>24.789101</v>
      </c>
      <c r="H117" s="41" t="n">
        <v>42384</v>
      </c>
      <c r="I117" s="27" t="n">
        <v>20</v>
      </c>
      <c r="J117" s="27" t="inlineStr">
        <is>
          <t>Active</t>
        </is>
      </c>
    </row>
    <row r="118" ht="15" customHeight="1" s="24">
      <c r="A118" s="27" t="n">
        <v>2665</v>
      </c>
      <c r="B118" s="27" t="inlineStr">
        <is>
          <t>Clicks Table View Central</t>
        </is>
      </c>
      <c r="C118" s="27" t="inlineStr">
        <is>
          <t>Clicks</t>
        </is>
      </c>
      <c r="D118" s="27" t="inlineStr">
        <is>
          <t>Western Cape</t>
        </is>
      </c>
      <c r="E118" s="27" t="inlineStr">
        <is>
          <t>Table View</t>
        </is>
      </c>
      <c r="F118" s="27" t="n">
        <v>-33.247714</v>
      </c>
      <c r="G118" s="27" t="n">
        <v>22.097126</v>
      </c>
      <c r="H118" s="41" t="n">
        <v>45449</v>
      </c>
      <c r="I118" s="27" t="n">
        <v>20</v>
      </c>
      <c r="J118" s="27" t="inlineStr">
        <is>
          <t>Active</t>
        </is>
      </c>
    </row>
    <row r="119" ht="15" customHeight="1" s="24">
      <c r="A119" s="27" t="n">
        <v>3431</v>
      </c>
      <c r="B119" s="27" t="inlineStr">
        <is>
          <t>Independent Spaza Midrand Park</t>
        </is>
      </c>
      <c r="C119" s="27" t="inlineStr">
        <is>
          <t>Independent Spaza</t>
        </is>
      </c>
      <c r="D119" s="27" t="inlineStr">
        <is>
          <t>Gauteng</t>
        </is>
      </c>
      <c r="E119" s="27" t="inlineStr">
        <is>
          <t>Midrand</t>
        </is>
      </c>
      <c r="F119" s="27" t="n">
        <v>-25.554654</v>
      </c>
      <c r="G119" s="27" t="n">
        <v>27.659978</v>
      </c>
      <c r="H119" s="41" t="n">
        <v>44848</v>
      </c>
      <c r="I119" s="27" t="n">
        <v>80</v>
      </c>
      <c r="J119" s="27" t="inlineStr">
        <is>
          <t>Active</t>
        </is>
      </c>
    </row>
    <row r="120" ht="15" customHeight="1" s="24">
      <c r="A120" s="27" t="n">
        <v>3536</v>
      </c>
      <c r="B120" s="27" t="inlineStr">
        <is>
          <t xml:space="preserve">Independent Spaza Benoni </t>
        </is>
      </c>
      <c r="C120" s="27" t="inlineStr">
        <is>
          <t>Independent Spaza</t>
        </is>
      </c>
      <c r="D120" s="27" t="inlineStr">
        <is>
          <t>Gauteng</t>
        </is>
      </c>
      <c r="E120" s="27" t="inlineStr">
        <is>
          <t>Benoni</t>
        </is>
      </c>
      <c r="F120" s="27" t="n">
        <v>-26.50866</v>
      </c>
      <c r="G120" s="27" t="n">
        <v>27.469087</v>
      </c>
      <c r="H120" s="41" t="n">
        <v>45481</v>
      </c>
      <c r="I120" s="27" t="n">
        <v>50</v>
      </c>
      <c r="J120" s="27" t="inlineStr">
        <is>
          <t>Active</t>
        </is>
      </c>
    </row>
    <row r="121" ht="15" customHeight="1" s="24">
      <c r="A121" s="27" t="n">
        <v>251</v>
      </c>
      <c r="B121" s="27" t="inlineStr">
        <is>
          <t>Lewis Kimberley Junction</t>
        </is>
      </c>
      <c r="C121" s="27" t="inlineStr">
        <is>
          <t>Lewis</t>
        </is>
      </c>
      <c r="D121" s="27" t="inlineStr">
        <is>
          <t>Northern Cape</t>
        </is>
      </c>
      <c r="E121" s="27" t="inlineStr">
        <is>
          <t>Kimberley</t>
        </is>
      </c>
      <c r="F121" s="27" t="n">
        <v>-27.133816</v>
      </c>
      <c r="G121" s="27" t="n">
        <v>19.680656</v>
      </c>
      <c r="H121" s="41" t="n">
        <v>44533</v>
      </c>
      <c r="I121" s="27" t="n">
        <v>80</v>
      </c>
      <c r="J121" s="27" t="inlineStr">
        <is>
          <t>Active</t>
        </is>
      </c>
    </row>
    <row r="122" ht="15" customHeight="1" s="24">
      <c r="A122" s="27" t="n">
        <v>2068</v>
      </c>
      <c r="B122" s="27" t="inlineStr">
        <is>
          <t>Waltons Pinetown Central</t>
        </is>
      </c>
      <c r="C122" s="27" t="inlineStr">
        <is>
          <t>Waltons</t>
        </is>
      </c>
      <c r="D122" s="27" t="inlineStr">
        <is>
          <t>KwaZulu-Natal</t>
        </is>
      </c>
      <c r="E122" s="27" t="inlineStr">
        <is>
          <t>Pinetown</t>
        </is>
      </c>
      <c r="F122" s="27" t="n">
        <v>-27.421395</v>
      </c>
      <c r="G122" s="27" t="n">
        <v>30.887303</v>
      </c>
      <c r="H122" s="41" t="n">
        <v>43211</v>
      </c>
      <c r="I122" s="27" t="n">
        <v>80</v>
      </c>
      <c r="J122" s="27" t="inlineStr">
        <is>
          <t>Active</t>
        </is>
      </c>
    </row>
    <row r="123" ht="15" customHeight="1" s="24">
      <c r="A123" s="27" t="n">
        <v>968</v>
      </c>
      <c r="B123" s="27" t="inlineStr">
        <is>
          <t>Lewis Witbank Park</t>
        </is>
      </c>
      <c r="C123" s="27" t="inlineStr">
        <is>
          <t>Lewis</t>
        </is>
      </c>
      <c r="D123" s="27" t="inlineStr">
        <is>
          <t>Mpumalanga</t>
        </is>
      </c>
      <c r="E123" s="27" t="inlineStr">
        <is>
          <t>Witbank</t>
        </is>
      </c>
      <c r="F123" s="27" t="n">
        <v>-25.16316</v>
      </c>
      <c r="G123" s="27" t="n">
        <v>29.826729</v>
      </c>
      <c r="H123" s="41" t="n">
        <v>43669</v>
      </c>
      <c r="I123" s="27" t="n">
        <v>80</v>
      </c>
      <c r="J123" s="27" t="inlineStr">
        <is>
          <t>Active</t>
        </is>
      </c>
    </row>
    <row r="124" ht="15" customHeight="1" s="24">
      <c r="A124" s="27" t="n">
        <v>2877</v>
      </c>
      <c r="B124" s="27" t="inlineStr">
        <is>
          <t>Build it Mahikeng Mall</t>
        </is>
      </c>
      <c r="C124" s="27" t="inlineStr">
        <is>
          <t>Build it</t>
        </is>
      </c>
      <c r="D124" s="27" t="inlineStr">
        <is>
          <t>North West</t>
        </is>
      </c>
      <c r="E124" s="27" t="inlineStr">
        <is>
          <t>Mahikeng</t>
        </is>
      </c>
      <c r="F124" s="27" t="n">
        <v>-27.150283</v>
      </c>
      <c r="G124" s="27" t="n">
        <v>26.330367</v>
      </c>
      <c r="H124" s="41" t="n">
        <v>42908</v>
      </c>
      <c r="I124" s="27" t="n">
        <v>35</v>
      </c>
      <c r="J124" s="27" t="inlineStr">
        <is>
          <t>Active</t>
        </is>
      </c>
    </row>
    <row r="125" ht="15" customHeight="1" s="24">
      <c r="A125" s="27" t="n">
        <v>3768</v>
      </c>
      <c r="B125" s="27" t="inlineStr">
        <is>
          <t>Spar Mahikeng Junction</t>
        </is>
      </c>
      <c r="C125" s="27" t="inlineStr">
        <is>
          <t>Spar</t>
        </is>
      </c>
      <c r="D125" s="27" t="inlineStr">
        <is>
          <t>North West</t>
        </is>
      </c>
      <c r="E125" s="27" t="inlineStr">
        <is>
          <t>Mahikeng</t>
        </is>
      </c>
      <c r="F125" s="27" t="n">
        <v>-25.625385</v>
      </c>
      <c r="G125" s="27" t="n">
        <v>27.12324</v>
      </c>
      <c r="H125" s="41" t="n">
        <v>42544</v>
      </c>
      <c r="I125" s="27" t="n">
        <v>120</v>
      </c>
      <c r="J125" s="27" t="inlineStr">
        <is>
          <t>Active</t>
        </is>
      </c>
    </row>
    <row r="126" ht="15" customHeight="1" s="24">
      <c r="A126" s="27" t="n">
        <v>3421</v>
      </c>
      <c r="B126" s="27" t="inlineStr">
        <is>
          <t>Spar Table View Square</t>
        </is>
      </c>
      <c r="C126" s="27" t="inlineStr">
        <is>
          <t>Spar</t>
        </is>
      </c>
      <c r="D126" s="27" t="inlineStr">
        <is>
          <t>Western Cape</t>
        </is>
      </c>
      <c r="E126" s="27" t="inlineStr">
        <is>
          <t>Table View</t>
        </is>
      </c>
      <c r="F126" s="27" t="n">
        <v>-33.289309</v>
      </c>
      <c r="G126" s="27" t="n">
        <v>22.501892</v>
      </c>
      <c r="H126" s="41" t="n">
        <v>45432</v>
      </c>
      <c r="I126" s="27" t="n">
        <v>120</v>
      </c>
      <c r="J126" s="27" t="inlineStr">
        <is>
          <t>Active</t>
        </is>
      </c>
    </row>
    <row r="127" ht="15" customHeight="1" s="24">
      <c r="A127" s="27" t="n">
        <v>3992</v>
      </c>
      <c r="B127" s="27" t="inlineStr">
        <is>
          <t>PEP Potchefstroom Square</t>
        </is>
      </c>
      <c r="C127" s="27" t="inlineStr">
        <is>
          <t>PEP</t>
        </is>
      </c>
      <c r="D127" s="27" t="inlineStr">
        <is>
          <t>North West</t>
        </is>
      </c>
      <c r="E127" s="27" t="inlineStr">
        <is>
          <t>Potchefstroom</t>
        </is>
      </c>
      <c r="F127" s="27" t="n">
        <v>-26.770587</v>
      </c>
      <c r="G127" s="27" t="n">
        <v>26.20614</v>
      </c>
      <c r="H127" s="41" t="n">
        <v>45303</v>
      </c>
      <c r="I127" s="27" t="n">
        <v>50</v>
      </c>
      <c r="J127" s="27" t="inlineStr">
        <is>
          <t>Active</t>
        </is>
      </c>
    </row>
    <row r="128" ht="15" customHeight="1" s="24">
      <c r="A128" s="27" t="n">
        <v>3087</v>
      </c>
      <c r="B128" s="27" t="inlineStr">
        <is>
          <t>Build it Johannesburg Mall</t>
        </is>
      </c>
      <c r="C128" s="27" t="inlineStr">
        <is>
          <t>Build it</t>
        </is>
      </c>
      <c r="D128" s="27" t="inlineStr">
        <is>
          <t>Gauteng</t>
        </is>
      </c>
      <c r="E128" s="27" t="inlineStr">
        <is>
          <t>Johannesburg</t>
        </is>
      </c>
      <c r="F128" s="27" t="n">
        <v>-26.35021</v>
      </c>
      <c r="G128" s="27" t="n">
        <v>28.99224</v>
      </c>
      <c r="H128" s="41" t="n">
        <v>43180</v>
      </c>
      <c r="I128" s="27" t="n">
        <v>20</v>
      </c>
      <c r="J128" s="27" t="inlineStr">
        <is>
          <t>Active</t>
        </is>
      </c>
    </row>
    <row r="129" ht="15" customHeight="1" s="24">
      <c r="A129" s="27" t="n">
        <v>1989</v>
      </c>
      <c r="B129" s="27" t="inlineStr">
        <is>
          <t>Build it Mbombela Plaza</t>
        </is>
      </c>
      <c r="C129" s="27" t="inlineStr">
        <is>
          <t>Build it</t>
        </is>
      </c>
      <c r="D129" s="27" t="inlineStr">
        <is>
          <t>Mpumalanga</t>
        </is>
      </c>
      <c r="E129" s="27" t="inlineStr">
        <is>
          <t>Mbombela</t>
        </is>
      </c>
      <c r="F129" s="27" t="n">
        <v>-26.324932</v>
      </c>
      <c r="G129" s="27" t="n">
        <v>29.050673</v>
      </c>
      <c r="H129" s="41" t="n">
        <v>43660</v>
      </c>
      <c r="I129" s="27" t="n">
        <v>20</v>
      </c>
      <c r="J129" s="27" t="inlineStr">
        <is>
          <t>Active</t>
        </is>
      </c>
    </row>
    <row r="130" ht="15" customHeight="1" s="24">
      <c r="A130" s="27" t="n">
        <v>3485</v>
      </c>
      <c r="B130" s="27" t="inlineStr">
        <is>
          <t>Caltex Freshstop Richards Bay Square</t>
        </is>
      </c>
      <c r="C130" s="27" t="inlineStr">
        <is>
          <t>Caltex Freshstop</t>
        </is>
      </c>
      <c r="D130" s="27" t="inlineStr">
        <is>
          <t>KwaZulu-Natal</t>
        </is>
      </c>
      <c r="E130" s="27" t="inlineStr">
        <is>
          <t>Richards Bay</t>
        </is>
      </c>
      <c r="F130" s="27" t="n">
        <v>-29.130253</v>
      </c>
      <c r="G130" s="27" t="n">
        <v>30.270023</v>
      </c>
      <c r="H130" s="41" t="n">
        <v>46009</v>
      </c>
      <c r="I130" s="27" t="n">
        <v>80</v>
      </c>
      <c r="J130" s="27" t="inlineStr">
        <is>
          <t>Active</t>
        </is>
      </c>
    </row>
    <row r="131" ht="15" customHeight="1" s="24">
      <c r="A131" s="27" t="n">
        <v>2171</v>
      </c>
      <c r="B131" s="27" t="inlineStr">
        <is>
          <t xml:space="preserve">PEP Gqeberha </t>
        </is>
      </c>
      <c r="C131" s="27" t="inlineStr">
        <is>
          <t>PEP</t>
        </is>
      </c>
      <c r="D131" s="27" t="inlineStr">
        <is>
          <t>Eastern Cape</t>
        </is>
      </c>
      <c r="E131" s="27" t="inlineStr">
        <is>
          <t>Gqeberha</t>
        </is>
      </c>
      <c r="F131" s="27" t="n">
        <v>-33.026077</v>
      </c>
      <c r="G131" s="27" t="n">
        <v>29.476475</v>
      </c>
      <c r="H131" s="41" t="n">
        <v>43453</v>
      </c>
      <c r="I131" s="27" t="n">
        <v>20</v>
      </c>
      <c r="J131" s="27" t="inlineStr">
        <is>
          <t>Active</t>
        </is>
      </c>
    </row>
    <row r="132" ht="15" customHeight="1" s="24">
      <c r="A132" s="27" t="n">
        <v>2251</v>
      </c>
      <c r="B132" s="27" t="inlineStr">
        <is>
          <t>Caltex Freshstop Somerset West Square</t>
        </is>
      </c>
      <c r="C132" s="27" t="inlineStr">
        <is>
          <t>Caltex Freshstop</t>
        </is>
      </c>
      <c r="D132" s="27" t="inlineStr">
        <is>
          <t>Western Cape</t>
        </is>
      </c>
      <c r="E132" s="27" t="inlineStr">
        <is>
          <t>Somerset West</t>
        </is>
      </c>
      <c r="F132" s="27" t="n">
        <v>-31.574082</v>
      </c>
      <c r="G132" s="27" t="n">
        <v>19.806371</v>
      </c>
      <c r="H132" s="41" t="n">
        <v>42959</v>
      </c>
      <c r="I132" s="27" t="n">
        <v>35</v>
      </c>
      <c r="J132" s="27" t="inlineStr">
        <is>
          <t>Active</t>
        </is>
      </c>
    </row>
    <row r="133" ht="15" customHeight="1" s="24">
      <c r="A133" s="27" t="n">
        <v>1963</v>
      </c>
      <c r="B133" s="27" t="inlineStr">
        <is>
          <t>PEP Table View Square</t>
        </is>
      </c>
      <c r="C133" s="27" t="inlineStr">
        <is>
          <t>PEP</t>
        </is>
      </c>
      <c r="D133" s="27" t="inlineStr">
        <is>
          <t>Western Cape</t>
        </is>
      </c>
      <c r="E133" s="27" t="inlineStr">
        <is>
          <t>Table View</t>
        </is>
      </c>
      <c r="F133" s="27" t="n">
        <v>-34.152285</v>
      </c>
      <c r="G133" s="27" t="n">
        <v>21.718955</v>
      </c>
      <c r="H133" s="41" t="n">
        <v>44290</v>
      </c>
      <c r="I133" s="27" t="n">
        <v>50</v>
      </c>
      <c r="J133" s="27" t="inlineStr">
        <is>
          <t>Active</t>
        </is>
      </c>
    </row>
    <row r="134" ht="15" customHeight="1" s="24">
      <c r="A134" s="27" t="n">
        <v>3823</v>
      </c>
      <c r="B134" s="27" t="inlineStr">
        <is>
          <t>Clicks Polokwane Junction</t>
        </is>
      </c>
      <c r="C134" s="27" t="inlineStr">
        <is>
          <t>Clicks</t>
        </is>
      </c>
      <c r="D134" s="27" t="inlineStr">
        <is>
          <t>Limpopo</t>
        </is>
      </c>
      <c r="E134" s="27" t="inlineStr">
        <is>
          <t>Polokwane</t>
        </is>
      </c>
      <c r="F134" s="27" t="n">
        <v>-24.59454</v>
      </c>
      <c r="G134" s="27" t="n">
        <v>30.382903</v>
      </c>
      <c r="H134" s="41" t="n">
        <v>43155</v>
      </c>
      <c r="I134" s="27" t="n">
        <v>80</v>
      </c>
      <c r="J134" s="27" t="inlineStr">
        <is>
          <t>Active</t>
        </is>
      </c>
    </row>
    <row r="135" ht="15" customHeight="1" s="24">
      <c r="A135" s="27" t="n">
        <v>2520</v>
      </c>
      <c r="B135" s="27" t="inlineStr">
        <is>
          <t>Build it Soweto Square</t>
        </is>
      </c>
      <c r="C135" s="27" t="inlineStr">
        <is>
          <t>Build it</t>
        </is>
      </c>
      <c r="D135" s="27" t="inlineStr">
        <is>
          <t>Gauteng</t>
        </is>
      </c>
      <c r="E135" s="27" t="inlineStr">
        <is>
          <t>Soweto</t>
        </is>
      </c>
      <c r="F135" s="27" t="n">
        <v>-25.655005</v>
      </c>
      <c r="G135" s="27" t="n">
        <v>27.621245</v>
      </c>
      <c r="H135" s="41" t="n">
        <v>45738</v>
      </c>
      <c r="I135" s="27" t="n">
        <v>35</v>
      </c>
      <c r="J135" s="27" t="inlineStr">
        <is>
          <t>Active</t>
        </is>
      </c>
    </row>
    <row r="136" ht="15" customHeight="1" s="24">
      <c r="A136" s="27" t="n">
        <v>3378</v>
      </c>
      <c r="B136" s="27" t="inlineStr">
        <is>
          <t>Caltex Freshstop Mokopane Plaza</t>
        </is>
      </c>
      <c r="C136" s="27" t="inlineStr">
        <is>
          <t>Caltex Freshstop</t>
        </is>
      </c>
      <c r="D136" s="27" t="inlineStr">
        <is>
          <t>Limpopo</t>
        </is>
      </c>
      <c r="E136" s="27" t="inlineStr">
        <is>
          <t>Mokopane</t>
        </is>
      </c>
      <c r="F136" s="27" t="n">
        <v>-24.899468</v>
      </c>
      <c r="G136" s="27" t="n">
        <v>27.0428</v>
      </c>
      <c r="H136" s="41" t="n">
        <v>43610</v>
      </c>
      <c r="I136" s="27" t="n">
        <v>35</v>
      </c>
      <c r="J136" s="27" t="inlineStr">
        <is>
          <t>Active</t>
        </is>
      </c>
    </row>
    <row r="137" ht="15" customHeight="1" s="24">
      <c r="A137" s="27" t="n">
        <v>371</v>
      </c>
      <c r="B137" s="27" t="inlineStr">
        <is>
          <t>Clicks Newcastle Central</t>
        </is>
      </c>
      <c r="C137" s="27" t="inlineStr">
        <is>
          <t>Clicks</t>
        </is>
      </c>
      <c r="D137" s="27" t="inlineStr">
        <is>
          <t>KwaZulu-Natal</t>
        </is>
      </c>
      <c r="E137" s="27" t="inlineStr">
        <is>
          <t>Newcastle</t>
        </is>
      </c>
      <c r="F137" s="27" t="n">
        <v>-29.65721</v>
      </c>
      <c r="G137" s="27" t="n">
        <v>29.493435</v>
      </c>
      <c r="H137" s="41" t="n">
        <v>45988</v>
      </c>
      <c r="I137" s="27" t="n">
        <v>50</v>
      </c>
      <c r="J137" s="27" t="inlineStr">
        <is>
          <t>Active</t>
        </is>
      </c>
    </row>
    <row r="138" ht="15" customHeight="1" s="24">
      <c r="A138" s="27" t="n">
        <v>1543</v>
      </c>
      <c r="B138" s="27" t="inlineStr">
        <is>
          <t>PEP Tzaneen Plaza</t>
        </is>
      </c>
      <c r="C138" s="27" t="inlineStr">
        <is>
          <t>PEP</t>
        </is>
      </c>
      <c r="D138" s="27" t="inlineStr">
        <is>
          <t>Limpopo</t>
        </is>
      </c>
      <c r="E138" s="27" t="inlineStr">
        <is>
          <t>Tzaneen</t>
        </is>
      </c>
      <c r="F138" s="27" t="n">
        <v>-22.942524</v>
      </c>
      <c r="G138" s="27" t="n">
        <v>30.505401</v>
      </c>
      <c r="H138" s="41" t="n">
        <v>43358</v>
      </c>
      <c r="I138" s="27" t="n">
        <v>50</v>
      </c>
      <c r="J138" s="27" t="inlineStr">
        <is>
          <t>Active</t>
        </is>
      </c>
    </row>
    <row r="139" ht="15" customHeight="1" s="24">
      <c r="A139" s="27" t="n">
        <v>2515</v>
      </c>
      <c r="B139" s="27" t="inlineStr">
        <is>
          <t>Independent Spaza Sandton Central</t>
        </is>
      </c>
      <c r="C139" s="27" t="inlineStr">
        <is>
          <t>Independent Spaza</t>
        </is>
      </c>
      <c r="D139" s="27" t="inlineStr">
        <is>
          <t>Gauteng</t>
        </is>
      </c>
      <c r="E139" s="27" t="inlineStr">
        <is>
          <t>Sandton</t>
        </is>
      </c>
      <c r="F139" s="27" t="n">
        <v>-26.210683</v>
      </c>
      <c r="G139" s="27" t="n">
        <v>27.304706</v>
      </c>
      <c r="H139" s="41" t="n">
        <v>42502</v>
      </c>
      <c r="I139" s="27" t="n">
        <v>35</v>
      </c>
      <c r="J139" s="27" t="inlineStr">
        <is>
          <t>Active</t>
        </is>
      </c>
    </row>
    <row r="140" ht="15" customHeight="1" s="24">
      <c r="A140" s="27" t="n">
        <v>2156</v>
      </c>
      <c r="B140" s="27" t="inlineStr">
        <is>
          <t>PostNet Mahikeng Park</t>
        </is>
      </c>
      <c r="C140" s="27" t="inlineStr">
        <is>
          <t>PostNet</t>
        </is>
      </c>
      <c r="D140" s="27" t="inlineStr">
        <is>
          <t>North West</t>
        </is>
      </c>
      <c r="E140" s="27" t="inlineStr">
        <is>
          <t>Mahikeng</t>
        </is>
      </c>
      <c r="F140" s="27" t="n">
        <v>-26.589146</v>
      </c>
      <c r="G140" s="27" t="n">
        <v>26.355737</v>
      </c>
      <c r="H140" s="41" t="n">
        <v>44981</v>
      </c>
      <c r="I140" s="27" t="n">
        <v>200</v>
      </c>
      <c r="J140" s="27" t="inlineStr">
        <is>
          <t>Suspended</t>
        </is>
      </c>
    </row>
    <row r="141" ht="15" customHeight="1" s="24">
      <c r="A141" s="27" t="n">
        <v>1597</v>
      </c>
      <c r="B141" s="27" t="inlineStr">
        <is>
          <t>PEP Polokwane Central</t>
        </is>
      </c>
      <c r="C141" s="27" t="inlineStr">
        <is>
          <t>PEP</t>
        </is>
      </c>
      <c r="D141" s="27" t="inlineStr">
        <is>
          <t>Limpopo</t>
        </is>
      </c>
      <c r="E141" s="27" t="inlineStr">
        <is>
          <t>Polokwane</t>
        </is>
      </c>
      <c r="F141" s="27" t="n">
        <v>-24.459575</v>
      </c>
      <c r="G141" s="27" t="n">
        <v>29.614731</v>
      </c>
      <c r="H141" s="41" t="n">
        <v>42826</v>
      </c>
      <c r="I141" s="27" t="n">
        <v>80</v>
      </c>
      <c r="J141" s="27" t="inlineStr">
        <is>
          <t>Active</t>
        </is>
      </c>
    </row>
    <row r="142" ht="15" customHeight="1" s="24">
      <c r="A142" s="27" t="n">
        <v>3588</v>
      </c>
      <c r="B142" s="27" t="inlineStr">
        <is>
          <t>Build it Sandton Park</t>
        </is>
      </c>
      <c r="C142" s="27" t="inlineStr">
        <is>
          <t>Build it</t>
        </is>
      </c>
      <c r="D142" s="27" t="inlineStr">
        <is>
          <t>Gauteng</t>
        </is>
      </c>
      <c r="E142" s="27" t="inlineStr">
        <is>
          <t>Sandton</t>
        </is>
      </c>
      <c r="F142" s="27" t="n">
        <v>-26.18178</v>
      </c>
      <c r="G142" s="27" t="n">
        <v>28.545093</v>
      </c>
      <c r="H142" s="41" t="n">
        <v>43283</v>
      </c>
      <c r="I142" s="27" t="n">
        <v>20</v>
      </c>
      <c r="J142" s="27" t="inlineStr">
        <is>
          <t>Active</t>
        </is>
      </c>
    </row>
    <row r="143" ht="15" customHeight="1" s="24">
      <c r="A143" s="27" t="n">
        <v>2075</v>
      </c>
      <c r="B143" s="27" t="inlineStr">
        <is>
          <t>Independent Spaza Polokwane Park</t>
        </is>
      </c>
      <c r="C143" s="27" t="inlineStr">
        <is>
          <t>Independent Spaza</t>
        </is>
      </c>
      <c r="D143" s="27" t="inlineStr">
        <is>
          <t>Limpopo</t>
        </is>
      </c>
      <c r="E143" s="27" t="inlineStr">
        <is>
          <t>Polokwane</t>
        </is>
      </c>
      <c r="F143" s="27" t="n">
        <v>-23.951104</v>
      </c>
      <c r="G143" s="27" t="n">
        <v>27.154406</v>
      </c>
      <c r="H143" s="41" t="n">
        <v>42731</v>
      </c>
      <c r="I143" s="27" t="n">
        <v>50</v>
      </c>
      <c r="J143" s="27" t="inlineStr">
        <is>
          <t>Active</t>
        </is>
      </c>
    </row>
    <row r="144" ht="15" customHeight="1" s="24">
      <c r="A144" s="27" t="n">
        <v>2788</v>
      </c>
      <c r="B144" s="27" t="inlineStr">
        <is>
          <t xml:space="preserve">PEP Paarl </t>
        </is>
      </c>
      <c r="C144" s="27" t="inlineStr">
        <is>
          <t>PEP</t>
        </is>
      </c>
      <c r="D144" s="27" t="inlineStr">
        <is>
          <t>Western Cape</t>
        </is>
      </c>
      <c r="E144" s="27" t="inlineStr">
        <is>
          <t>Paarl</t>
        </is>
      </c>
      <c r="F144" s="27" t="n">
        <v>-33.994929</v>
      </c>
      <c r="G144" s="27" t="n">
        <v>21.229348</v>
      </c>
      <c r="H144" s="41" t="n">
        <v>45339</v>
      </c>
      <c r="I144" s="27" t="n">
        <v>20</v>
      </c>
      <c r="J144" s="27" t="inlineStr">
        <is>
          <t>Active</t>
        </is>
      </c>
    </row>
    <row r="145" ht="15" customHeight="1" s="24">
      <c r="A145" s="27" t="n">
        <v>1097</v>
      </c>
      <c r="B145" s="27" t="inlineStr">
        <is>
          <t>PEP Durban Central</t>
        </is>
      </c>
      <c r="C145" s="27" t="inlineStr">
        <is>
          <t>PEP</t>
        </is>
      </c>
      <c r="D145" s="27" t="inlineStr">
        <is>
          <t>KwaZulu-Natal</t>
        </is>
      </c>
      <c r="E145" s="27" t="inlineStr">
        <is>
          <t>Durban</t>
        </is>
      </c>
      <c r="F145" s="27" t="n">
        <v>-30.461135</v>
      </c>
      <c r="G145" s="27" t="n">
        <v>30.185735</v>
      </c>
      <c r="H145" s="41" t="n">
        <v>45866</v>
      </c>
      <c r="I145" s="27" t="n">
        <v>50</v>
      </c>
      <c r="J145" s="27" t="inlineStr">
        <is>
          <t>Active</t>
        </is>
      </c>
    </row>
    <row r="146" ht="15" customHeight="1" s="24">
      <c r="A146" s="27" t="n">
        <v>3292</v>
      </c>
      <c r="B146" s="27" t="inlineStr">
        <is>
          <t>Caltex Freshstop Mthatha Mall</t>
        </is>
      </c>
      <c r="C146" s="27" t="inlineStr">
        <is>
          <t>Caltex Freshstop</t>
        </is>
      </c>
      <c r="D146" s="27" t="inlineStr">
        <is>
          <t>Eastern Cape</t>
        </is>
      </c>
      <c r="E146" s="27" t="inlineStr">
        <is>
          <t>Mthatha</t>
        </is>
      </c>
      <c r="F146" s="27" t="n">
        <v>-30.759725</v>
      </c>
      <c r="G146" s="27" t="n">
        <v>25.096053</v>
      </c>
      <c r="H146" s="41" t="n">
        <v>44749</v>
      </c>
      <c r="I146" s="27" t="n">
        <v>200</v>
      </c>
      <c r="J146" s="27" t="inlineStr">
        <is>
          <t>Active</t>
        </is>
      </c>
    </row>
    <row r="147" ht="15" customHeight="1" s="24">
      <c r="A147" s="27" t="n">
        <v>1634</v>
      </c>
      <c r="B147" s="27" t="inlineStr">
        <is>
          <t>PEP Johannesburg Park</t>
        </is>
      </c>
      <c r="C147" s="27" t="inlineStr">
        <is>
          <t>PEP</t>
        </is>
      </c>
      <c r="D147" s="27" t="inlineStr">
        <is>
          <t>Gauteng</t>
        </is>
      </c>
      <c r="E147" s="27" t="inlineStr">
        <is>
          <t>Johannesburg</t>
        </is>
      </c>
      <c r="F147" s="27" t="n">
        <v>-26.051146</v>
      </c>
      <c r="G147" s="27" t="n">
        <v>29.011122</v>
      </c>
      <c r="H147" s="41" t="n">
        <v>44871</v>
      </c>
      <c r="I147" s="27" t="n">
        <v>80</v>
      </c>
      <c r="J147" s="27" t="inlineStr">
        <is>
          <t>Active</t>
        </is>
      </c>
    </row>
    <row r="148" ht="15" customHeight="1" s="24">
      <c r="A148" s="27" t="n">
        <v>324</v>
      </c>
      <c r="B148" s="27" t="inlineStr">
        <is>
          <t>Clicks Benoni Junction</t>
        </is>
      </c>
      <c r="C148" s="27" t="inlineStr">
        <is>
          <t>Clicks</t>
        </is>
      </c>
      <c r="D148" s="27" t="inlineStr">
        <is>
          <t>Gauteng</t>
        </is>
      </c>
      <c r="E148" s="27" t="inlineStr">
        <is>
          <t>Benoni</t>
        </is>
      </c>
      <c r="F148" s="27" t="n">
        <v>-25.349296</v>
      </c>
      <c r="G148" s="27" t="n">
        <v>27.780491</v>
      </c>
      <c r="H148" s="41" t="n">
        <v>43373</v>
      </c>
      <c r="I148" s="27" t="n">
        <v>35</v>
      </c>
      <c r="J148" s="27" t="inlineStr">
        <is>
          <t>Active</t>
        </is>
      </c>
    </row>
    <row r="149" ht="15" customHeight="1" s="24">
      <c r="A149" s="27" t="n">
        <v>2179</v>
      </c>
      <c r="B149" s="27" t="inlineStr">
        <is>
          <t>Clicks Pietermaritzburg Mall</t>
        </is>
      </c>
      <c r="C149" s="27" t="inlineStr">
        <is>
          <t>Clicks</t>
        </is>
      </c>
      <c r="D149" s="27" t="inlineStr">
        <is>
          <t>KwaZulu-Natal</t>
        </is>
      </c>
      <c r="E149" s="27" t="inlineStr">
        <is>
          <t>Pietermaritzburg</t>
        </is>
      </c>
      <c r="F149" s="27" t="n">
        <v>-28.628483</v>
      </c>
      <c r="G149" s="27" t="n">
        <v>29.072422</v>
      </c>
      <c r="H149" s="41" t="n">
        <v>44364</v>
      </c>
      <c r="I149" s="27" t="n">
        <v>50</v>
      </c>
      <c r="J149" s="27" t="inlineStr">
        <is>
          <t>Active</t>
        </is>
      </c>
    </row>
    <row r="150" ht="15" customHeight="1" s="24">
      <c r="A150" s="27" t="n">
        <v>3051</v>
      </c>
      <c r="B150" s="27" t="inlineStr">
        <is>
          <t>Clicks Middelburg Central</t>
        </is>
      </c>
      <c r="C150" s="27" t="inlineStr">
        <is>
          <t>Clicks</t>
        </is>
      </c>
      <c r="D150" s="27" t="inlineStr">
        <is>
          <t>Mpumalanga</t>
        </is>
      </c>
      <c r="E150" s="27" t="inlineStr">
        <is>
          <t>Middelburg</t>
        </is>
      </c>
      <c r="F150" s="27" t="n">
        <v>-24.815192</v>
      </c>
      <c r="G150" s="27" t="n">
        <v>30.610624</v>
      </c>
      <c r="H150" s="41" t="n">
        <v>45952</v>
      </c>
      <c r="I150" s="27" t="n">
        <v>50</v>
      </c>
      <c r="J150" s="27" t="inlineStr">
        <is>
          <t>Active</t>
        </is>
      </c>
    </row>
    <row r="151" ht="15" customHeight="1" s="24">
      <c r="A151" s="27" t="n">
        <v>997</v>
      </c>
      <c r="B151" s="27" t="inlineStr">
        <is>
          <t xml:space="preserve">Caltex Freshstop Centurion </t>
        </is>
      </c>
      <c r="C151" s="27" t="inlineStr">
        <is>
          <t>Caltex Freshstop</t>
        </is>
      </c>
      <c r="D151" s="27" t="inlineStr">
        <is>
          <t>Gauteng</t>
        </is>
      </c>
      <c r="E151" s="27" t="inlineStr">
        <is>
          <t>Centurion</t>
        </is>
      </c>
      <c r="F151" s="27" t="n">
        <v>-26.116455</v>
      </c>
      <c r="G151" s="27" t="n">
        <v>28.123194</v>
      </c>
      <c r="H151" s="41" t="n">
        <v>44974</v>
      </c>
      <c r="I151" s="27" t="n">
        <v>200</v>
      </c>
      <c r="J151" s="27" t="inlineStr">
        <is>
          <t>Active</t>
        </is>
      </c>
    </row>
    <row r="152" ht="15" customHeight="1" s="24">
      <c r="A152" s="27" t="n">
        <v>261</v>
      </c>
      <c r="B152" s="27" t="inlineStr">
        <is>
          <t>PEP Centurion Plaza</t>
        </is>
      </c>
      <c r="C152" s="27" t="inlineStr">
        <is>
          <t>PEP</t>
        </is>
      </c>
      <c r="D152" s="27" t="inlineStr">
        <is>
          <t>Gauteng</t>
        </is>
      </c>
      <c r="E152" s="27" t="inlineStr">
        <is>
          <t>Centurion</t>
        </is>
      </c>
      <c r="F152" s="27" t="n">
        <v>-26.132393</v>
      </c>
      <c r="G152" s="27" t="n">
        <v>28.175153</v>
      </c>
      <c r="H152" s="41" t="n">
        <v>42902</v>
      </c>
      <c r="I152" s="27" t="n">
        <v>50</v>
      </c>
      <c r="J152" s="27" t="inlineStr">
        <is>
          <t>Active</t>
        </is>
      </c>
    </row>
    <row r="153" ht="15" customHeight="1" s="24">
      <c r="A153" s="27" t="n">
        <v>3150</v>
      </c>
      <c r="B153" s="27" t="inlineStr">
        <is>
          <t xml:space="preserve">Clicks Midrand </t>
        </is>
      </c>
      <c r="C153" s="27" t="inlineStr">
        <is>
          <t>Clicks</t>
        </is>
      </c>
      <c r="D153" s="27" t="inlineStr">
        <is>
          <t>Gauteng</t>
        </is>
      </c>
      <c r="E153" s="27" t="inlineStr">
        <is>
          <t>Midrand</t>
        </is>
      </c>
      <c r="F153" s="27" t="n">
        <v>-25.969547</v>
      </c>
      <c r="G153" s="27" t="n">
        <v>27.62138</v>
      </c>
      <c r="H153" s="41" t="n">
        <v>44285</v>
      </c>
      <c r="I153" s="27" t="n">
        <v>80</v>
      </c>
      <c r="J153" s="27" t="inlineStr">
        <is>
          <t>Active</t>
        </is>
      </c>
    </row>
    <row r="154" ht="15" customHeight="1" s="24">
      <c r="A154" s="27" t="n">
        <v>1818</v>
      </c>
      <c r="B154" s="27" t="inlineStr">
        <is>
          <t>Clicks Centurion Park</t>
        </is>
      </c>
      <c r="C154" s="27" t="inlineStr">
        <is>
          <t>Clicks</t>
        </is>
      </c>
      <c r="D154" s="27" t="inlineStr">
        <is>
          <t>Gauteng</t>
        </is>
      </c>
      <c r="E154" s="27" t="inlineStr">
        <is>
          <t>Centurion</t>
        </is>
      </c>
      <c r="F154" s="27" t="n">
        <v>-26.491012</v>
      </c>
      <c r="G154" s="27" t="n">
        <v>27.700692</v>
      </c>
      <c r="H154" s="41" t="n">
        <v>45166</v>
      </c>
      <c r="I154" s="27" t="n">
        <v>35</v>
      </c>
      <c r="J154" s="27" t="inlineStr">
        <is>
          <t>Active</t>
        </is>
      </c>
    </row>
    <row r="155" ht="15" customHeight="1" s="24">
      <c r="A155" s="27" t="n">
        <v>3938</v>
      </c>
      <c r="B155" s="27" t="inlineStr">
        <is>
          <t>Independent Spaza Klerksdorp Plaza</t>
        </is>
      </c>
      <c r="C155" s="27" t="inlineStr">
        <is>
          <t>Independent Spaza</t>
        </is>
      </c>
      <c r="D155" s="27" t="inlineStr">
        <is>
          <t>North West</t>
        </is>
      </c>
      <c r="E155" s="27" t="inlineStr">
        <is>
          <t>Klerksdorp</t>
        </is>
      </c>
      <c r="F155" s="27" t="n">
        <v>-26.92736</v>
      </c>
      <c r="G155" s="27" t="n">
        <v>25.46956</v>
      </c>
      <c r="H155" s="41" t="n">
        <v>43432</v>
      </c>
      <c r="I155" s="27" t="n">
        <v>80</v>
      </c>
      <c r="J155" s="27" t="inlineStr">
        <is>
          <t>Active</t>
        </is>
      </c>
    </row>
    <row r="156" ht="15" customHeight="1" s="24">
      <c r="A156" s="27" t="n">
        <v>2422</v>
      </c>
      <c r="B156" s="27" t="inlineStr">
        <is>
          <t>Clicks Durban Central</t>
        </is>
      </c>
      <c r="C156" s="27" t="inlineStr">
        <is>
          <t>Clicks</t>
        </is>
      </c>
      <c r="D156" s="27" t="inlineStr">
        <is>
          <t>KwaZulu-Natal</t>
        </is>
      </c>
      <c r="E156" s="27" t="inlineStr">
        <is>
          <t>Durban</t>
        </is>
      </c>
      <c r="F156" s="27" t="n">
        <v>-29.209623</v>
      </c>
      <c r="G156" s="27" t="n">
        <v>30.247296</v>
      </c>
      <c r="H156" s="41" t="n">
        <v>43079</v>
      </c>
      <c r="I156" s="27" t="n">
        <v>80</v>
      </c>
      <c r="J156" s="27" t="inlineStr">
        <is>
          <t>Active</t>
        </is>
      </c>
    </row>
    <row r="157" ht="15" customHeight="1" s="24">
      <c r="A157" s="27" t="n">
        <v>2155</v>
      </c>
      <c r="B157" s="27" t="inlineStr">
        <is>
          <t>Independent Spaza Durban Park</t>
        </is>
      </c>
      <c r="C157" s="27" t="inlineStr">
        <is>
          <t>Independent Spaza</t>
        </is>
      </c>
      <c r="D157" s="27" t="inlineStr">
        <is>
          <t>KwaZulu-Natal</t>
        </is>
      </c>
      <c r="E157" s="27" t="inlineStr">
        <is>
          <t>Durban</t>
        </is>
      </c>
      <c r="F157" s="27" t="n">
        <v>-28.884475</v>
      </c>
      <c r="G157" s="27" t="n">
        <v>31.089814</v>
      </c>
      <c r="H157" s="41" t="n">
        <v>42519</v>
      </c>
      <c r="I157" s="27" t="n">
        <v>35</v>
      </c>
      <c r="J157" s="27" t="inlineStr">
        <is>
          <t>Active</t>
        </is>
      </c>
    </row>
    <row r="158" ht="15" customHeight="1" s="24">
      <c r="A158" s="27" t="n">
        <v>1506</v>
      </c>
      <c r="B158" s="27" t="inlineStr">
        <is>
          <t>PEP Cape Town Junction</t>
        </is>
      </c>
      <c r="C158" s="27" t="inlineStr">
        <is>
          <t>PEP</t>
        </is>
      </c>
      <c r="D158" s="27" t="inlineStr">
        <is>
          <t>Western Cape</t>
        </is>
      </c>
      <c r="E158" s="27" t="inlineStr">
        <is>
          <t>Cape Town</t>
        </is>
      </c>
      <c r="F158" s="27" t="n">
        <v>-32.51855</v>
      </c>
      <c r="G158" s="27" t="n">
        <v>20.038077</v>
      </c>
      <c r="H158" s="41" t="n">
        <v>44766</v>
      </c>
      <c r="I158" s="27" t="n">
        <v>50</v>
      </c>
      <c r="J158" s="27" t="inlineStr">
        <is>
          <t>Active</t>
        </is>
      </c>
    </row>
    <row r="159" ht="15" customHeight="1" s="24">
      <c r="A159" s="27" t="n">
        <v>834</v>
      </c>
      <c r="B159" s="27" t="inlineStr">
        <is>
          <t>Caltex Freshstop Gqeberha Square</t>
        </is>
      </c>
      <c r="C159" s="27" t="inlineStr">
        <is>
          <t>Caltex Freshstop</t>
        </is>
      </c>
      <c r="D159" s="27" t="inlineStr">
        <is>
          <t>Eastern Cape</t>
        </is>
      </c>
      <c r="E159" s="27" t="inlineStr">
        <is>
          <t>Gqeberha</t>
        </is>
      </c>
      <c r="F159" s="27" t="n">
        <v>-30.916591</v>
      </c>
      <c r="G159" s="27" t="n">
        <v>27.379278</v>
      </c>
      <c r="H159" s="41" t="n">
        <v>43869</v>
      </c>
      <c r="I159" s="27" t="n">
        <v>35</v>
      </c>
      <c r="J159" s="27" t="inlineStr">
        <is>
          <t>Active</t>
        </is>
      </c>
    </row>
    <row r="160" ht="15" customHeight="1" s="24">
      <c r="A160" s="27" t="n">
        <v>2726</v>
      </c>
      <c r="B160" s="27" t="inlineStr">
        <is>
          <t>Clicks Durban Plaza</t>
        </is>
      </c>
      <c r="C160" s="27" t="inlineStr">
        <is>
          <t>Clicks</t>
        </is>
      </c>
      <c r="D160" s="27" t="inlineStr">
        <is>
          <t>KwaZulu-Natal</t>
        </is>
      </c>
      <c r="E160" s="27" t="inlineStr">
        <is>
          <t>Durban</t>
        </is>
      </c>
      <c r="F160" s="27" t="n">
        <v>-28.598457</v>
      </c>
      <c r="G160" s="27" t="n">
        <v>30.700541</v>
      </c>
      <c r="H160" s="41" t="n">
        <v>43713</v>
      </c>
      <c r="I160" s="27" t="n">
        <v>120</v>
      </c>
      <c r="J160" s="27" t="inlineStr">
        <is>
          <t>Active</t>
        </is>
      </c>
    </row>
    <row r="161" ht="15" customHeight="1" s="24">
      <c r="A161" s="27" t="n">
        <v>3669</v>
      </c>
      <c r="B161" s="27" t="inlineStr">
        <is>
          <t>Waltons Pretoria Park</t>
        </is>
      </c>
      <c r="C161" s="27" t="inlineStr">
        <is>
          <t>Waltons</t>
        </is>
      </c>
      <c r="D161" s="27" t="inlineStr">
        <is>
          <t>Gauteng</t>
        </is>
      </c>
      <c r="E161" s="27" t="inlineStr">
        <is>
          <t>Pretoria</t>
        </is>
      </c>
      <c r="F161" s="27" t="n">
        <v>-26.092323</v>
      </c>
      <c r="G161" s="27" t="n">
        <v>28.61959</v>
      </c>
      <c r="H161" s="41" t="n">
        <v>45671</v>
      </c>
      <c r="I161" s="27" t="n">
        <v>50</v>
      </c>
      <c r="J161" s="27" t="inlineStr">
        <is>
          <t>Active</t>
        </is>
      </c>
    </row>
    <row r="162" ht="15" customHeight="1" s="24">
      <c r="A162" s="27" t="n">
        <v>3680</v>
      </c>
      <c r="B162" s="27" t="inlineStr">
        <is>
          <t xml:space="preserve">Build it Roodepoort </t>
        </is>
      </c>
      <c r="C162" s="27" t="inlineStr">
        <is>
          <t>Build it</t>
        </is>
      </c>
      <c r="D162" s="27" t="inlineStr">
        <is>
          <t>Gauteng</t>
        </is>
      </c>
      <c r="E162" s="27" t="inlineStr">
        <is>
          <t>Roodepoort</t>
        </is>
      </c>
      <c r="F162" s="27" t="n">
        <v>-26.19161</v>
      </c>
      <c r="G162" s="27" t="n">
        <v>29.051633</v>
      </c>
      <c r="H162" s="41" t="n">
        <v>45045</v>
      </c>
      <c r="I162" s="27" t="n">
        <v>50</v>
      </c>
      <c r="J162" s="27" t="inlineStr">
        <is>
          <t>Active</t>
        </is>
      </c>
    </row>
    <row r="163" ht="15" customHeight="1" s="24">
      <c r="A163" s="27" t="n">
        <v>2937</v>
      </c>
      <c r="B163" s="27" t="inlineStr">
        <is>
          <t>Waltons Pietermaritzburg Square</t>
        </is>
      </c>
      <c r="C163" s="27" t="inlineStr">
        <is>
          <t>Waltons</t>
        </is>
      </c>
      <c r="D163" s="27" t="inlineStr">
        <is>
          <t>KwaZulu-Natal</t>
        </is>
      </c>
      <c r="E163" s="27" t="inlineStr">
        <is>
          <t>Pietermaritzburg</t>
        </is>
      </c>
      <c r="F163" s="27" t="n">
        <v>-29.729195</v>
      </c>
      <c r="G163" s="27" t="n">
        <v>31.906704</v>
      </c>
      <c r="H163" s="41" t="n">
        <v>43163</v>
      </c>
      <c r="I163" s="27" t="n">
        <v>80</v>
      </c>
      <c r="J163" s="27" t="inlineStr">
        <is>
          <t>Active</t>
        </is>
      </c>
    </row>
    <row r="164" ht="15" customHeight="1" s="24">
      <c r="A164" s="27" t="n">
        <v>2692</v>
      </c>
      <c r="B164" s="27" t="inlineStr">
        <is>
          <t>PEP Pinetown Central</t>
        </is>
      </c>
      <c r="C164" s="27" t="inlineStr">
        <is>
          <t>PEP</t>
        </is>
      </c>
      <c r="D164" s="27" t="inlineStr">
        <is>
          <t>KwaZulu-Natal</t>
        </is>
      </c>
      <c r="E164" s="27" t="inlineStr">
        <is>
          <t>Pinetown</t>
        </is>
      </c>
      <c r="F164" s="27" t="n">
        <v>-29.643862</v>
      </c>
      <c r="G164" s="27" t="n">
        <v>30.310814</v>
      </c>
      <c r="H164" s="41" t="n">
        <v>45588</v>
      </c>
      <c r="I164" s="27" t="n">
        <v>200</v>
      </c>
      <c r="J164" s="27" t="inlineStr">
        <is>
          <t>Active</t>
        </is>
      </c>
    </row>
    <row r="165" ht="15" customHeight="1" s="24">
      <c r="A165" s="27" t="n">
        <v>840</v>
      </c>
      <c r="B165" s="27" t="inlineStr">
        <is>
          <t>Caltex Freshstop Durban Mall</t>
        </is>
      </c>
      <c r="C165" s="27" t="inlineStr">
        <is>
          <t>Caltex Freshstop</t>
        </is>
      </c>
      <c r="D165" s="27" t="inlineStr">
        <is>
          <t>KwaZulu-Natal</t>
        </is>
      </c>
      <c r="E165" s="27" t="inlineStr">
        <is>
          <t>Durban</t>
        </is>
      </c>
      <c r="F165" s="27" t="n">
        <v>-27.667372</v>
      </c>
      <c r="G165" s="27" t="n">
        <v>30.574907</v>
      </c>
      <c r="H165" s="41" t="n">
        <v>45551</v>
      </c>
      <c r="I165" s="27" t="n">
        <v>35</v>
      </c>
      <c r="J165" s="27" t="inlineStr">
        <is>
          <t>Active</t>
        </is>
      </c>
    </row>
    <row r="166" ht="15" customHeight="1" s="24">
      <c r="A166" s="27" t="n">
        <v>2713</v>
      </c>
      <c r="B166" s="27" t="inlineStr">
        <is>
          <t xml:space="preserve">Build it Benoni </t>
        </is>
      </c>
      <c r="C166" s="27" t="inlineStr">
        <is>
          <t>Build it</t>
        </is>
      </c>
      <c r="D166" s="27" t="inlineStr">
        <is>
          <t>Gauteng</t>
        </is>
      </c>
      <c r="E166" s="27" t="inlineStr">
        <is>
          <t>Benoni</t>
        </is>
      </c>
      <c r="F166" s="27" t="n">
        <v>-25.233109</v>
      </c>
      <c r="G166" s="27" t="n">
        <v>28.374347</v>
      </c>
      <c r="H166" s="41" t="n">
        <v>45836</v>
      </c>
      <c r="I166" s="27" t="n">
        <v>35</v>
      </c>
      <c r="J166" s="27" t="inlineStr">
        <is>
          <t>Active</t>
        </is>
      </c>
    </row>
    <row r="167" ht="15" customHeight="1" s="24">
      <c r="A167" s="27" t="n">
        <v>2509</v>
      </c>
      <c r="B167" s="27" t="inlineStr">
        <is>
          <t>Clicks Mokopane Square</t>
        </is>
      </c>
      <c r="C167" s="27" t="inlineStr">
        <is>
          <t>Clicks</t>
        </is>
      </c>
      <c r="D167" s="27" t="inlineStr">
        <is>
          <t>Limpopo</t>
        </is>
      </c>
      <c r="E167" s="27" t="inlineStr">
        <is>
          <t>Mokopane</t>
        </is>
      </c>
      <c r="F167" s="27" t="n">
        <v>-23.066945</v>
      </c>
      <c r="G167" s="27" t="n">
        <v>27.054948</v>
      </c>
      <c r="H167" s="41" t="n">
        <v>42784</v>
      </c>
      <c r="I167" s="27" t="n">
        <v>50</v>
      </c>
      <c r="J167" s="27" t="inlineStr">
        <is>
          <t>Active</t>
        </is>
      </c>
    </row>
    <row r="168" ht="15" customHeight="1" s="24">
      <c r="A168" s="27" t="n">
        <v>1339</v>
      </c>
      <c r="B168" s="27" t="inlineStr">
        <is>
          <t>PEP Welkom Plaza</t>
        </is>
      </c>
      <c r="C168" s="27" t="inlineStr">
        <is>
          <t>PEP</t>
        </is>
      </c>
      <c r="D168" s="27" t="inlineStr">
        <is>
          <t>Free State</t>
        </is>
      </c>
      <c r="E168" s="27" t="inlineStr">
        <is>
          <t>Welkom</t>
        </is>
      </c>
      <c r="F168" s="27" t="n">
        <v>-27.560262</v>
      </c>
      <c r="G168" s="27" t="n">
        <v>24.520307</v>
      </c>
      <c r="H168" s="41" t="n">
        <v>45039</v>
      </c>
      <c r="I168" s="27" t="n">
        <v>35</v>
      </c>
      <c r="J168" s="27" t="inlineStr">
        <is>
          <t>Active</t>
        </is>
      </c>
    </row>
    <row r="169" ht="15" customHeight="1" s="24">
      <c r="A169" s="27" t="n">
        <v>2628</v>
      </c>
      <c r="B169" s="27" t="inlineStr">
        <is>
          <t>Independent Spaza Tzaneen Plaza</t>
        </is>
      </c>
      <c r="C169" s="27" t="inlineStr">
        <is>
          <t>Independent Spaza</t>
        </is>
      </c>
      <c r="D169" s="27" t="inlineStr">
        <is>
          <t>Limpopo</t>
        </is>
      </c>
      <c r="E169" s="27" t="inlineStr">
        <is>
          <t>Tzaneen</t>
        </is>
      </c>
      <c r="F169" s="27" t="n">
        <v>-22.334951</v>
      </c>
      <c r="G169" s="27" t="n">
        <v>30.491593</v>
      </c>
      <c r="H169" s="41" t="n">
        <v>42672</v>
      </c>
      <c r="I169" s="27" t="n">
        <v>200</v>
      </c>
      <c r="J169" s="27" t="inlineStr">
        <is>
          <t>Active</t>
        </is>
      </c>
    </row>
    <row r="170" ht="15" customHeight="1" s="24">
      <c r="A170" s="27" t="n">
        <v>597</v>
      </c>
      <c r="B170" s="27" t="inlineStr">
        <is>
          <t>PostNet Johannesburg Central</t>
        </is>
      </c>
      <c r="C170" s="27" t="inlineStr">
        <is>
          <t>PostNet</t>
        </is>
      </c>
      <c r="D170" s="27" t="inlineStr">
        <is>
          <t>Gauteng</t>
        </is>
      </c>
      <c r="E170" s="27" t="inlineStr">
        <is>
          <t>Johannesburg</t>
        </is>
      </c>
      <c r="F170" s="27" t="n">
        <v>-25.673355</v>
      </c>
      <c r="G170" s="27" t="n">
        <v>28.029132</v>
      </c>
      <c r="H170" s="41" t="n">
        <v>43333</v>
      </c>
      <c r="I170" s="27" t="n">
        <v>80</v>
      </c>
      <c r="J170" s="27" t="inlineStr">
        <is>
          <t>Active</t>
        </is>
      </c>
    </row>
    <row r="171" ht="15" customHeight="1" s="24">
      <c r="A171" s="27" t="n">
        <v>728</v>
      </c>
      <c r="B171" s="27" t="inlineStr">
        <is>
          <t>Clicks Witbank Mall</t>
        </is>
      </c>
      <c r="C171" s="27" t="inlineStr">
        <is>
          <t>Clicks</t>
        </is>
      </c>
      <c r="D171" s="27" t="inlineStr">
        <is>
          <t>Mpumalanga</t>
        </is>
      </c>
      <c r="E171" s="27" t="inlineStr">
        <is>
          <t>Witbank</t>
        </is>
      </c>
      <c r="F171" s="27" t="n">
        <v>-25.086344</v>
      </c>
      <c r="G171" s="27" t="n">
        <v>30.968126</v>
      </c>
      <c r="H171" s="41" t="n">
        <v>44395</v>
      </c>
      <c r="I171" s="27" t="n">
        <v>20</v>
      </c>
      <c r="J171" s="27" t="inlineStr">
        <is>
          <t>Active</t>
        </is>
      </c>
    </row>
    <row r="172" ht="15" customHeight="1" s="24">
      <c r="A172" s="27" t="n">
        <v>539</v>
      </c>
      <c r="B172" s="27" t="inlineStr">
        <is>
          <t>Clicks Witbank Park</t>
        </is>
      </c>
      <c r="C172" s="27" t="inlineStr">
        <is>
          <t>Clicks</t>
        </is>
      </c>
      <c r="D172" s="27" t="inlineStr">
        <is>
          <t>Mpumalanga</t>
        </is>
      </c>
      <c r="E172" s="27" t="inlineStr">
        <is>
          <t>Witbank</t>
        </is>
      </c>
      <c r="F172" s="27" t="n">
        <v>-26.520857</v>
      </c>
      <c r="G172" s="27" t="n">
        <v>29.659036</v>
      </c>
      <c r="H172" s="41" t="n">
        <v>44719</v>
      </c>
      <c r="I172" s="27" t="n">
        <v>20</v>
      </c>
      <c r="J172" s="27" t="inlineStr">
        <is>
          <t>Active</t>
        </is>
      </c>
    </row>
    <row r="173" ht="15" customHeight="1" s="24">
      <c r="A173" s="27" t="n">
        <v>3200</v>
      </c>
      <c r="B173" s="27" t="inlineStr">
        <is>
          <t>PostNet Newcastle Park</t>
        </is>
      </c>
      <c r="C173" s="27" t="inlineStr">
        <is>
          <t>PostNet</t>
        </is>
      </c>
      <c r="D173" s="27" t="inlineStr">
        <is>
          <t>KwaZulu-Natal</t>
        </is>
      </c>
      <c r="E173" s="27" t="inlineStr">
        <is>
          <t>Newcastle</t>
        </is>
      </c>
      <c r="F173" s="27" t="n">
        <v>-28.807106</v>
      </c>
      <c r="G173" s="27" t="n">
        <v>31.264153</v>
      </c>
      <c r="H173" s="41" t="n">
        <v>45200</v>
      </c>
      <c r="I173" s="27" t="n">
        <v>50</v>
      </c>
      <c r="J173" s="27" t="inlineStr">
        <is>
          <t>Active</t>
        </is>
      </c>
    </row>
    <row r="174" ht="15" customHeight="1" s="24">
      <c r="A174" s="27" t="n">
        <v>3843</v>
      </c>
      <c r="B174" s="27" t="inlineStr">
        <is>
          <t xml:space="preserve">Waltons Newcastle </t>
        </is>
      </c>
      <c r="C174" s="27" t="inlineStr">
        <is>
          <t>Waltons</t>
        </is>
      </c>
      <c r="D174" s="27" t="inlineStr">
        <is>
          <t>KwaZulu-Natal</t>
        </is>
      </c>
      <c r="E174" s="27" t="inlineStr">
        <is>
          <t>Newcastle</t>
        </is>
      </c>
      <c r="F174" s="27" t="n">
        <v>-27.836536</v>
      </c>
      <c r="G174" s="27" t="n">
        <v>30.909646</v>
      </c>
      <c r="H174" s="41" t="n">
        <v>43895</v>
      </c>
      <c r="I174" s="27" t="n">
        <v>80</v>
      </c>
      <c r="J174" s="27" t="inlineStr">
        <is>
          <t>Active</t>
        </is>
      </c>
    </row>
    <row r="175" ht="15" customHeight="1" s="24">
      <c r="A175" s="27" t="n">
        <v>1056</v>
      </c>
      <c r="B175" s="27" t="inlineStr">
        <is>
          <t>Caltex Freshstop Secunda Junction</t>
        </is>
      </c>
      <c r="C175" s="27" t="inlineStr">
        <is>
          <t>Caltex Freshstop</t>
        </is>
      </c>
      <c r="D175" s="27" t="inlineStr">
        <is>
          <t>Mpumalanga</t>
        </is>
      </c>
      <c r="E175" s="27" t="inlineStr">
        <is>
          <t>Secunda</t>
        </is>
      </c>
      <c r="F175" s="27" t="n">
        <v>-26.036776</v>
      </c>
      <c r="G175" s="27" t="n">
        <v>31.210151</v>
      </c>
      <c r="H175" s="41" t="n">
        <v>44885</v>
      </c>
      <c r="I175" s="27" t="n">
        <v>50</v>
      </c>
      <c r="J175" s="27" t="inlineStr">
        <is>
          <t>Active</t>
        </is>
      </c>
    </row>
    <row r="176" ht="15" customHeight="1" s="24">
      <c r="A176" s="27" t="n">
        <v>2334</v>
      </c>
      <c r="B176" s="27" t="inlineStr">
        <is>
          <t>Caltex Freshstop Sandton Square</t>
        </is>
      </c>
      <c r="C176" s="27" t="inlineStr">
        <is>
          <t>Caltex Freshstop</t>
        </is>
      </c>
      <c r="D176" s="27" t="inlineStr">
        <is>
          <t>Gauteng</t>
        </is>
      </c>
      <c r="E176" s="27" t="inlineStr">
        <is>
          <t>Sandton</t>
        </is>
      </c>
      <c r="F176" s="27" t="n">
        <v>-25.447721</v>
      </c>
      <c r="G176" s="27" t="n">
        <v>28.914386</v>
      </c>
      <c r="H176" s="41" t="n">
        <v>42536</v>
      </c>
      <c r="I176" s="27" t="n">
        <v>50</v>
      </c>
      <c r="J176" s="27" t="inlineStr">
        <is>
          <t>Active</t>
        </is>
      </c>
    </row>
    <row r="177" ht="15" customHeight="1" s="24">
      <c r="A177" s="27" t="n">
        <v>2635</v>
      </c>
      <c r="B177" s="27" t="inlineStr">
        <is>
          <t xml:space="preserve">Spar Cape Town </t>
        </is>
      </c>
      <c r="C177" s="27" t="inlineStr">
        <is>
          <t>Spar</t>
        </is>
      </c>
      <c r="D177" s="27" t="inlineStr">
        <is>
          <t>Western Cape</t>
        </is>
      </c>
      <c r="E177" s="27" t="inlineStr">
        <is>
          <t>Cape Town</t>
        </is>
      </c>
      <c r="F177" s="27" t="n">
        <v>-32.745268</v>
      </c>
      <c r="G177" s="27" t="n">
        <v>20.318755</v>
      </c>
      <c r="H177" s="41" t="n">
        <v>45113</v>
      </c>
      <c r="I177" s="27" t="n">
        <v>20</v>
      </c>
      <c r="J177" s="27" t="inlineStr">
        <is>
          <t>Active</t>
        </is>
      </c>
    </row>
    <row r="178" ht="15" customHeight="1" s="24">
      <c r="A178" s="27" t="n">
        <v>1323</v>
      </c>
      <c r="B178" s="27" t="inlineStr">
        <is>
          <t>PostNet Centurion Plaza</t>
        </is>
      </c>
      <c r="C178" s="27" t="inlineStr">
        <is>
          <t>PostNet</t>
        </is>
      </c>
      <c r="D178" s="27" t="inlineStr">
        <is>
          <t>Gauteng</t>
        </is>
      </c>
      <c r="E178" s="27" t="inlineStr">
        <is>
          <t>Centurion</t>
        </is>
      </c>
      <c r="F178" s="27" t="n">
        <v>-26.094736</v>
      </c>
      <c r="G178" s="27" t="n">
        <v>27.826986</v>
      </c>
      <c r="H178" s="41" t="n">
        <v>45346</v>
      </c>
      <c r="I178" s="27" t="n">
        <v>80</v>
      </c>
      <c r="J178" s="27" t="inlineStr">
        <is>
          <t>Active</t>
        </is>
      </c>
    </row>
    <row r="179" ht="15" customHeight="1" s="24">
      <c r="A179" s="27" t="n">
        <v>1823</v>
      </c>
      <c r="B179" s="27" t="inlineStr">
        <is>
          <t>PostNet Polokwane Central</t>
        </is>
      </c>
      <c r="C179" s="27" t="inlineStr">
        <is>
          <t>PostNet</t>
        </is>
      </c>
      <c r="D179" s="27" t="inlineStr">
        <is>
          <t>Limpopo</t>
        </is>
      </c>
      <c r="E179" s="27" t="inlineStr">
        <is>
          <t>Polokwane</t>
        </is>
      </c>
      <c r="F179" s="27" t="n">
        <v>-23.241549</v>
      </c>
      <c r="G179" s="27" t="n">
        <v>30.577349</v>
      </c>
      <c r="H179" s="41" t="n">
        <v>45787</v>
      </c>
      <c r="I179" s="27" t="n">
        <v>80</v>
      </c>
      <c r="J179" s="27" t="inlineStr">
        <is>
          <t>Active</t>
        </is>
      </c>
    </row>
    <row r="180" ht="15" customHeight="1" s="24">
      <c r="A180" s="27" t="n">
        <v>584</v>
      </c>
      <c r="B180" s="27" t="inlineStr">
        <is>
          <t>Clicks Pretoria Park</t>
        </is>
      </c>
      <c r="C180" s="27" t="inlineStr">
        <is>
          <t>Clicks</t>
        </is>
      </c>
      <c r="D180" s="27" t="inlineStr">
        <is>
          <t>Gauteng</t>
        </is>
      </c>
      <c r="E180" s="27" t="inlineStr">
        <is>
          <t>Pretoria</t>
        </is>
      </c>
      <c r="F180" s="27" t="n">
        <v>-25.783204</v>
      </c>
      <c r="G180" s="27" t="n">
        <v>27.804616</v>
      </c>
      <c r="H180" s="41" t="n">
        <v>45660</v>
      </c>
      <c r="I180" s="27" t="n">
        <v>120</v>
      </c>
      <c r="J180" s="27" t="inlineStr">
        <is>
          <t>Active</t>
        </is>
      </c>
    </row>
    <row r="181" ht="15" customHeight="1" s="24">
      <c r="A181" s="27" t="n">
        <v>3525</v>
      </c>
      <c r="B181" s="27" t="inlineStr">
        <is>
          <t xml:space="preserve">PEP Soweto </t>
        </is>
      </c>
      <c r="C181" s="27" t="inlineStr">
        <is>
          <t>PEP</t>
        </is>
      </c>
      <c r="D181" s="27" t="inlineStr">
        <is>
          <t>Gauteng</t>
        </is>
      </c>
      <c r="E181" s="27" t="inlineStr">
        <is>
          <t>Soweto</t>
        </is>
      </c>
      <c r="F181" s="27" t="n">
        <v>-25.985924</v>
      </c>
      <c r="G181" s="27" t="n">
        <v>27.553872</v>
      </c>
      <c r="H181" s="41" t="n">
        <v>45376</v>
      </c>
      <c r="I181" s="27" t="n">
        <v>35</v>
      </c>
      <c r="J181" s="27" t="inlineStr">
        <is>
          <t>Active</t>
        </is>
      </c>
    </row>
    <row r="182" ht="15" customHeight="1" s="24">
      <c r="A182" s="27" t="n">
        <v>1110</v>
      </c>
      <c r="B182" s="27" t="inlineStr">
        <is>
          <t xml:space="preserve">Build it Potchefstroom </t>
        </is>
      </c>
      <c r="C182" s="27" t="inlineStr">
        <is>
          <t>Build it</t>
        </is>
      </c>
      <c r="D182" s="27" t="inlineStr">
        <is>
          <t>North West</t>
        </is>
      </c>
      <c r="E182" s="27" t="inlineStr">
        <is>
          <t>Potchefstroom</t>
        </is>
      </c>
      <c r="F182" s="27" t="n">
        <v>-26.277438</v>
      </c>
      <c r="G182" s="27" t="n">
        <v>25.444603</v>
      </c>
      <c r="H182" s="41" t="n">
        <v>45151</v>
      </c>
      <c r="I182" s="27" t="n">
        <v>20</v>
      </c>
      <c r="J182" s="27" t="inlineStr">
        <is>
          <t>Active</t>
        </is>
      </c>
    </row>
    <row r="183" ht="15" customHeight="1" s="24">
      <c r="A183" s="27" t="n">
        <v>352</v>
      </c>
      <c r="B183" s="27" t="inlineStr">
        <is>
          <t>Build it Pretoria Junction</t>
        </is>
      </c>
      <c r="C183" s="27" t="inlineStr">
        <is>
          <t>Build it</t>
        </is>
      </c>
      <c r="D183" s="27" t="inlineStr">
        <is>
          <t>Gauteng</t>
        </is>
      </c>
      <c r="E183" s="27" t="inlineStr">
        <is>
          <t>Pretoria</t>
        </is>
      </c>
      <c r="F183" s="27" t="n">
        <v>-26.258823</v>
      </c>
      <c r="G183" s="27" t="n">
        <v>28.944256</v>
      </c>
      <c r="H183" s="41" t="n">
        <v>45853</v>
      </c>
      <c r="I183" s="27" t="n">
        <v>50</v>
      </c>
      <c r="J183" s="27" t="inlineStr">
        <is>
          <t>Active</t>
        </is>
      </c>
    </row>
    <row r="184" ht="15" customHeight="1" s="24">
      <c r="A184" s="27" t="n">
        <v>664</v>
      </c>
      <c r="B184" s="27" t="inlineStr">
        <is>
          <t xml:space="preserve">Caltex Freshstop Bellville </t>
        </is>
      </c>
      <c r="C184" s="27" t="inlineStr">
        <is>
          <t>Caltex Freshstop</t>
        </is>
      </c>
      <c r="D184" s="27" t="inlineStr">
        <is>
          <t>Western Cape</t>
        </is>
      </c>
      <c r="E184" s="27" t="inlineStr">
        <is>
          <t>Bellville</t>
        </is>
      </c>
      <c r="F184" s="27" t="n">
        <v>-32.313602</v>
      </c>
      <c r="G184" s="27" t="n">
        <v>20.074053</v>
      </c>
      <c r="H184" s="41" t="n">
        <v>44791</v>
      </c>
      <c r="I184" s="27" t="n">
        <v>20</v>
      </c>
      <c r="J184" s="27" t="inlineStr">
        <is>
          <t>Active</t>
        </is>
      </c>
    </row>
    <row r="185" ht="15" customHeight="1" s="24">
      <c r="A185" s="27" t="n">
        <v>1658</v>
      </c>
      <c r="B185" s="27" t="inlineStr">
        <is>
          <t>Waltons Pretoria Plaza</t>
        </is>
      </c>
      <c r="C185" s="27" t="inlineStr">
        <is>
          <t>Waltons</t>
        </is>
      </c>
      <c r="D185" s="27" t="inlineStr">
        <is>
          <t>Gauteng</t>
        </is>
      </c>
      <c r="E185" s="27" t="inlineStr">
        <is>
          <t>Pretoria</t>
        </is>
      </c>
      <c r="F185" s="27" t="n">
        <v>-26.440898</v>
      </c>
      <c r="G185" s="27" t="n">
        <v>27.847414</v>
      </c>
      <c r="H185" s="41" t="n">
        <v>45728</v>
      </c>
      <c r="I185" s="27" t="n">
        <v>50</v>
      </c>
      <c r="J185" s="27" t="inlineStr">
        <is>
          <t>Active</t>
        </is>
      </c>
    </row>
    <row r="186" ht="15" customHeight="1" s="24">
      <c r="A186" s="27" t="n">
        <v>1154</v>
      </c>
      <c r="B186" s="27" t="inlineStr">
        <is>
          <t>Spar Cape Town Square</t>
        </is>
      </c>
      <c r="C186" s="27" t="inlineStr">
        <is>
          <t>Spar</t>
        </is>
      </c>
      <c r="D186" s="27" t="inlineStr">
        <is>
          <t>Western Cape</t>
        </is>
      </c>
      <c r="E186" s="27" t="inlineStr">
        <is>
          <t>Cape Town</t>
        </is>
      </c>
      <c r="F186" s="27" t="n">
        <v>-33.782774</v>
      </c>
      <c r="G186" s="27" t="n">
        <v>18.734207</v>
      </c>
      <c r="H186" s="41" t="n">
        <v>42616</v>
      </c>
      <c r="I186" s="27" t="n">
        <v>35</v>
      </c>
      <c r="J186" s="27" t="inlineStr">
        <is>
          <t>Active</t>
        </is>
      </c>
    </row>
    <row r="187" ht="15" customHeight="1" s="24">
      <c r="A187" s="27" t="n">
        <v>3156</v>
      </c>
      <c r="B187" s="27" t="inlineStr">
        <is>
          <t>PostNet Mbombela Mall</t>
        </is>
      </c>
      <c r="C187" s="27" t="inlineStr">
        <is>
          <t>PostNet</t>
        </is>
      </c>
      <c r="D187" s="27" t="inlineStr">
        <is>
          <t>Mpumalanga</t>
        </is>
      </c>
      <c r="E187" s="27" t="inlineStr">
        <is>
          <t>Mbombela</t>
        </is>
      </c>
      <c r="F187" s="27" t="n">
        <v>-26.219148</v>
      </c>
      <c r="G187" s="27" t="n">
        <v>29.403483</v>
      </c>
      <c r="H187" s="41" t="n">
        <v>44619</v>
      </c>
      <c r="I187" s="27" t="n">
        <v>50</v>
      </c>
      <c r="J187" s="27" t="inlineStr">
        <is>
          <t>Active</t>
        </is>
      </c>
    </row>
    <row r="188" ht="15" customHeight="1" s="24">
      <c r="A188" s="27" t="n">
        <v>2345</v>
      </c>
      <c r="B188" s="27" t="inlineStr">
        <is>
          <t xml:space="preserve">Spar Roodepoort </t>
        </is>
      </c>
      <c r="C188" s="27" t="inlineStr">
        <is>
          <t>Spar</t>
        </is>
      </c>
      <c r="D188" s="27" t="inlineStr">
        <is>
          <t>Gauteng</t>
        </is>
      </c>
      <c r="E188" s="27" t="inlineStr">
        <is>
          <t>Roodepoort</t>
        </is>
      </c>
      <c r="F188" s="27" t="n">
        <v>-25.424973</v>
      </c>
      <c r="G188" s="27" t="n">
        <v>28.918964</v>
      </c>
      <c r="H188" s="41" t="n">
        <v>44273</v>
      </c>
      <c r="I188" s="27" t="n">
        <v>80</v>
      </c>
      <c r="J188" s="27" t="inlineStr">
        <is>
          <t>Active</t>
        </is>
      </c>
    </row>
    <row r="189" ht="15" customHeight="1" s="24">
      <c r="A189" s="27" t="n">
        <v>2926</v>
      </c>
      <c r="B189" s="27" t="inlineStr">
        <is>
          <t>Clicks Pietermaritzburg Mall</t>
        </is>
      </c>
      <c r="C189" s="27" t="inlineStr">
        <is>
          <t>Clicks</t>
        </is>
      </c>
      <c r="D189" s="27" t="inlineStr">
        <is>
          <t>KwaZulu-Natal</t>
        </is>
      </c>
      <c r="E189" s="27" t="inlineStr">
        <is>
          <t>Pietermaritzburg</t>
        </is>
      </c>
      <c r="F189" s="27" t="n">
        <v>-30.542426</v>
      </c>
      <c r="G189" s="27" t="n">
        <v>29.666683</v>
      </c>
      <c r="H189" s="41" t="n">
        <v>42673</v>
      </c>
      <c r="I189" s="27" t="n">
        <v>35</v>
      </c>
      <c r="J189" s="27" t="inlineStr">
        <is>
          <t>Active</t>
        </is>
      </c>
    </row>
    <row r="190" ht="15" customHeight="1" s="24">
      <c r="A190" s="27" t="n">
        <v>1580</v>
      </c>
      <c r="B190" s="27" t="inlineStr">
        <is>
          <t>PEP Pretoria Mall</t>
        </is>
      </c>
      <c r="C190" s="27" t="inlineStr">
        <is>
          <t>PEP</t>
        </is>
      </c>
      <c r="D190" s="27" t="inlineStr">
        <is>
          <t>Gauteng</t>
        </is>
      </c>
      <c r="E190" s="27" t="inlineStr">
        <is>
          <t>Pretoria</t>
        </is>
      </c>
      <c r="F190" s="27" t="n">
        <v>-25.814383</v>
      </c>
      <c r="G190" s="27" t="n">
        <v>27.609159</v>
      </c>
      <c r="H190" s="41" t="n">
        <v>44186</v>
      </c>
      <c r="I190" s="27" t="n">
        <v>20</v>
      </c>
      <c r="J190" s="27" t="inlineStr">
        <is>
          <t>Active</t>
        </is>
      </c>
    </row>
    <row r="191" ht="15" customHeight="1" s="24">
      <c r="A191" s="27" t="n">
        <v>1973</v>
      </c>
      <c r="B191" s="27" t="inlineStr">
        <is>
          <t>PEP Somerset West Central</t>
        </is>
      </c>
      <c r="C191" s="27" t="inlineStr">
        <is>
          <t>PEP</t>
        </is>
      </c>
      <c r="D191" s="27" t="inlineStr">
        <is>
          <t>Western Cape</t>
        </is>
      </c>
      <c r="E191" s="27" t="inlineStr">
        <is>
          <t>Somerset West</t>
        </is>
      </c>
      <c r="F191" s="27" t="n">
        <v>-31.563193</v>
      </c>
      <c r="G191" s="27" t="n">
        <v>21.25851</v>
      </c>
      <c r="H191" s="41" t="n">
        <v>44522</v>
      </c>
      <c r="I191" s="27" t="n">
        <v>35</v>
      </c>
      <c r="J191" s="27" t="inlineStr">
        <is>
          <t>Active</t>
        </is>
      </c>
    </row>
    <row r="192" ht="15" customHeight="1" s="24">
      <c r="A192" s="27" t="n">
        <v>3450</v>
      </c>
      <c r="B192" s="27" t="inlineStr">
        <is>
          <t>Independent Spaza Somerset West Plaza</t>
        </is>
      </c>
      <c r="C192" s="27" t="inlineStr">
        <is>
          <t>Independent Spaza</t>
        </is>
      </c>
      <c r="D192" s="27" t="inlineStr">
        <is>
          <t>Western Cape</t>
        </is>
      </c>
      <c r="E192" s="27" t="inlineStr">
        <is>
          <t>Somerset West</t>
        </is>
      </c>
      <c r="F192" s="27" t="n">
        <v>-33.901246</v>
      </c>
      <c r="G192" s="27" t="n">
        <v>18.392877</v>
      </c>
      <c r="H192" s="41" t="n">
        <v>42682</v>
      </c>
      <c r="I192" s="27" t="n">
        <v>80</v>
      </c>
      <c r="J192" s="27" t="inlineStr">
        <is>
          <t>Active</t>
        </is>
      </c>
    </row>
    <row r="193" ht="15" customHeight="1" s="24">
      <c r="A193" s="27" t="n">
        <v>661</v>
      </c>
      <c r="B193" s="27" t="inlineStr">
        <is>
          <t xml:space="preserve">Lewis Richards Bay </t>
        </is>
      </c>
      <c r="C193" s="27" t="inlineStr">
        <is>
          <t>Lewis</t>
        </is>
      </c>
      <c r="D193" s="27" t="inlineStr">
        <is>
          <t>KwaZulu-Natal</t>
        </is>
      </c>
      <c r="E193" s="27" t="inlineStr">
        <is>
          <t>Richards Bay</t>
        </is>
      </c>
      <c r="F193" s="27" t="n">
        <v>-29.54274</v>
      </c>
      <c r="G193" s="27" t="n">
        <v>29.970333</v>
      </c>
      <c r="H193" s="41" t="n">
        <v>45657</v>
      </c>
      <c r="I193" s="27" t="n">
        <v>50</v>
      </c>
      <c r="J193" s="27" t="inlineStr">
        <is>
          <t>Suspended</t>
        </is>
      </c>
    </row>
    <row r="194" ht="15" customHeight="1" s="24">
      <c r="A194" s="27" t="n">
        <v>1456</v>
      </c>
      <c r="B194" s="27" t="inlineStr">
        <is>
          <t>Lewis Benoni Central</t>
        </is>
      </c>
      <c r="C194" s="27" t="inlineStr">
        <is>
          <t>Lewis</t>
        </is>
      </c>
      <c r="D194" s="27" t="inlineStr">
        <is>
          <t>Gauteng</t>
        </is>
      </c>
      <c r="E194" s="27" t="inlineStr">
        <is>
          <t>Benoni</t>
        </is>
      </c>
      <c r="F194" s="27" t="n">
        <v>-26.22406</v>
      </c>
      <c r="G194" s="27" t="n">
        <v>28.868303</v>
      </c>
      <c r="H194" s="41" t="n">
        <v>45175</v>
      </c>
      <c r="I194" s="27" t="n">
        <v>80</v>
      </c>
      <c r="J194" s="27" t="inlineStr">
        <is>
          <t>Active</t>
        </is>
      </c>
    </row>
    <row r="195" ht="15" customHeight="1" s="24">
      <c r="A195" s="27" t="n">
        <v>3106</v>
      </c>
      <c r="B195" s="27" t="inlineStr">
        <is>
          <t xml:space="preserve">Clicks Mthatha </t>
        </is>
      </c>
      <c r="C195" s="27" t="inlineStr">
        <is>
          <t>Clicks</t>
        </is>
      </c>
      <c r="D195" s="27" t="inlineStr">
        <is>
          <t>Eastern Cape</t>
        </is>
      </c>
      <c r="E195" s="27" t="inlineStr">
        <is>
          <t>Mthatha</t>
        </is>
      </c>
      <c r="F195" s="27" t="n">
        <v>-31.10302</v>
      </c>
      <c r="G195" s="27" t="n">
        <v>24.160877</v>
      </c>
      <c r="H195" s="41" t="n">
        <v>45214</v>
      </c>
      <c r="I195" s="27" t="n">
        <v>35</v>
      </c>
      <c r="J195" s="27" t="inlineStr">
        <is>
          <t>Active</t>
        </is>
      </c>
    </row>
    <row r="196" ht="15" customHeight="1" s="24">
      <c r="A196" s="27" t="n">
        <v>3792</v>
      </c>
      <c r="B196" s="27" t="inlineStr">
        <is>
          <t>Independent Spaza Pietermaritzburg Plaza</t>
        </is>
      </c>
      <c r="C196" s="27" t="inlineStr">
        <is>
          <t>Independent Spaza</t>
        </is>
      </c>
      <c r="D196" s="27" t="inlineStr">
        <is>
          <t>KwaZulu-Natal</t>
        </is>
      </c>
      <c r="E196" s="27" t="inlineStr">
        <is>
          <t>Pietermaritzburg</t>
        </is>
      </c>
      <c r="F196" s="27" t="n">
        <v>-28.521447</v>
      </c>
      <c r="G196" s="27" t="n">
        <v>30.893106</v>
      </c>
      <c r="H196" s="41" t="n">
        <v>45929</v>
      </c>
      <c r="I196" s="27" t="n">
        <v>35</v>
      </c>
      <c r="J196" s="27" t="inlineStr">
        <is>
          <t>Active</t>
        </is>
      </c>
    </row>
    <row r="197" ht="15" customHeight="1" s="24">
      <c r="A197" s="27" t="n">
        <v>1629</v>
      </c>
      <c r="B197" s="27" t="inlineStr">
        <is>
          <t>Caltex Freshstop Mthatha Central</t>
        </is>
      </c>
      <c r="C197" s="27" t="inlineStr">
        <is>
          <t>Caltex Freshstop</t>
        </is>
      </c>
      <c r="D197" s="27" t="inlineStr">
        <is>
          <t>Eastern Cape</t>
        </is>
      </c>
      <c r="E197" s="27" t="inlineStr">
        <is>
          <t>Mthatha</t>
        </is>
      </c>
      <c r="F197" s="27" t="n">
        <v>-31.939</v>
      </c>
      <c r="G197" s="27" t="n">
        <v>27.58105</v>
      </c>
      <c r="H197" s="41" t="n">
        <v>43947</v>
      </c>
      <c r="I197" s="27" t="n">
        <v>35</v>
      </c>
      <c r="J197" s="27" t="inlineStr">
        <is>
          <t>Active</t>
        </is>
      </c>
    </row>
    <row r="198" ht="15" customHeight="1" s="24">
      <c r="A198" s="27" t="n">
        <v>1442</v>
      </c>
      <c r="B198" s="27" t="inlineStr">
        <is>
          <t>Clicks Polokwane Central</t>
        </is>
      </c>
      <c r="C198" s="27" t="inlineStr">
        <is>
          <t>Clicks</t>
        </is>
      </c>
      <c r="D198" s="27" t="inlineStr">
        <is>
          <t>Limpopo</t>
        </is>
      </c>
      <c r="E198" s="27" t="inlineStr">
        <is>
          <t>Polokwane</t>
        </is>
      </c>
      <c r="F198" s="27" t="n">
        <v>-23.831458</v>
      </c>
      <c r="G198" s="27" t="n">
        <v>29.516127</v>
      </c>
      <c r="H198" s="41" t="n">
        <v>43735</v>
      </c>
      <c r="I198" s="27" t="n">
        <v>50</v>
      </c>
      <c r="J198" s="27" t="inlineStr">
        <is>
          <t>Active</t>
        </is>
      </c>
    </row>
    <row r="199" ht="15" customHeight="1" s="24">
      <c r="A199" s="27" t="n">
        <v>2674</v>
      </c>
      <c r="B199" s="27" t="inlineStr">
        <is>
          <t>Waltons Potchefstroom Park</t>
        </is>
      </c>
      <c r="C199" s="27" t="inlineStr">
        <is>
          <t>Waltons</t>
        </is>
      </c>
      <c r="D199" s="27" t="inlineStr">
        <is>
          <t>North West</t>
        </is>
      </c>
      <c r="E199" s="27" t="inlineStr">
        <is>
          <t>Potchefstroom</t>
        </is>
      </c>
      <c r="F199" s="27" t="n">
        <v>-26.969923</v>
      </c>
      <c r="G199" s="27" t="n">
        <v>27.215185</v>
      </c>
      <c r="H199" s="41" t="n">
        <v>44145</v>
      </c>
      <c r="I199" s="27" t="n">
        <v>120</v>
      </c>
      <c r="J199" s="27" t="inlineStr">
        <is>
          <t>Active</t>
        </is>
      </c>
    </row>
    <row r="200" ht="15" customHeight="1" s="24">
      <c r="A200" s="27" t="n">
        <v>1525</v>
      </c>
      <c r="B200" s="27" t="inlineStr">
        <is>
          <t xml:space="preserve">Spar Pinetown </t>
        </is>
      </c>
      <c r="C200" s="27" t="inlineStr">
        <is>
          <t>Spar</t>
        </is>
      </c>
      <c r="D200" s="27" t="inlineStr">
        <is>
          <t>KwaZulu-Natal</t>
        </is>
      </c>
      <c r="E200" s="27" t="inlineStr">
        <is>
          <t>Pinetown</t>
        </is>
      </c>
      <c r="F200" s="27" t="n">
        <v>-30.695141</v>
      </c>
      <c r="G200" s="27" t="n">
        <v>30.357497</v>
      </c>
      <c r="H200" s="41" t="n">
        <v>45350</v>
      </c>
      <c r="I200" s="27" t="n">
        <v>120</v>
      </c>
      <c r="J200" s="27" t="inlineStr">
        <is>
          <t>Active</t>
        </is>
      </c>
    </row>
    <row r="201" ht="15" customHeight="1" s="24">
      <c r="A201" s="27" t="n">
        <v>2276</v>
      </c>
      <c r="B201" s="27" t="inlineStr">
        <is>
          <t>PostNet Centurion Square</t>
        </is>
      </c>
      <c r="C201" s="27" t="inlineStr">
        <is>
          <t>PostNet</t>
        </is>
      </c>
      <c r="D201" s="27" t="inlineStr">
        <is>
          <t>Gauteng</t>
        </is>
      </c>
      <c r="E201" s="27" t="inlineStr">
        <is>
          <t>Centurion</t>
        </is>
      </c>
      <c r="F201" s="27" t="n">
        <v>-26.394344</v>
      </c>
      <c r="G201" s="27" t="n">
        <v>28.95925</v>
      </c>
      <c r="H201" s="41" t="n">
        <v>45039</v>
      </c>
      <c r="I201" s="27" t="n">
        <v>50</v>
      </c>
      <c r="J201" s="27" t="inlineStr">
        <is>
          <t>Active</t>
        </is>
      </c>
    </row>
    <row r="202" ht="15" customHeight="1" s="24">
      <c r="A202" s="27" t="n">
        <v>2167</v>
      </c>
      <c r="B202" s="27" t="inlineStr">
        <is>
          <t>Clicks Roodepoort Junction</t>
        </is>
      </c>
      <c r="C202" s="27" t="inlineStr">
        <is>
          <t>Clicks</t>
        </is>
      </c>
      <c r="D202" s="27" t="inlineStr">
        <is>
          <t>Gauteng</t>
        </is>
      </c>
      <c r="E202" s="27" t="inlineStr">
        <is>
          <t>Roodepoort</t>
        </is>
      </c>
      <c r="F202" s="27" t="n">
        <v>-25.590213</v>
      </c>
      <c r="G202" s="27" t="n">
        <v>28.169799</v>
      </c>
      <c r="H202" s="41" t="n">
        <v>46009</v>
      </c>
      <c r="I202" s="27" t="n">
        <v>35</v>
      </c>
      <c r="J202" s="27" t="inlineStr">
        <is>
          <t>Suspended</t>
        </is>
      </c>
    </row>
    <row r="203" ht="15" customHeight="1" s="24">
      <c r="A203" s="27" t="n">
        <v>2327</v>
      </c>
      <c r="B203" s="27" t="inlineStr">
        <is>
          <t>PostNet Secunda Plaza</t>
        </is>
      </c>
      <c r="C203" s="27" t="inlineStr">
        <is>
          <t>PostNet</t>
        </is>
      </c>
      <c r="D203" s="27" t="inlineStr">
        <is>
          <t>Mpumalanga</t>
        </is>
      </c>
      <c r="E203" s="27" t="inlineStr">
        <is>
          <t>Secunda</t>
        </is>
      </c>
      <c r="F203" s="27" t="n">
        <v>-26.07068</v>
      </c>
      <c r="G203" s="27" t="n">
        <v>30.857009</v>
      </c>
      <c r="H203" s="41" t="n">
        <v>43111</v>
      </c>
      <c r="I203" s="27" t="n">
        <v>200</v>
      </c>
      <c r="J203" s="27" t="inlineStr">
        <is>
          <t>Active</t>
        </is>
      </c>
    </row>
    <row r="204" ht="15" customHeight="1" s="24">
      <c r="A204" s="27" t="n">
        <v>1023</v>
      </c>
      <c r="B204" s="27" t="inlineStr">
        <is>
          <t>Caltex Freshstop Somerset West Plaza</t>
        </is>
      </c>
      <c r="C204" s="27" t="inlineStr">
        <is>
          <t>Caltex Freshstop</t>
        </is>
      </c>
      <c r="D204" s="27" t="inlineStr">
        <is>
          <t>Western Cape</t>
        </is>
      </c>
      <c r="E204" s="27" t="inlineStr">
        <is>
          <t>Somerset West</t>
        </is>
      </c>
      <c r="F204" s="27" t="n">
        <v>-32.600529</v>
      </c>
      <c r="G204" s="27" t="n">
        <v>19.809968</v>
      </c>
      <c r="H204" s="41" t="n">
        <v>44890</v>
      </c>
      <c r="I204" s="27" t="n">
        <v>200</v>
      </c>
      <c r="J204" s="27" t="inlineStr">
        <is>
          <t>Active</t>
        </is>
      </c>
    </row>
    <row r="205" ht="15" customHeight="1" s="24">
      <c r="A205" s="27" t="n">
        <v>762</v>
      </c>
      <c r="B205" s="27" t="inlineStr">
        <is>
          <t>Clicks Pietermaritzburg Plaza</t>
        </is>
      </c>
      <c r="C205" s="27" t="inlineStr">
        <is>
          <t>Clicks</t>
        </is>
      </c>
      <c r="D205" s="27" t="inlineStr">
        <is>
          <t>KwaZulu-Natal</t>
        </is>
      </c>
      <c r="E205" s="27" t="inlineStr">
        <is>
          <t>Pietermaritzburg</t>
        </is>
      </c>
      <c r="F205" s="27" t="n">
        <v>-30.316295</v>
      </c>
      <c r="G205" s="27" t="n">
        <v>31.831479</v>
      </c>
      <c r="H205" s="41" t="n">
        <v>45186</v>
      </c>
      <c r="I205" s="27" t="n">
        <v>35</v>
      </c>
      <c r="J205" s="27" t="inlineStr">
        <is>
          <t>Active</t>
        </is>
      </c>
    </row>
    <row r="206" ht="15" customHeight="1" s="24">
      <c r="A206" s="27" t="n">
        <v>3274</v>
      </c>
      <c r="B206" s="27" t="inlineStr">
        <is>
          <t xml:space="preserve">PEP Gqeberha </t>
        </is>
      </c>
      <c r="C206" s="27" t="inlineStr">
        <is>
          <t>PEP</t>
        </is>
      </c>
      <c r="D206" s="27" t="inlineStr">
        <is>
          <t>Eastern Cape</t>
        </is>
      </c>
      <c r="E206" s="27" t="inlineStr">
        <is>
          <t>Gqeberha</t>
        </is>
      </c>
      <c r="F206" s="27" t="n">
        <v>-32.871522</v>
      </c>
      <c r="G206" s="27" t="n">
        <v>25.198369</v>
      </c>
      <c r="H206" s="41" t="n">
        <v>45424</v>
      </c>
      <c r="I206" s="27" t="n">
        <v>80</v>
      </c>
      <c r="J206" s="27" t="inlineStr">
        <is>
          <t>Active</t>
        </is>
      </c>
    </row>
    <row r="207" ht="15" customHeight="1" s="24">
      <c r="A207" s="27" t="n">
        <v>2949</v>
      </c>
      <c r="B207" s="27" t="inlineStr">
        <is>
          <t>Spar Uitenhage Park</t>
        </is>
      </c>
      <c r="C207" s="27" t="inlineStr">
        <is>
          <t>Spar</t>
        </is>
      </c>
      <c r="D207" s="27" t="inlineStr">
        <is>
          <t>Eastern Cape</t>
        </is>
      </c>
      <c r="E207" s="27" t="inlineStr">
        <is>
          <t>Uitenhage</t>
        </is>
      </c>
      <c r="F207" s="27" t="n">
        <v>-32.943486</v>
      </c>
      <c r="G207" s="27" t="n">
        <v>24.835711</v>
      </c>
      <c r="H207" s="41" t="n">
        <v>42453</v>
      </c>
      <c r="I207" s="27" t="n">
        <v>120</v>
      </c>
      <c r="J207" s="27" t="inlineStr">
        <is>
          <t>Active</t>
        </is>
      </c>
    </row>
    <row r="208" ht="15" customHeight="1" s="24">
      <c r="A208" s="27" t="n">
        <v>617</v>
      </c>
      <c r="B208" s="27" t="inlineStr">
        <is>
          <t>Lewis Pietermaritzburg Junction</t>
        </is>
      </c>
      <c r="C208" s="27" t="inlineStr">
        <is>
          <t>Lewis</t>
        </is>
      </c>
      <c r="D208" s="27" t="inlineStr">
        <is>
          <t>KwaZulu-Natal</t>
        </is>
      </c>
      <c r="E208" s="27" t="inlineStr">
        <is>
          <t>Pietermaritzburg</t>
        </is>
      </c>
      <c r="F208" s="27" t="n">
        <v>-28.57112</v>
      </c>
      <c r="G208" s="27" t="n">
        <v>29.992715</v>
      </c>
      <c r="H208" s="41" t="n">
        <v>45425</v>
      </c>
      <c r="I208" s="27" t="n">
        <v>50</v>
      </c>
      <c r="J208" s="27" t="inlineStr">
        <is>
          <t>Active</t>
        </is>
      </c>
    </row>
    <row r="209" ht="15" customHeight="1" s="24">
      <c r="A209" s="27" t="n">
        <v>2438</v>
      </c>
      <c r="B209" s="27" t="inlineStr">
        <is>
          <t>Waltons Midrand Central</t>
        </is>
      </c>
      <c r="C209" s="27" t="inlineStr">
        <is>
          <t>Waltons</t>
        </is>
      </c>
      <c r="D209" s="27" t="inlineStr">
        <is>
          <t>Gauteng</t>
        </is>
      </c>
      <c r="E209" s="27" t="inlineStr">
        <is>
          <t>Midrand</t>
        </is>
      </c>
      <c r="F209" s="27" t="n">
        <v>-25.661316</v>
      </c>
      <c r="G209" s="27" t="n">
        <v>27.398096</v>
      </c>
      <c r="H209" s="41" t="n">
        <v>45070</v>
      </c>
      <c r="I209" s="27" t="n">
        <v>50</v>
      </c>
      <c r="J209" s="27" t="inlineStr">
        <is>
          <t>Active</t>
        </is>
      </c>
    </row>
    <row r="210" ht="15" customHeight="1" s="24">
      <c r="A210" s="27" t="n">
        <v>103</v>
      </c>
      <c r="B210" s="27" t="inlineStr">
        <is>
          <t>Independent Spaza Johannesburg Plaza</t>
        </is>
      </c>
      <c r="C210" s="27" t="inlineStr">
        <is>
          <t>Independent Spaza</t>
        </is>
      </c>
      <c r="D210" s="27" t="inlineStr">
        <is>
          <t>Gauteng</t>
        </is>
      </c>
      <c r="E210" s="27" t="inlineStr">
        <is>
          <t>Johannesburg</t>
        </is>
      </c>
      <c r="F210" s="27" t="n">
        <v>-26.363262</v>
      </c>
      <c r="G210" s="27" t="n">
        <v>27.321354</v>
      </c>
      <c r="H210" s="41" t="n">
        <v>44046</v>
      </c>
      <c r="I210" s="27" t="n">
        <v>80</v>
      </c>
      <c r="J210" s="27" t="inlineStr">
        <is>
          <t>Active</t>
        </is>
      </c>
    </row>
    <row r="211" ht="15" customHeight="1" s="24">
      <c r="A211" s="27" t="n">
        <v>1796</v>
      </c>
      <c r="B211" s="27" t="inlineStr">
        <is>
          <t>Waltons Stellenbosch Park</t>
        </is>
      </c>
      <c r="C211" s="27" t="inlineStr">
        <is>
          <t>Waltons</t>
        </is>
      </c>
      <c r="D211" s="27" t="inlineStr">
        <is>
          <t>Western Cape</t>
        </is>
      </c>
      <c r="E211" s="27" t="inlineStr">
        <is>
          <t>Stellenbosch</t>
        </is>
      </c>
      <c r="F211" s="27" t="n">
        <v>-31.871938</v>
      </c>
      <c r="G211" s="27" t="n">
        <v>21.13055</v>
      </c>
      <c r="H211" s="41" t="n">
        <v>45374</v>
      </c>
      <c r="I211" s="27" t="n">
        <v>80</v>
      </c>
      <c r="J211" s="27" t="inlineStr">
        <is>
          <t>Active</t>
        </is>
      </c>
    </row>
    <row r="212" ht="15" customHeight="1" s="24">
      <c r="A212" s="27" t="n">
        <v>237</v>
      </c>
      <c r="B212" s="27" t="inlineStr">
        <is>
          <t>PEP Somerset West Junction</t>
        </is>
      </c>
      <c r="C212" s="27" t="inlineStr">
        <is>
          <t>PEP</t>
        </is>
      </c>
      <c r="D212" s="27" t="inlineStr">
        <is>
          <t>Western Cape</t>
        </is>
      </c>
      <c r="E212" s="27" t="inlineStr">
        <is>
          <t>Somerset West</t>
        </is>
      </c>
      <c r="F212" s="27" t="n">
        <v>-33.539887</v>
      </c>
      <c r="G212" s="27" t="n">
        <v>20.882149</v>
      </c>
      <c r="H212" s="41" t="n">
        <v>42763</v>
      </c>
      <c r="I212" s="27" t="n">
        <v>20</v>
      </c>
      <c r="J212" s="27" t="inlineStr">
        <is>
          <t>Active</t>
        </is>
      </c>
    </row>
    <row r="213" ht="15" customHeight="1" s="24">
      <c r="A213" s="27" t="n">
        <v>2779</v>
      </c>
      <c r="B213" s="27" t="inlineStr">
        <is>
          <t>Lewis Midrand Park</t>
        </is>
      </c>
      <c r="C213" s="27" t="inlineStr">
        <is>
          <t>Lewis</t>
        </is>
      </c>
      <c r="D213" s="27" t="inlineStr">
        <is>
          <t>Gauteng</t>
        </is>
      </c>
      <c r="E213" s="27" t="inlineStr">
        <is>
          <t>Midrand</t>
        </is>
      </c>
      <c r="F213" s="27" t="n">
        <v>-25.476819</v>
      </c>
      <c r="G213" s="27" t="n">
        <v>28.7783</v>
      </c>
      <c r="H213" s="41" t="n">
        <v>42705</v>
      </c>
      <c r="I213" s="27" t="n">
        <v>50</v>
      </c>
      <c r="J213" s="27" t="inlineStr">
        <is>
          <t>Active</t>
        </is>
      </c>
    </row>
    <row r="214" ht="15" customHeight="1" s="24">
      <c r="A214" s="27" t="n">
        <v>3799</v>
      </c>
      <c r="B214" s="27" t="inlineStr">
        <is>
          <t>Clicks Richards Bay Central</t>
        </is>
      </c>
      <c r="C214" s="27" t="inlineStr">
        <is>
          <t>Clicks</t>
        </is>
      </c>
      <c r="D214" s="27" t="inlineStr">
        <is>
          <t>KwaZulu-Natal</t>
        </is>
      </c>
      <c r="E214" s="27" t="inlineStr">
        <is>
          <t>Richards Bay</t>
        </is>
      </c>
      <c r="F214" s="27" t="n">
        <v>-30.027529</v>
      </c>
      <c r="G214" s="27" t="n">
        <v>31.403792</v>
      </c>
      <c r="H214" s="41" t="n">
        <v>44350</v>
      </c>
      <c r="I214" s="27" t="n">
        <v>35</v>
      </c>
      <c r="J214" s="27" t="inlineStr">
        <is>
          <t>Active</t>
        </is>
      </c>
    </row>
    <row r="215" ht="15" customHeight="1" s="24">
      <c r="A215" s="27" t="n">
        <v>1509</v>
      </c>
      <c r="B215" s="27" t="inlineStr">
        <is>
          <t>Waltons Paarl Park</t>
        </is>
      </c>
      <c r="C215" s="27" t="inlineStr">
        <is>
          <t>Waltons</t>
        </is>
      </c>
      <c r="D215" s="27" t="inlineStr">
        <is>
          <t>Western Cape</t>
        </is>
      </c>
      <c r="E215" s="27" t="inlineStr">
        <is>
          <t>Paarl</t>
        </is>
      </c>
      <c r="F215" s="27" t="n">
        <v>-32.203744</v>
      </c>
      <c r="G215" s="27" t="n">
        <v>22.111741</v>
      </c>
      <c r="H215" s="41" t="n">
        <v>42732</v>
      </c>
      <c r="I215" s="27" t="n">
        <v>50</v>
      </c>
      <c r="J215" s="27" t="inlineStr">
        <is>
          <t>Active</t>
        </is>
      </c>
    </row>
    <row r="216" ht="15" customHeight="1" s="24">
      <c r="A216" s="27" t="n">
        <v>3171</v>
      </c>
      <c r="B216" s="27" t="inlineStr">
        <is>
          <t>Independent Spaza Pietermaritzburg Square</t>
        </is>
      </c>
      <c r="C216" s="27" t="inlineStr">
        <is>
          <t>Independent Spaza</t>
        </is>
      </c>
      <c r="D216" s="27" t="inlineStr">
        <is>
          <t>KwaZulu-Natal</t>
        </is>
      </c>
      <c r="E216" s="27" t="inlineStr">
        <is>
          <t>Pietermaritzburg</t>
        </is>
      </c>
      <c r="F216" s="27" t="n">
        <v>-27.764833</v>
      </c>
      <c r="G216" s="27" t="n">
        <v>31.218171</v>
      </c>
      <c r="H216" s="41" t="n">
        <v>44106</v>
      </c>
      <c r="I216" s="27" t="n">
        <v>80</v>
      </c>
      <c r="J216" s="27" t="inlineStr">
        <is>
          <t>Active</t>
        </is>
      </c>
    </row>
    <row r="217" ht="15" customHeight="1" s="24">
      <c r="A217" s="27" t="n">
        <v>1888</v>
      </c>
      <c r="B217" s="27" t="inlineStr">
        <is>
          <t xml:space="preserve">Spar George </t>
        </is>
      </c>
      <c r="C217" s="27" t="inlineStr">
        <is>
          <t>Spar</t>
        </is>
      </c>
      <c r="D217" s="27" t="inlineStr">
        <is>
          <t>Western Cape</t>
        </is>
      </c>
      <c r="E217" s="27" t="inlineStr">
        <is>
          <t>George</t>
        </is>
      </c>
      <c r="F217" s="27" t="n">
        <v>-31.997468</v>
      </c>
      <c r="G217" s="27" t="n">
        <v>19.063702</v>
      </c>
      <c r="H217" s="41" t="n">
        <v>45778</v>
      </c>
      <c r="I217" s="27" t="n">
        <v>20</v>
      </c>
      <c r="J217" s="27" t="inlineStr">
        <is>
          <t>Active</t>
        </is>
      </c>
    </row>
    <row r="218" ht="15" customHeight="1" s="24">
      <c r="A218" s="27" t="n">
        <v>394</v>
      </c>
      <c r="B218" s="27" t="inlineStr">
        <is>
          <t>Clicks Centurion Square</t>
        </is>
      </c>
      <c r="C218" s="27" t="inlineStr">
        <is>
          <t>Clicks</t>
        </is>
      </c>
      <c r="D218" s="27" t="inlineStr">
        <is>
          <t>Gauteng</t>
        </is>
      </c>
      <c r="E218" s="27" t="inlineStr">
        <is>
          <t>Centurion</t>
        </is>
      </c>
      <c r="F218" s="27" t="n">
        <v>-26.475709</v>
      </c>
      <c r="G218" s="27" t="n">
        <v>27.40472</v>
      </c>
      <c r="H218" s="41" t="n">
        <v>43536</v>
      </c>
      <c r="I218" s="27" t="n">
        <v>50</v>
      </c>
      <c r="J218" s="27" t="inlineStr">
        <is>
          <t>Active</t>
        </is>
      </c>
    </row>
    <row r="219" ht="15" customHeight="1" s="24">
      <c r="A219" s="27" t="n">
        <v>1122</v>
      </c>
      <c r="B219" s="27" t="inlineStr">
        <is>
          <t>Build it Witbank Plaza</t>
        </is>
      </c>
      <c r="C219" s="27" t="inlineStr">
        <is>
          <t>Build it</t>
        </is>
      </c>
      <c r="D219" s="27" t="inlineStr">
        <is>
          <t>Mpumalanga</t>
        </is>
      </c>
      <c r="E219" s="27" t="inlineStr">
        <is>
          <t>Witbank</t>
        </is>
      </c>
      <c r="F219" s="27" t="n">
        <v>-25.79575</v>
      </c>
      <c r="G219" s="27" t="n">
        <v>29.450781</v>
      </c>
      <c r="H219" s="41" t="n">
        <v>45354</v>
      </c>
      <c r="I219" s="27" t="n">
        <v>80</v>
      </c>
      <c r="J219" s="27" t="inlineStr">
        <is>
          <t>Active</t>
        </is>
      </c>
    </row>
    <row r="220" ht="15" customHeight="1" s="24">
      <c r="A220" s="27" t="n">
        <v>3195</v>
      </c>
      <c r="B220" s="27" t="inlineStr">
        <is>
          <t>Caltex Freshstop Tzaneen Mall</t>
        </is>
      </c>
      <c r="C220" s="27" t="inlineStr">
        <is>
          <t>Caltex Freshstop</t>
        </is>
      </c>
      <c r="D220" s="27" t="inlineStr">
        <is>
          <t>Limpopo</t>
        </is>
      </c>
      <c r="E220" s="27" t="inlineStr">
        <is>
          <t>Tzaneen</t>
        </is>
      </c>
      <c r="F220" s="27" t="n">
        <v>-24.562501</v>
      </c>
      <c r="G220" s="27" t="n">
        <v>27.82524</v>
      </c>
      <c r="H220" s="41" t="n">
        <v>45809</v>
      </c>
      <c r="I220" s="27" t="n">
        <v>35</v>
      </c>
      <c r="J220" s="27" t="inlineStr">
        <is>
          <t>Active</t>
        </is>
      </c>
    </row>
    <row r="221" ht="15" customHeight="1" s="24">
      <c r="A221" s="27" t="n">
        <v>317</v>
      </c>
      <c r="B221" s="27" t="inlineStr">
        <is>
          <t>Build it Upington Central</t>
        </is>
      </c>
      <c r="C221" s="27" t="inlineStr">
        <is>
          <t>Build it</t>
        </is>
      </c>
      <c r="D221" s="27" t="inlineStr">
        <is>
          <t>Northern Cape</t>
        </is>
      </c>
      <c r="E221" s="27" t="inlineStr">
        <is>
          <t>Upington</t>
        </is>
      </c>
      <c r="F221" s="27" t="n">
        <v>-30.405048</v>
      </c>
      <c r="G221" s="27" t="n">
        <v>18.797544</v>
      </c>
      <c r="H221" s="41" t="n">
        <v>43222</v>
      </c>
      <c r="I221" s="27" t="n">
        <v>120</v>
      </c>
      <c r="J221" s="27" t="inlineStr">
        <is>
          <t>Active</t>
        </is>
      </c>
    </row>
    <row r="222" ht="15" customHeight="1" s="24">
      <c r="A222" s="27" t="n">
        <v>3415</v>
      </c>
      <c r="B222" s="27" t="inlineStr">
        <is>
          <t>Lewis Soweto Mall</t>
        </is>
      </c>
      <c r="C222" s="27" t="inlineStr">
        <is>
          <t>Lewis</t>
        </is>
      </c>
      <c r="D222" s="27" t="inlineStr">
        <is>
          <t>Gauteng</t>
        </is>
      </c>
      <c r="E222" s="27" t="inlineStr">
        <is>
          <t>Soweto</t>
        </is>
      </c>
      <c r="F222" s="27" t="n">
        <v>-26.198762</v>
      </c>
      <c r="G222" s="27" t="n">
        <v>28.669432</v>
      </c>
      <c r="H222" s="41" t="n">
        <v>45465</v>
      </c>
      <c r="I222" s="27" t="n">
        <v>50</v>
      </c>
      <c r="J222" s="27" t="inlineStr">
        <is>
          <t>Active</t>
        </is>
      </c>
    </row>
    <row r="223" ht="15" customHeight="1" s="24">
      <c r="A223" s="27" t="n">
        <v>2502</v>
      </c>
      <c r="B223" s="27" t="inlineStr">
        <is>
          <t>PEP Tzaneen Mall</t>
        </is>
      </c>
      <c r="C223" s="27" t="inlineStr">
        <is>
          <t>PEP</t>
        </is>
      </c>
      <c r="D223" s="27" t="inlineStr">
        <is>
          <t>Limpopo</t>
        </is>
      </c>
      <c r="E223" s="27" t="inlineStr">
        <is>
          <t>Tzaneen</t>
        </is>
      </c>
      <c r="F223" s="27" t="n">
        <v>-24.738135</v>
      </c>
      <c r="G223" s="27" t="n">
        <v>29.85013</v>
      </c>
      <c r="H223" s="41" t="n">
        <v>42862</v>
      </c>
      <c r="I223" s="27" t="n">
        <v>50</v>
      </c>
      <c r="J223" s="27" t="inlineStr">
        <is>
          <t>Active</t>
        </is>
      </c>
    </row>
    <row r="224" ht="15" customHeight="1" s="24">
      <c r="A224" s="27" t="n">
        <v>2208</v>
      </c>
      <c r="B224" s="27" t="inlineStr">
        <is>
          <t>Independent Spaza George Plaza</t>
        </is>
      </c>
      <c r="C224" s="27" t="inlineStr">
        <is>
          <t>Independent Spaza</t>
        </is>
      </c>
      <c r="D224" s="27" t="inlineStr">
        <is>
          <t>Western Cape</t>
        </is>
      </c>
      <c r="E224" s="27" t="inlineStr">
        <is>
          <t>George</t>
        </is>
      </c>
      <c r="F224" s="27" t="n">
        <v>-31.728338</v>
      </c>
      <c r="G224" s="27" t="n">
        <v>21.776487</v>
      </c>
      <c r="H224" s="41" t="n">
        <v>43541</v>
      </c>
      <c r="I224" s="27" t="n">
        <v>80</v>
      </c>
      <c r="J224" s="27" t="inlineStr">
        <is>
          <t>Active</t>
        </is>
      </c>
    </row>
    <row r="225" ht="15" customHeight="1" s="24">
      <c r="A225" s="27" t="n">
        <v>2365</v>
      </c>
      <c r="B225" s="27" t="inlineStr">
        <is>
          <t>Clicks Mthatha Square</t>
        </is>
      </c>
      <c r="C225" s="27" t="inlineStr">
        <is>
          <t>Clicks</t>
        </is>
      </c>
      <c r="D225" s="27" t="inlineStr">
        <is>
          <t>Eastern Cape</t>
        </is>
      </c>
      <c r="E225" s="27" t="inlineStr">
        <is>
          <t>Mthatha</t>
        </is>
      </c>
      <c r="F225" s="27" t="n">
        <v>-32.424335</v>
      </c>
      <c r="G225" s="27" t="n">
        <v>27.487036</v>
      </c>
      <c r="H225" s="41" t="n">
        <v>45135</v>
      </c>
      <c r="I225" s="27" t="n">
        <v>35</v>
      </c>
      <c r="J225" s="27" t="inlineStr">
        <is>
          <t>Active</t>
        </is>
      </c>
    </row>
    <row r="226" ht="15" customHeight="1" s="24">
      <c r="A226" s="27" t="n">
        <v>1060</v>
      </c>
      <c r="B226" s="27" t="inlineStr">
        <is>
          <t>PEP George Park</t>
        </is>
      </c>
      <c r="C226" s="27" t="inlineStr">
        <is>
          <t>PEP</t>
        </is>
      </c>
      <c r="D226" s="27" t="inlineStr">
        <is>
          <t>Western Cape</t>
        </is>
      </c>
      <c r="E226" s="27" t="inlineStr">
        <is>
          <t>George</t>
        </is>
      </c>
      <c r="F226" s="27" t="n">
        <v>-33.556008</v>
      </c>
      <c r="G226" s="27" t="n">
        <v>18.127908</v>
      </c>
      <c r="H226" s="41" t="n">
        <v>44061</v>
      </c>
      <c r="I226" s="27" t="n">
        <v>50</v>
      </c>
      <c r="J226" s="27" t="inlineStr">
        <is>
          <t>Active</t>
        </is>
      </c>
    </row>
    <row r="227" ht="15" customHeight="1" s="24">
      <c r="A227" s="27" t="n">
        <v>1865</v>
      </c>
      <c r="B227" s="27" t="inlineStr">
        <is>
          <t>Lewis Secunda Plaza</t>
        </is>
      </c>
      <c r="C227" s="27" t="inlineStr">
        <is>
          <t>Lewis</t>
        </is>
      </c>
      <c r="D227" s="27" t="inlineStr">
        <is>
          <t>Mpumalanga</t>
        </is>
      </c>
      <c r="E227" s="27" t="inlineStr">
        <is>
          <t>Secunda</t>
        </is>
      </c>
      <c r="F227" s="27" t="n">
        <v>-25.683774</v>
      </c>
      <c r="G227" s="27" t="n">
        <v>29.164467</v>
      </c>
      <c r="H227" s="41" t="n">
        <v>43659</v>
      </c>
      <c r="I227" s="27" t="n">
        <v>35</v>
      </c>
      <c r="J227" s="27" t="inlineStr">
        <is>
          <t>Active</t>
        </is>
      </c>
    </row>
    <row r="228" ht="15" customHeight="1" s="24">
      <c r="A228" s="27" t="n">
        <v>67</v>
      </c>
      <c r="B228" s="27" t="inlineStr">
        <is>
          <t>Independent Spaza Pietermaritzburg Mall</t>
        </is>
      </c>
      <c r="C228" s="27" t="inlineStr">
        <is>
          <t>Independent Spaza</t>
        </is>
      </c>
      <c r="D228" s="27" t="inlineStr">
        <is>
          <t>KwaZulu-Natal</t>
        </is>
      </c>
      <c r="E228" s="27" t="inlineStr">
        <is>
          <t>Pietermaritzburg</t>
        </is>
      </c>
      <c r="F228" s="27" t="n">
        <v>-28.00214</v>
      </c>
      <c r="G228" s="27" t="n">
        <v>30.233482</v>
      </c>
      <c r="H228" s="41" t="n">
        <v>42965</v>
      </c>
      <c r="I228" s="27" t="n">
        <v>20</v>
      </c>
      <c r="J228" s="27" t="inlineStr">
        <is>
          <t>Active</t>
        </is>
      </c>
    </row>
    <row r="229" ht="15" customHeight="1" s="24">
      <c r="A229" s="27" t="n">
        <v>1248</v>
      </c>
      <c r="B229" s="27" t="inlineStr">
        <is>
          <t>Clicks Centurion Junction</t>
        </is>
      </c>
      <c r="C229" s="27" t="inlineStr">
        <is>
          <t>Clicks</t>
        </is>
      </c>
      <c r="D229" s="27" t="inlineStr">
        <is>
          <t>Gauteng</t>
        </is>
      </c>
      <c r="E229" s="27" t="inlineStr">
        <is>
          <t>Centurion</t>
        </is>
      </c>
      <c r="F229" s="27" t="n">
        <v>-26.175472</v>
      </c>
      <c r="G229" s="27" t="n">
        <v>27.583926</v>
      </c>
      <c r="H229" s="41" t="n">
        <v>44352</v>
      </c>
      <c r="I229" s="27" t="n">
        <v>200</v>
      </c>
      <c r="J229" s="27" t="inlineStr">
        <is>
          <t>Active</t>
        </is>
      </c>
    </row>
    <row r="230" ht="15" customHeight="1" s="24">
      <c r="A230" s="27" t="n">
        <v>557</v>
      </c>
      <c r="B230" s="27" t="inlineStr">
        <is>
          <t>Clicks Pretoria Plaza</t>
        </is>
      </c>
      <c r="C230" s="27" t="inlineStr">
        <is>
          <t>Clicks</t>
        </is>
      </c>
      <c r="D230" s="27" t="inlineStr">
        <is>
          <t>Gauteng</t>
        </is>
      </c>
      <c r="E230" s="27" t="inlineStr">
        <is>
          <t>Pretoria</t>
        </is>
      </c>
      <c r="F230" s="27" t="n">
        <v>-25.583574</v>
      </c>
      <c r="G230" s="27" t="n">
        <v>27.576124</v>
      </c>
      <c r="H230" s="41" t="n">
        <v>43777</v>
      </c>
      <c r="I230" s="27" t="n">
        <v>20</v>
      </c>
      <c r="J230" s="27" t="inlineStr">
        <is>
          <t>Active</t>
        </is>
      </c>
    </row>
    <row r="231" ht="15" customHeight="1" s="24">
      <c r="A231" s="27" t="n">
        <v>1793</v>
      </c>
      <c r="B231" s="27" t="inlineStr">
        <is>
          <t>Build it East London Mall</t>
        </is>
      </c>
      <c r="C231" s="27" t="inlineStr">
        <is>
          <t>Build it</t>
        </is>
      </c>
      <c r="D231" s="27" t="inlineStr">
        <is>
          <t>Eastern Cape</t>
        </is>
      </c>
      <c r="E231" s="27" t="inlineStr">
        <is>
          <t>East London</t>
        </is>
      </c>
      <c r="F231" s="27" t="n">
        <v>-33.804676</v>
      </c>
      <c r="G231" s="27" t="n">
        <v>28.825538</v>
      </c>
      <c r="H231" s="41" t="n">
        <v>44353</v>
      </c>
      <c r="I231" s="27" t="n">
        <v>80</v>
      </c>
      <c r="J231" s="27" t="inlineStr">
        <is>
          <t>Active</t>
        </is>
      </c>
    </row>
    <row r="232" ht="15" customHeight="1" s="24">
      <c r="A232" s="27" t="n">
        <v>2891</v>
      </c>
      <c r="B232" s="27" t="inlineStr">
        <is>
          <t xml:space="preserve">Clicks Pinetown </t>
        </is>
      </c>
      <c r="C232" s="27" t="inlineStr">
        <is>
          <t>Clicks</t>
        </is>
      </c>
      <c r="D232" s="27" t="inlineStr">
        <is>
          <t>KwaZulu-Natal</t>
        </is>
      </c>
      <c r="E232" s="27" t="inlineStr">
        <is>
          <t>Pinetown</t>
        </is>
      </c>
      <c r="F232" s="27" t="n">
        <v>-27.43168</v>
      </c>
      <c r="G232" s="27" t="n">
        <v>30.587032</v>
      </c>
      <c r="H232" s="41" t="n">
        <v>45641</v>
      </c>
      <c r="I232" s="27" t="n">
        <v>35</v>
      </c>
      <c r="J232" s="27" t="inlineStr">
        <is>
          <t>Active</t>
        </is>
      </c>
    </row>
    <row r="233" ht="15" customHeight="1" s="24">
      <c r="A233" s="27" t="n">
        <v>3008</v>
      </c>
      <c r="B233" s="27" t="inlineStr">
        <is>
          <t>Build it East London Mall</t>
        </is>
      </c>
      <c r="C233" s="27" t="inlineStr">
        <is>
          <t>Build it</t>
        </is>
      </c>
      <c r="D233" s="27" t="inlineStr">
        <is>
          <t>Eastern Cape</t>
        </is>
      </c>
      <c r="E233" s="27" t="inlineStr">
        <is>
          <t>East London</t>
        </is>
      </c>
      <c r="F233" s="27" t="n">
        <v>-30.583387</v>
      </c>
      <c r="G233" s="27" t="n">
        <v>26.26654</v>
      </c>
      <c r="H233" s="41" t="n">
        <v>45797</v>
      </c>
      <c r="I233" s="27" t="n">
        <v>200</v>
      </c>
      <c r="J233" s="27" t="inlineStr">
        <is>
          <t>Active</t>
        </is>
      </c>
    </row>
    <row r="234" ht="15" customHeight="1" s="24">
      <c r="A234" s="27" t="n">
        <v>1924</v>
      </c>
      <c r="B234" s="27" t="inlineStr">
        <is>
          <t>Caltex Freshstop Centurion Central</t>
        </is>
      </c>
      <c r="C234" s="27" t="inlineStr">
        <is>
          <t>Caltex Freshstop</t>
        </is>
      </c>
      <c r="D234" s="27" t="inlineStr">
        <is>
          <t>Gauteng</t>
        </is>
      </c>
      <c r="E234" s="27" t="inlineStr">
        <is>
          <t>Centurion</t>
        </is>
      </c>
      <c r="F234" s="27" t="n">
        <v>-25.800367</v>
      </c>
      <c r="G234" s="27" t="n">
        <v>27.394149</v>
      </c>
      <c r="H234" s="41" t="n">
        <v>43853</v>
      </c>
      <c r="I234" s="27" t="n">
        <v>20</v>
      </c>
      <c r="J234" s="27" t="inlineStr">
        <is>
          <t>Active</t>
        </is>
      </c>
    </row>
    <row r="235" ht="15" customHeight="1" s="24">
      <c r="A235" s="27" t="n">
        <v>3225</v>
      </c>
      <c r="B235" s="27" t="inlineStr">
        <is>
          <t>Clicks Mahikeng Mall</t>
        </is>
      </c>
      <c r="C235" s="27" t="inlineStr">
        <is>
          <t>Clicks</t>
        </is>
      </c>
      <c r="D235" s="27" t="inlineStr">
        <is>
          <t>North West</t>
        </is>
      </c>
      <c r="E235" s="27" t="inlineStr">
        <is>
          <t>Mahikeng</t>
        </is>
      </c>
      <c r="F235" s="27" t="n">
        <v>-25.308398</v>
      </c>
      <c r="G235" s="27" t="n">
        <v>25.872532</v>
      </c>
      <c r="H235" s="41" t="n">
        <v>45888</v>
      </c>
      <c r="I235" s="27" t="n">
        <v>20</v>
      </c>
      <c r="J235" s="27" t="inlineStr">
        <is>
          <t>Active</t>
        </is>
      </c>
    </row>
    <row r="236" ht="15" customHeight="1" s="24">
      <c r="A236" s="27" t="n">
        <v>2195</v>
      </c>
      <c r="B236" s="27" t="inlineStr">
        <is>
          <t>PEP Polokwane Park</t>
        </is>
      </c>
      <c r="C236" s="27" t="inlineStr">
        <is>
          <t>PEP</t>
        </is>
      </c>
      <c r="D236" s="27" t="inlineStr">
        <is>
          <t>Limpopo</t>
        </is>
      </c>
      <c r="E236" s="27" t="inlineStr">
        <is>
          <t>Polokwane</t>
        </is>
      </c>
      <c r="F236" s="27" t="n">
        <v>-23.700164</v>
      </c>
      <c r="G236" s="27" t="n">
        <v>29.288977</v>
      </c>
      <c r="H236" s="41" t="n">
        <v>42808</v>
      </c>
      <c r="I236" s="27" t="n">
        <v>50</v>
      </c>
      <c r="J236" s="27" t="inlineStr">
        <is>
          <t>Active</t>
        </is>
      </c>
    </row>
    <row r="237" ht="15" customHeight="1" s="24">
      <c r="A237" s="27" t="n">
        <v>465</v>
      </c>
      <c r="B237" s="27" t="inlineStr">
        <is>
          <t>Independent Spaza Gqeberha Plaza</t>
        </is>
      </c>
      <c r="C237" s="27" t="inlineStr">
        <is>
          <t>Independent Spaza</t>
        </is>
      </c>
      <c r="D237" s="27" t="inlineStr">
        <is>
          <t>Eastern Cape</t>
        </is>
      </c>
      <c r="E237" s="27" t="inlineStr">
        <is>
          <t>Gqeberha</t>
        </is>
      </c>
      <c r="F237" s="27" t="n">
        <v>-30.747461</v>
      </c>
      <c r="G237" s="27" t="n">
        <v>25.43003</v>
      </c>
      <c r="H237" s="41" t="n">
        <v>43656</v>
      </c>
      <c r="I237" s="27" t="n">
        <v>35</v>
      </c>
      <c r="J237" s="27" t="inlineStr">
        <is>
          <t>Active</t>
        </is>
      </c>
    </row>
    <row r="238" ht="15" customHeight="1" s="24">
      <c r="A238" s="27" t="n">
        <v>463</v>
      </c>
      <c r="B238" s="27" t="inlineStr">
        <is>
          <t>PEP Bellville Plaza</t>
        </is>
      </c>
      <c r="C238" s="27" t="inlineStr">
        <is>
          <t>PEP</t>
        </is>
      </c>
      <c r="D238" s="27" t="inlineStr">
        <is>
          <t>Western Cape</t>
        </is>
      </c>
      <c r="E238" s="27" t="inlineStr">
        <is>
          <t>Bellville</t>
        </is>
      </c>
      <c r="F238" s="27" t="n">
        <v>-32.193162</v>
      </c>
      <c r="G238" s="27" t="n">
        <v>22.159321</v>
      </c>
      <c r="H238" s="41" t="n">
        <v>43089</v>
      </c>
      <c r="I238" s="27" t="n">
        <v>35</v>
      </c>
      <c r="J238" s="27" t="inlineStr">
        <is>
          <t>Active</t>
        </is>
      </c>
    </row>
    <row r="239" ht="15" customHeight="1" s="24">
      <c r="A239" s="27" t="n">
        <v>2526</v>
      </c>
      <c r="B239" s="27" t="inlineStr">
        <is>
          <t>Spar Newcastle Square</t>
        </is>
      </c>
      <c r="C239" s="27" t="inlineStr">
        <is>
          <t>Spar</t>
        </is>
      </c>
      <c r="D239" s="27" t="inlineStr">
        <is>
          <t>KwaZulu-Natal</t>
        </is>
      </c>
      <c r="E239" s="27" t="inlineStr">
        <is>
          <t>Newcastle</t>
        </is>
      </c>
      <c r="F239" s="27" t="n">
        <v>-27.010498</v>
      </c>
      <c r="G239" s="27" t="n">
        <v>30.173116</v>
      </c>
      <c r="H239" s="41" t="n">
        <v>43667</v>
      </c>
      <c r="I239" s="27" t="n">
        <v>35</v>
      </c>
      <c r="J239" s="27" t="inlineStr">
        <is>
          <t>Active</t>
        </is>
      </c>
    </row>
    <row r="240" ht="15" customHeight="1" s="24">
      <c r="A240" s="27" t="n">
        <v>2082</v>
      </c>
      <c r="B240" s="27" t="inlineStr">
        <is>
          <t>Caltex Freshstop Thohoyandou Plaza</t>
        </is>
      </c>
      <c r="C240" s="27" t="inlineStr">
        <is>
          <t>Caltex Freshstop</t>
        </is>
      </c>
      <c r="D240" s="27" t="inlineStr">
        <is>
          <t>Limpopo</t>
        </is>
      </c>
      <c r="E240" s="27" t="inlineStr">
        <is>
          <t>Thohoyandou</t>
        </is>
      </c>
      <c r="F240" s="27" t="n">
        <v>-23.712821</v>
      </c>
      <c r="G240" s="27" t="n">
        <v>30.438862</v>
      </c>
      <c r="H240" s="41" t="n">
        <v>43060</v>
      </c>
      <c r="I240" s="27" t="n">
        <v>80</v>
      </c>
      <c r="J240" s="27" t="inlineStr">
        <is>
          <t>Active</t>
        </is>
      </c>
    </row>
    <row r="241" ht="15" customHeight="1" s="24">
      <c r="A241" s="27" t="n">
        <v>3437</v>
      </c>
      <c r="B241" s="27" t="inlineStr">
        <is>
          <t xml:space="preserve">Build it Umhlanga </t>
        </is>
      </c>
      <c r="C241" s="27" t="inlineStr">
        <is>
          <t>Build it</t>
        </is>
      </c>
      <c r="D241" s="27" t="inlineStr">
        <is>
          <t>KwaZulu-Natal</t>
        </is>
      </c>
      <c r="E241" s="27" t="inlineStr">
        <is>
          <t>Umhlanga</t>
        </is>
      </c>
      <c r="F241" s="27" t="n">
        <v>-28.023561</v>
      </c>
      <c r="G241" s="27" t="n">
        <v>29.963188</v>
      </c>
      <c r="H241" s="41" t="n">
        <v>45240</v>
      </c>
      <c r="I241" s="27" t="n">
        <v>20</v>
      </c>
      <c r="J241" s="27" t="inlineStr">
        <is>
          <t>Active</t>
        </is>
      </c>
    </row>
    <row r="242" ht="15" customHeight="1" s="24">
      <c r="A242" s="27" t="n">
        <v>2349</v>
      </c>
      <c r="B242" s="27" t="inlineStr">
        <is>
          <t>PostNet Mokopane Plaza</t>
        </is>
      </c>
      <c r="C242" s="27" t="inlineStr">
        <is>
          <t>PostNet</t>
        </is>
      </c>
      <c r="D242" s="27" t="inlineStr">
        <is>
          <t>Limpopo</t>
        </is>
      </c>
      <c r="E242" s="27" t="inlineStr">
        <is>
          <t>Mokopane</t>
        </is>
      </c>
      <c r="F242" s="27" t="n">
        <v>-22.558027</v>
      </c>
      <c r="G242" s="27" t="n">
        <v>30.634842</v>
      </c>
      <c r="H242" s="41" t="n">
        <v>43261</v>
      </c>
      <c r="I242" s="27" t="n">
        <v>120</v>
      </c>
      <c r="J242" s="27" t="inlineStr">
        <is>
          <t>Active</t>
        </is>
      </c>
    </row>
    <row r="243" ht="15" customHeight="1" s="24">
      <c r="A243" s="27" t="n">
        <v>831</v>
      </c>
      <c r="B243" s="27" t="inlineStr">
        <is>
          <t xml:space="preserve">PostNet Pinetown </t>
        </is>
      </c>
      <c r="C243" s="27" t="inlineStr">
        <is>
          <t>PostNet</t>
        </is>
      </c>
      <c r="D243" s="27" t="inlineStr">
        <is>
          <t>KwaZulu-Natal</t>
        </is>
      </c>
      <c r="E243" s="27" t="inlineStr">
        <is>
          <t>Pinetown</t>
        </is>
      </c>
      <c r="F243" s="27" t="n">
        <v>-29.458951</v>
      </c>
      <c r="G243" s="27" t="n">
        <v>29.757986</v>
      </c>
      <c r="H243" s="41" t="n">
        <v>44325</v>
      </c>
      <c r="I243" s="27" t="n">
        <v>20</v>
      </c>
      <c r="J243" s="27" t="inlineStr">
        <is>
          <t>Active</t>
        </is>
      </c>
    </row>
    <row r="244" ht="15" customHeight="1" s="24">
      <c r="A244" s="27" t="n">
        <v>2940</v>
      </c>
      <c r="B244" s="27" t="inlineStr">
        <is>
          <t>PEP Soweto Mall</t>
        </is>
      </c>
      <c r="C244" s="27" t="inlineStr">
        <is>
          <t>PEP</t>
        </is>
      </c>
      <c r="D244" s="27" t="inlineStr">
        <is>
          <t>Gauteng</t>
        </is>
      </c>
      <c r="E244" s="27" t="inlineStr">
        <is>
          <t>Soweto</t>
        </is>
      </c>
      <c r="F244" s="27" t="n">
        <v>-26.661524</v>
      </c>
      <c r="G244" s="27" t="n">
        <v>28.021404</v>
      </c>
      <c r="H244" s="41" t="n">
        <v>42929</v>
      </c>
      <c r="I244" s="27" t="n">
        <v>80</v>
      </c>
      <c r="J244" s="27" t="inlineStr">
        <is>
          <t>Active</t>
        </is>
      </c>
    </row>
    <row r="245" ht="15" customHeight="1" s="24">
      <c r="A245" s="27" t="n">
        <v>3685</v>
      </c>
      <c r="B245" s="27" t="inlineStr">
        <is>
          <t>PEP Somerset West Square</t>
        </is>
      </c>
      <c r="C245" s="27" t="inlineStr">
        <is>
          <t>PEP</t>
        </is>
      </c>
      <c r="D245" s="27" t="inlineStr">
        <is>
          <t>Western Cape</t>
        </is>
      </c>
      <c r="E245" s="27" t="inlineStr">
        <is>
          <t>Somerset West</t>
        </is>
      </c>
      <c r="F245" s="27" t="n">
        <v>-32.501708</v>
      </c>
      <c r="G245" s="27" t="n">
        <v>21.096836</v>
      </c>
      <c r="H245" s="41" t="n">
        <v>43475</v>
      </c>
      <c r="I245" s="27" t="n">
        <v>35</v>
      </c>
      <c r="J245" s="27" t="inlineStr">
        <is>
          <t>Active</t>
        </is>
      </c>
    </row>
    <row r="246" ht="15" customHeight="1" s="24">
      <c r="A246" s="27" t="n">
        <v>3509</v>
      </c>
      <c r="B246" s="27" t="inlineStr">
        <is>
          <t>PostNet Kimberley Plaza</t>
        </is>
      </c>
      <c r="C246" s="27" t="inlineStr">
        <is>
          <t>PostNet</t>
        </is>
      </c>
      <c r="D246" s="27" t="inlineStr">
        <is>
          <t>Northern Cape</t>
        </is>
      </c>
      <c r="E246" s="27" t="inlineStr">
        <is>
          <t>Kimberley</t>
        </is>
      </c>
      <c r="F246" s="27" t="n">
        <v>-29.91895</v>
      </c>
      <c r="G246" s="27" t="n">
        <v>23.260808</v>
      </c>
      <c r="H246" s="41" t="n">
        <v>43400</v>
      </c>
      <c r="I246" s="27" t="n">
        <v>200</v>
      </c>
      <c r="J246" s="27" t="inlineStr">
        <is>
          <t>Active</t>
        </is>
      </c>
    </row>
    <row r="247" ht="15" customHeight="1" s="24">
      <c r="A247" s="27" t="n">
        <v>295</v>
      </c>
      <c r="B247" s="27" t="inlineStr">
        <is>
          <t>PEP Bellville Square</t>
        </is>
      </c>
      <c r="C247" s="27" t="inlineStr">
        <is>
          <t>PEP</t>
        </is>
      </c>
      <c r="D247" s="27" t="inlineStr">
        <is>
          <t>Western Cape</t>
        </is>
      </c>
      <c r="E247" s="27" t="inlineStr">
        <is>
          <t>Bellville</t>
        </is>
      </c>
      <c r="F247" s="27" t="n">
        <v>-33.395981</v>
      </c>
      <c r="G247" s="27" t="n">
        <v>18.052396</v>
      </c>
      <c r="H247" s="41" t="n">
        <v>45893</v>
      </c>
      <c r="I247" s="27" t="n">
        <v>35</v>
      </c>
      <c r="J247" s="27" t="inlineStr">
        <is>
          <t>Active</t>
        </is>
      </c>
    </row>
    <row r="248" ht="15" customHeight="1" s="24">
      <c r="A248" s="27" t="n">
        <v>1372</v>
      </c>
      <c r="B248" s="27" t="inlineStr">
        <is>
          <t>Independent Spaza Polokwane Park</t>
        </is>
      </c>
      <c r="C248" s="27" t="inlineStr">
        <is>
          <t>Independent Spaza</t>
        </is>
      </c>
      <c r="D248" s="27" t="inlineStr">
        <is>
          <t>Limpopo</t>
        </is>
      </c>
      <c r="E248" s="27" t="inlineStr">
        <is>
          <t>Polokwane</t>
        </is>
      </c>
      <c r="F248" s="27" t="n">
        <v>-23.176392</v>
      </c>
      <c r="G248" s="27" t="n">
        <v>29.182949</v>
      </c>
      <c r="H248" s="41" t="n">
        <v>43174</v>
      </c>
      <c r="I248" s="27" t="n">
        <v>35</v>
      </c>
      <c r="J248" s="27" t="inlineStr">
        <is>
          <t>Active</t>
        </is>
      </c>
    </row>
    <row r="249" ht="15" customHeight="1" s="24">
      <c r="A249" s="27" t="n">
        <v>1687</v>
      </c>
      <c r="B249" s="27" t="inlineStr">
        <is>
          <t>PostNet Benoni Mall</t>
        </is>
      </c>
      <c r="C249" s="27" t="inlineStr">
        <is>
          <t>PostNet</t>
        </is>
      </c>
      <c r="D249" s="27" t="inlineStr">
        <is>
          <t>Gauteng</t>
        </is>
      </c>
      <c r="E249" s="27" t="inlineStr">
        <is>
          <t>Benoni</t>
        </is>
      </c>
      <c r="F249" s="27" t="n">
        <v>-26.451256</v>
      </c>
      <c r="G249" s="27" t="n">
        <v>27.545428</v>
      </c>
      <c r="H249" s="41" t="n">
        <v>44991</v>
      </c>
      <c r="I249" s="27" t="n">
        <v>80</v>
      </c>
      <c r="J249" s="27" t="inlineStr">
        <is>
          <t>Active</t>
        </is>
      </c>
    </row>
    <row r="250" ht="15" customHeight="1" s="24">
      <c r="A250" s="27" t="n">
        <v>2694</v>
      </c>
      <c r="B250" s="27" t="inlineStr">
        <is>
          <t>Spar Table View Junction</t>
        </is>
      </c>
      <c r="C250" s="27" t="inlineStr">
        <is>
          <t>Spar</t>
        </is>
      </c>
      <c r="D250" s="27" t="inlineStr">
        <is>
          <t>Western Cape</t>
        </is>
      </c>
      <c r="E250" s="27" t="inlineStr">
        <is>
          <t>Table View</t>
        </is>
      </c>
      <c r="F250" s="27" t="n">
        <v>-33.515829</v>
      </c>
      <c r="G250" s="27" t="n">
        <v>19.513858</v>
      </c>
      <c r="H250" s="41" t="n">
        <v>43990</v>
      </c>
      <c r="I250" s="27" t="n">
        <v>50</v>
      </c>
      <c r="J250" s="27" t="inlineStr">
        <is>
          <t>Active</t>
        </is>
      </c>
    </row>
    <row r="251" ht="15" customHeight="1" s="24">
      <c r="A251" s="27" t="n">
        <v>2542</v>
      </c>
      <c r="B251" s="27" t="inlineStr">
        <is>
          <t>Independent Spaza Pietermaritzburg Park</t>
        </is>
      </c>
      <c r="C251" s="27" t="inlineStr">
        <is>
          <t>Independent Spaza</t>
        </is>
      </c>
      <c r="D251" s="27" t="inlineStr">
        <is>
          <t>KwaZulu-Natal</t>
        </is>
      </c>
      <c r="E251" s="27" t="inlineStr">
        <is>
          <t>Pietermaritzburg</t>
        </is>
      </c>
      <c r="F251" s="27" t="n">
        <v>-27.104902</v>
      </c>
      <c r="G251" s="27" t="n">
        <v>29.716135</v>
      </c>
      <c r="H251" s="41" t="n">
        <v>43085</v>
      </c>
      <c r="I251" s="27" t="n">
        <v>20</v>
      </c>
      <c r="J251" s="27" t="inlineStr">
        <is>
          <t>Active</t>
        </is>
      </c>
    </row>
    <row r="252" ht="15" customHeight="1" s="24">
      <c r="A252" s="27" t="n">
        <v>355</v>
      </c>
      <c r="B252" s="27" t="inlineStr">
        <is>
          <t xml:space="preserve">Clicks Benoni </t>
        </is>
      </c>
      <c r="C252" s="27" t="inlineStr">
        <is>
          <t>Clicks</t>
        </is>
      </c>
      <c r="D252" s="27" t="inlineStr">
        <is>
          <t>Gauteng</t>
        </is>
      </c>
      <c r="E252" s="27" t="inlineStr">
        <is>
          <t>Benoni</t>
        </is>
      </c>
      <c r="F252" s="27" t="n">
        <v>-26.326315</v>
      </c>
      <c r="G252" s="27" t="n">
        <v>28.843434</v>
      </c>
      <c r="H252" s="41" t="n">
        <v>44937</v>
      </c>
      <c r="I252" s="27" t="n">
        <v>50</v>
      </c>
      <c r="J252" s="27" t="inlineStr">
        <is>
          <t>Active</t>
        </is>
      </c>
    </row>
    <row r="253" ht="15" customHeight="1" s="24">
      <c r="A253" s="27" t="n">
        <v>1246</v>
      </c>
      <c r="B253" s="27" t="inlineStr">
        <is>
          <t>PEP Klerksdorp Square</t>
        </is>
      </c>
      <c r="C253" s="27" t="inlineStr">
        <is>
          <t>PEP</t>
        </is>
      </c>
      <c r="D253" s="27" t="inlineStr">
        <is>
          <t>North West</t>
        </is>
      </c>
      <c r="E253" s="27" t="inlineStr">
        <is>
          <t>Klerksdorp</t>
        </is>
      </c>
      <c r="F253" s="27" t="n">
        <v>-25.56342</v>
      </c>
      <c r="G253" s="27" t="n">
        <v>24.401136</v>
      </c>
      <c r="H253" s="41" t="n">
        <v>45044</v>
      </c>
      <c r="I253" s="27" t="n">
        <v>120</v>
      </c>
      <c r="J253" s="27" t="inlineStr">
        <is>
          <t>Active</t>
        </is>
      </c>
    </row>
    <row r="254" ht="15" customHeight="1" s="24">
      <c r="A254" s="27" t="n">
        <v>307</v>
      </c>
      <c r="B254" s="27" t="inlineStr">
        <is>
          <t>Independent Spaza Sandton Mall</t>
        </is>
      </c>
      <c r="C254" s="27" t="inlineStr">
        <is>
          <t>Independent Spaza</t>
        </is>
      </c>
      <c r="D254" s="27" t="inlineStr">
        <is>
          <t>Gauteng</t>
        </is>
      </c>
      <c r="E254" s="27" t="inlineStr">
        <is>
          <t>Sandton</t>
        </is>
      </c>
      <c r="F254" s="27" t="n">
        <v>-25.732841</v>
      </c>
      <c r="G254" s="27" t="n">
        <v>27.46173</v>
      </c>
      <c r="H254" s="41" t="n">
        <v>44320</v>
      </c>
      <c r="I254" s="27" t="n">
        <v>20</v>
      </c>
      <c r="J254" s="27" t="inlineStr">
        <is>
          <t>Active</t>
        </is>
      </c>
    </row>
    <row r="255" ht="15" customHeight="1" s="24">
      <c r="A255" s="27" t="n">
        <v>1216</v>
      </c>
      <c r="B255" s="27" t="inlineStr">
        <is>
          <t>PostNet Somerset West Central</t>
        </is>
      </c>
      <c r="C255" s="27" t="inlineStr">
        <is>
          <t>PostNet</t>
        </is>
      </c>
      <c r="D255" s="27" t="inlineStr">
        <is>
          <t>Western Cape</t>
        </is>
      </c>
      <c r="E255" s="27" t="inlineStr">
        <is>
          <t>Somerset West</t>
        </is>
      </c>
      <c r="F255" s="27" t="n">
        <v>-33.588315</v>
      </c>
      <c r="G255" s="27" t="n">
        <v>18.857864</v>
      </c>
      <c r="H255" s="41" t="n">
        <v>45834</v>
      </c>
      <c r="I255" s="27" t="n">
        <v>200</v>
      </c>
      <c r="J255" s="27" t="inlineStr">
        <is>
          <t>Active</t>
        </is>
      </c>
    </row>
    <row r="256" ht="15" customHeight="1" s="24">
      <c r="A256" s="27" t="n">
        <v>683</v>
      </c>
      <c r="B256" s="27" t="inlineStr">
        <is>
          <t>PEP Richards Bay Square</t>
        </is>
      </c>
      <c r="C256" s="27" t="inlineStr">
        <is>
          <t>PEP</t>
        </is>
      </c>
      <c r="D256" s="27" t="inlineStr">
        <is>
          <t>KwaZulu-Natal</t>
        </is>
      </c>
      <c r="E256" s="27" t="inlineStr">
        <is>
          <t>Richards Bay</t>
        </is>
      </c>
      <c r="F256" s="27" t="n">
        <v>-27.66684</v>
      </c>
      <c r="G256" s="27" t="n">
        <v>31.064987</v>
      </c>
      <c r="H256" s="41" t="n">
        <v>43468</v>
      </c>
      <c r="I256" s="27" t="n">
        <v>20</v>
      </c>
      <c r="J256" s="27" t="inlineStr">
        <is>
          <t>Active</t>
        </is>
      </c>
    </row>
    <row r="257" ht="15" customHeight="1" s="24">
      <c r="A257" s="27" t="n">
        <v>936</v>
      </c>
      <c r="B257" s="27" t="inlineStr">
        <is>
          <t>Waltons Pietermaritzburg Park</t>
        </is>
      </c>
      <c r="C257" s="27" t="inlineStr">
        <is>
          <t>Waltons</t>
        </is>
      </c>
      <c r="D257" s="27" t="inlineStr">
        <is>
          <t>KwaZulu-Natal</t>
        </is>
      </c>
      <c r="E257" s="27" t="inlineStr">
        <is>
          <t>Pietermaritzburg</t>
        </is>
      </c>
      <c r="F257" s="27" t="n">
        <v>-30.157611</v>
      </c>
      <c r="G257" s="27" t="n">
        <v>30.794957</v>
      </c>
      <c r="H257" s="41" t="n">
        <v>43942</v>
      </c>
      <c r="I257" s="27" t="n">
        <v>50</v>
      </c>
      <c r="J257" s="27" t="inlineStr">
        <is>
          <t>Active</t>
        </is>
      </c>
    </row>
    <row r="258" ht="15" customHeight="1" s="24">
      <c r="A258" s="27" t="n">
        <v>1375</v>
      </c>
      <c r="B258" s="27" t="inlineStr">
        <is>
          <t>Clicks East London Square</t>
        </is>
      </c>
      <c r="C258" s="27" t="inlineStr">
        <is>
          <t>Clicks</t>
        </is>
      </c>
      <c r="D258" s="27" t="inlineStr">
        <is>
          <t>Eastern Cape</t>
        </is>
      </c>
      <c r="E258" s="27" t="inlineStr">
        <is>
          <t>East London</t>
        </is>
      </c>
      <c r="F258" s="27" t="n">
        <v>-31.372533</v>
      </c>
      <c r="G258" s="27" t="n">
        <v>28.031834</v>
      </c>
      <c r="H258" s="41" t="n">
        <v>45027</v>
      </c>
      <c r="I258" s="27" t="n">
        <v>120</v>
      </c>
      <c r="J258" s="27" t="inlineStr">
        <is>
          <t>Active</t>
        </is>
      </c>
    </row>
    <row r="259" ht="15" customHeight="1" s="24">
      <c r="A259" s="27" t="n">
        <v>1661</v>
      </c>
      <c r="B259" s="27" t="inlineStr">
        <is>
          <t>Independent Spaza Umhlanga Park</t>
        </is>
      </c>
      <c r="C259" s="27" t="inlineStr">
        <is>
          <t>Independent Spaza</t>
        </is>
      </c>
      <c r="D259" s="27" t="inlineStr">
        <is>
          <t>KwaZulu-Natal</t>
        </is>
      </c>
      <c r="E259" s="27" t="inlineStr">
        <is>
          <t>Umhlanga</t>
        </is>
      </c>
      <c r="F259" s="27" t="n">
        <v>-30.872644</v>
      </c>
      <c r="G259" s="27" t="n">
        <v>29.46123</v>
      </c>
      <c r="H259" s="41" t="n">
        <v>42729</v>
      </c>
      <c r="I259" s="27" t="n">
        <v>35</v>
      </c>
      <c r="J259" s="27" t="inlineStr">
        <is>
          <t>Active</t>
        </is>
      </c>
    </row>
    <row r="260" ht="15" customHeight="1" s="24">
      <c r="A260" s="27" t="n">
        <v>761</v>
      </c>
      <c r="B260" s="27" t="inlineStr">
        <is>
          <t>Lewis Umhlanga Junction</t>
        </is>
      </c>
      <c r="C260" s="27" t="inlineStr">
        <is>
          <t>Lewis</t>
        </is>
      </c>
      <c r="D260" s="27" t="inlineStr">
        <is>
          <t>KwaZulu-Natal</t>
        </is>
      </c>
      <c r="E260" s="27" t="inlineStr">
        <is>
          <t>Umhlanga</t>
        </is>
      </c>
      <c r="F260" s="27" t="n">
        <v>-27.603643</v>
      </c>
      <c r="G260" s="27" t="n">
        <v>30.393908</v>
      </c>
      <c r="H260" s="41" t="n">
        <v>43387</v>
      </c>
      <c r="I260" s="27" t="n">
        <v>200</v>
      </c>
      <c r="J260" s="27" t="inlineStr">
        <is>
          <t>Active</t>
        </is>
      </c>
    </row>
    <row r="261" ht="15" customHeight="1" s="24">
      <c r="A261" s="27" t="n">
        <v>2277</v>
      </c>
      <c r="B261" s="27" t="inlineStr">
        <is>
          <t>Clicks Springbok Mall</t>
        </is>
      </c>
      <c r="C261" s="27" t="inlineStr">
        <is>
          <t>Clicks</t>
        </is>
      </c>
      <c r="D261" s="27" t="inlineStr">
        <is>
          <t>Northern Cape</t>
        </is>
      </c>
      <c r="E261" s="27" t="inlineStr">
        <is>
          <t>Springbok</t>
        </is>
      </c>
      <c r="F261" s="27" t="n">
        <v>-28.170843</v>
      </c>
      <c r="G261" s="27" t="n">
        <v>22.895776</v>
      </c>
      <c r="H261" s="41" t="n">
        <v>42746</v>
      </c>
      <c r="I261" s="27" t="n">
        <v>80</v>
      </c>
      <c r="J261" s="27" t="inlineStr">
        <is>
          <t>Active</t>
        </is>
      </c>
    </row>
    <row r="262" ht="15" customHeight="1" s="24">
      <c r="A262" s="27" t="n">
        <v>1918</v>
      </c>
      <c r="B262" s="27" t="inlineStr">
        <is>
          <t>PEP Secunda Park</t>
        </is>
      </c>
      <c r="C262" s="27" t="inlineStr">
        <is>
          <t>PEP</t>
        </is>
      </c>
      <c r="D262" s="27" t="inlineStr">
        <is>
          <t>Mpumalanga</t>
        </is>
      </c>
      <c r="E262" s="27" t="inlineStr">
        <is>
          <t>Secunda</t>
        </is>
      </c>
      <c r="F262" s="27" t="n">
        <v>-25.036458</v>
      </c>
      <c r="G262" s="27" t="n">
        <v>31.106937</v>
      </c>
      <c r="H262" s="41" t="n">
        <v>42703</v>
      </c>
      <c r="I262" s="27" t="n">
        <v>20</v>
      </c>
      <c r="J262" s="27" t="inlineStr">
        <is>
          <t>Active</t>
        </is>
      </c>
    </row>
    <row r="263" ht="15" customHeight="1" s="24">
      <c r="A263" s="27" t="n">
        <v>1256</v>
      </c>
      <c r="B263" s="27" t="inlineStr">
        <is>
          <t>Caltex Freshstop Welkom Park</t>
        </is>
      </c>
      <c r="C263" s="27" t="inlineStr">
        <is>
          <t>Caltex Freshstop</t>
        </is>
      </c>
      <c r="D263" s="27" t="inlineStr">
        <is>
          <t>Free State</t>
        </is>
      </c>
      <c r="E263" s="27" t="inlineStr">
        <is>
          <t>Welkom</t>
        </is>
      </c>
      <c r="F263" s="27" t="n">
        <v>-27.754715</v>
      </c>
      <c r="G263" s="27" t="n">
        <v>26.119537</v>
      </c>
      <c r="H263" s="41" t="n">
        <v>44093</v>
      </c>
      <c r="I263" s="27" t="n">
        <v>50</v>
      </c>
      <c r="J263" s="27" t="inlineStr">
        <is>
          <t>Active</t>
        </is>
      </c>
    </row>
    <row r="264" ht="15" customHeight="1" s="24">
      <c r="A264" s="27" t="n">
        <v>209</v>
      </c>
      <c r="B264" s="27" t="inlineStr">
        <is>
          <t>Caltex Freshstop Bethlehem Park</t>
        </is>
      </c>
      <c r="C264" s="27" t="inlineStr">
        <is>
          <t>Caltex Freshstop</t>
        </is>
      </c>
      <c r="D264" s="27" t="inlineStr">
        <is>
          <t>Free State</t>
        </is>
      </c>
      <c r="E264" s="27" t="inlineStr">
        <is>
          <t>Bethlehem</t>
        </is>
      </c>
      <c r="F264" s="27" t="n">
        <v>-28.907617</v>
      </c>
      <c r="G264" s="27" t="n">
        <v>26.255636</v>
      </c>
      <c r="H264" s="41" t="n">
        <v>43115</v>
      </c>
      <c r="I264" s="27" t="n">
        <v>120</v>
      </c>
      <c r="J264" s="27" t="inlineStr">
        <is>
          <t>Active</t>
        </is>
      </c>
    </row>
    <row r="265" ht="15" customHeight="1" s="24">
      <c r="A265" s="27" t="n">
        <v>1675</v>
      </c>
      <c r="B265" s="27" t="inlineStr">
        <is>
          <t>Caltex Freshstop George Central</t>
        </is>
      </c>
      <c r="C265" s="27" t="inlineStr">
        <is>
          <t>Caltex Freshstop</t>
        </is>
      </c>
      <c r="D265" s="27" t="inlineStr">
        <is>
          <t>Western Cape</t>
        </is>
      </c>
      <c r="E265" s="27" t="inlineStr">
        <is>
          <t>George</t>
        </is>
      </c>
      <c r="F265" s="27" t="n">
        <v>-31.859959</v>
      </c>
      <c r="G265" s="27" t="n">
        <v>20.723881</v>
      </c>
      <c r="H265" s="41" t="n">
        <v>44417</v>
      </c>
      <c r="I265" s="27" t="n">
        <v>120</v>
      </c>
      <c r="J265" s="27" t="inlineStr">
        <is>
          <t>Active</t>
        </is>
      </c>
    </row>
    <row r="266" ht="15" customHeight="1" s="24">
      <c r="A266" s="27" t="n">
        <v>1547</v>
      </c>
      <c r="B266" s="27" t="inlineStr">
        <is>
          <t>Caltex Freshstop Upington Mall</t>
        </is>
      </c>
      <c r="C266" s="27" t="inlineStr">
        <is>
          <t>Caltex Freshstop</t>
        </is>
      </c>
      <c r="D266" s="27" t="inlineStr">
        <is>
          <t>Northern Cape</t>
        </is>
      </c>
      <c r="E266" s="27" t="inlineStr">
        <is>
          <t>Upington</t>
        </is>
      </c>
      <c r="F266" s="27" t="n">
        <v>-28.228498</v>
      </c>
      <c r="G266" s="27" t="n">
        <v>22.48817</v>
      </c>
      <c r="H266" s="41" t="n">
        <v>42984</v>
      </c>
      <c r="I266" s="27" t="n">
        <v>50</v>
      </c>
      <c r="J266" s="27" t="inlineStr">
        <is>
          <t>Active</t>
        </is>
      </c>
    </row>
    <row r="267" ht="15" customHeight="1" s="24">
      <c r="A267" s="27" t="n">
        <v>1567</v>
      </c>
      <c r="B267" s="27" t="inlineStr">
        <is>
          <t>PEP Umhlanga Central</t>
        </is>
      </c>
      <c r="C267" s="27" t="inlineStr">
        <is>
          <t>PEP</t>
        </is>
      </c>
      <c r="D267" s="27" t="inlineStr">
        <is>
          <t>KwaZulu-Natal</t>
        </is>
      </c>
      <c r="E267" s="27" t="inlineStr">
        <is>
          <t>Umhlanga</t>
        </is>
      </c>
      <c r="F267" s="27" t="n">
        <v>-28.801799</v>
      </c>
      <c r="G267" s="27" t="n">
        <v>30.83449</v>
      </c>
      <c r="H267" s="41" t="n">
        <v>42792</v>
      </c>
      <c r="I267" s="27" t="n">
        <v>20</v>
      </c>
      <c r="J267" s="27" t="inlineStr">
        <is>
          <t>Active</t>
        </is>
      </c>
    </row>
    <row r="268" ht="15" customHeight="1" s="24">
      <c r="A268" s="27" t="n">
        <v>801</v>
      </c>
      <c r="B268" s="27" t="inlineStr">
        <is>
          <t>Build it Gqeberha Mall</t>
        </is>
      </c>
      <c r="C268" s="27" t="inlineStr">
        <is>
          <t>Build it</t>
        </is>
      </c>
      <c r="D268" s="27" t="inlineStr">
        <is>
          <t>Eastern Cape</t>
        </is>
      </c>
      <c r="E268" s="27" t="inlineStr">
        <is>
          <t>Gqeberha</t>
        </is>
      </c>
      <c r="F268" s="27" t="n">
        <v>-31.641702</v>
      </c>
      <c r="G268" s="27" t="n">
        <v>28.302451</v>
      </c>
      <c r="H268" s="41" t="n">
        <v>45623</v>
      </c>
      <c r="I268" s="27" t="n">
        <v>35</v>
      </c>
      <c r="J268" s="27" t="inlineStr">
        <is>
          <t>Active</t>
        </is>
      </c>
    </row>
    <row r="269" ht="15" customHeight="1" s="24">
      <c r="A269" s="27" t="n">
        <v>2533</v>
      </c>
      <c r="B269" s="27" t="inlineStr">
        <is>
          <t>Waltons Cape Town Square</t>
        </is>
      </c>
      <c r="C269" s="27" t="inlineStr">
        <is>
          <t>Waltons</t>
        </is>
      </c>
      <c r="D269" s="27" t="inlineStr">
        <is>
          <t>Western Cape</t>
        </is>
      </c>
      <c r="E269" s="27" t="inlineStr">
        <is>
          <t>Cape Town</t>
        </is>
      </c>
      <c r="F269" s="27" t="n">
        <v>-34.096127</v>
      </c>
      <c r="G269" s="27" t="n">
        <v>21.339204</v>
      </c>
      <c r="H269" s="41" t="n">
        <v>44527</v>
      </c>
      <c r="I269" s="27" t="n">
        <v>35</v>
      </c>
      <c r="J269" s="27" t="inlineStr">
        <is>
          <t>Active</t>
        </is>
      </c>
    </row>
    <row r="270" ht="15" customHeight="1" s="24">
      <c r="A270" s="27" t="n">
        <v>2172</v>
      </c>
      <c r="B270" s="27" t="inlineStr">
        <is>
          <t>Clicks Uitenhage Park</t>
        </is>
      </c>
      <c r="C270" s="27" t="inlineStr">
        <is>
          <t>Clicks</t>
        </is>
      </c>
      <c r="D270" s="27" t="inlineStr">
        <is>
          <t>Eastern Cape</t>
        </is>
      </c>
      <c r="E270" s="27" t="inlineStr">
        <is>
          <t>Uitenhage</t>
        </is>
      </c>
      <c r="F270" s="27" t="n">
        <v>-33.243764</v>
      </c>
      <c r="G270" s="27" t="n">
        <v>24.995585</v>
      </c>
      <c r="H270" s="41" t="n">
        <v>44269</v>
      </c>
      <c r="I270" s="27" t="n">
        <v>80</v>
      </c>
      <c r="J270" s="27" t="inlineStr">
        <is>
          <t>Active</t>
        </is>
      </c>
    </row>
    <row r="271" ht="15" customHeight="1" s="24">
      <c r="A271" s="27" t="n">
        <v>2702</v>
      </c>
      <c r="B271" s="27" t="inlineStr">
        <is>
          <t>PEP Durban Central</t>
        </is>
      </c>
      <c r="C271" s="27" t="inlineStr">
        <is>
          <t>PEP</t>
        </is>
      </c>
      <c r="D271" s="27" t="inlineStr">
        <is>
          <t>KwaZulu-Natal</t>
        </is>
      </c>
      <c r="E271" s="27" t="inlineStr">
        <is>
          <t>Durban</t>
        </is>
      </c>
      <c r="F271" s="27" t="n">
        <v>-30.133581</v>
      </c>
      <c r="G271" s="27" t="n">
        <v>30.937138</v>
      </c>
      <c r="H271" s="41" t="n">
        <v>43163</v>
      </c>
      <c r="I271" s="27" t="n">
        <v>50</v>
      </c>
      <c r="J271" s="27" t="inlineStr">
        <is>
          <t>Active</t>
        </is>
      </c>
    </row>
    <row r="272" ht="15" customHeight="1" s="24">
      <c r="A272" s="27" t="n">
        <v>3386</v>
      </c>
      <c r="B272" s="27" t="inlineStr">
        <is>
          <t>Lewis Tzaneen Mall</t>
        </is>
      </c>
      <c r="C272" s="27" t="inlineStr">
        <is>
          <t>Lewis</t>
        </is>
      </c>
      <c r="D272" s="27" t="inlineStr">
        <is>
          <t>Limpopo</t>
        </is>
      </c>
      <c r="E272" s="27" t="inlineStr">
        <is>
          <t>Tzaneen</t>
        </is>
      </c>
      <c r="F272" s="27" t="n">
        <v>-23.451299</v>
      </c>
      <c r="G272" s="27" t="n">
        <v>29.12607</v>
      </c>
      <c r="H272" s="41" t="n">
        <v>44821</v>
      </c>
      <c r="I272" s="27" t="n">
        <v>50</v>
      </c>
      <c r="J272" s="27" t="inlineStr">
        <is>
          <t>Active</t>
        </is>
      </c>
    </row>
    <row r="273" ht="15" customHeight="1" s="24">
      <c r="A273" s="27" t="n">
        <v>612</v>
      </c>
      <c r="B273" s="27" t="inlineStr">
        <is>
          <t>Lewis Richards Bay Mall</t>
        </is>
      </c>
      <c r="C273" s="27" t="inlineStr">
        <is>
          <t>Lewis</t>
        </is>
      </c>
      <c r="D273" s="27" t="inlineStr">
        <is>
          <t>KwaZulu-Natal</t>
        </is>
      </c>
      <c r="E273" s="27" t="inlineStr">
        <is>
          <t>Richards Bay</t>
        </is>
      </c>
      <c r="F273" s="27" t="n">
        <v>-30.599736</v>
      </c>
      <c r="G273" s="27" t="n">
        <v>30.470457</v>
      </c>
      <c r="H273" s="41" t="n">
        <v>42608</v>
      </c>
      <c r="I273" s="27" t="n">
        <v>35</v>
      </c>
      <c r="J273" s="27" t="inlineStr">
        <is>
          <t>Active</t>
        </is>
      </c>
    </row>
    <row r="274" ht="15" customHeight="1" s="24">
      <c r="A274" s="27" t="n">
        <v>1560</v>
      </c>
      <c r="B274" s="27" t="inlineStr">
        <is>
          <t>PostNet Sandton Junction</t>
        </is>
      </c>
      <c r="C274" s="27" t="inlineStr">
        <is>
          <t>PostNet</t>
        </is>
      </c>
      <c r="D274" s="27" t="inlineStr">
        <is>
          <t>Gauteng</t>
        </is>
      </c>
      <c r="E274" s="27" t="inlineStr">
        <is>
          <t>Sandton</t>
        </is>
      </c>
      <c r="F274" s="27" t="n">
        <v>-25.714042</v>
      </c>
      <c r="G274" s="27" t="n">
        <v>27.487049</v>
      </c>
      <c r="H274" s="41" t="n">
        <v>45220</v>
      </c>
      <c r="I274" s="27" t="n">
        <v>80</v>
      </c>
      <c r="J274" s="27" t="inlineStr">
        <is>
          <t>Active</t>
        </is>
      </c>
    </row>
    <row r="275" ht="15" customHeight="1" s="24">
      <c r="A275" s="27" t="n">
        <v>2029</v>
      </c>
      <c r="B275" s="27" t="inlineStr">
        <is>
          <t>Clicks Potchefstroom Mall</t>
        </is>
      </c>
      <c r="C275" s="27" t="inlineStr">
        <is>
          <t>Clicks</t>
        </is>
      </c>
      <c r="D275" s="27" t="inlineStr">
        <is>
          <t>North West</t>
        </is>
      </c>
      <c r="E275" s="27" t="inlineStr">
        <is>
          <t>Potchefstroom</t>
        </is>
      </c>
      <c r="F275" s="27" t="n">
        <v>-25.655151</v>
      </c>
      <c r="G275" s="27" t="n">
        <v>26.661195</v>
      </c>
      <c r="H275" s="41" t="n">
        <v>44394</v>
      </c>
      <c r="I275" s="27" t="n">
        <v>20</v>
      </c>
      <c r="J275" s="27" t="inlineStr">
        <is>
          <t>Active</t>
        </is>
      </c>
    </row>
    <row r="276" ht="15" customHeight="1" s="24">
      <c r="A276" s="27" t="n">
        <v>300</v>
      </c>
      <c r="B276" s="27" t="inlineStr">
        <is>
          <t>PEP Roodepoort Central</t>
        </is>
      </c>
      <c r="C276" s="27" t="inlineStr">
        <is>
          <t>PEP</t>
        </is>
      </c>
      <c r="D276" s="27" t="inlineStr">
        <is>
          <t>Gauteng</t>
        </is>
      </c>
      <c r="E276" s="27" t="inlineStr">
        <is>
          <t>Roodepoort</t>
        </is>
      </c>
      <c r="F276" s="27" t="n">
        <v>-26.302196</v>
      </c>
      <c r="G276" s="27" t="n">
        <v>28.146085</v>
      </c>
      <c r="H276" s="41" t="n">
        <v>43527</v>
      </c>
      <c r="I276" s="27" t="n">
        <v>35</v>
      </c>
      <c r="J276" s="27" t="inlineStr">
        <is>
          <t>Active</t>
        </is>
      </c>
    </row>
    <row r="277" ht="15" customHeight="1" s="24">
      <c r="A277" s="27" t="n">
        <v>405</v>
      </c>
      <c r="B277" s="27" t="inlineStr">
        <is>
          <t>Caltex Freshstop Centurion Mall</t>
        </is>
      </c>
      <c r="C277" s="27" t="inlineStr">
        <is>
          <t>Caltex Freshstop</t>
        </is>
      </c>
      <c r="D277" s="27" t="inlineStr">
        <is>
          <t>Gauteng</t>
        </is>
      </c>
      <c r="E277" s="27" t="inlineStr">
        <is>
          <t>Centurion</t>
        </is>
      </c>
      <c r="F277" s="27" t="n">
        <v>-25.371604</v>
      </c>
      <c r="G277" s="27" t="n">
        <v>27.752594</v>
      </c>
      <c r="H277" s="41" t="n">
        <v>45772</v>
      </c>
      <c r="I277" s="27" t="n">
        <v>20</v>
      </c>
      <c r="J277" s="27" t="inlineStr">
        <is>
          <t>Active</t>
        </is>
      </c>
    </row>
    <row r="278" ht="15" customHeight="1" s="24">
      <c r="A278" s="27" t="n">
        <v>1988</v>
      </c>
      <c r="B278" s="27" t="inlineStr">
        <is>
          <t>PostNet Newcastle Mall</t>
        </is>
      </c>
      <c r="C278" s="27" t="inlineStr">
        <is>
          <t>PostNet</t>
        </is>
      </c>
      <c r="D278" s="27" t="inlineStr">
        <is>
          <t>KwaZulu-Natal</t>
        </is>
      </c>
      <c r="E278" s="27" t="inlineStr">
        <is>
          <t>Newcastle</t>
        </is>
      </c>
      <c r="F278" s="27" t="n">
        <v>-29.517658</v>
      </c>
      <c r="G278" s="27" t="n">
        <v>30.027824</v>
      </c>
      <c r="H278" s="41" t="n">
        <v>44045</v>
      </c>
      <c r="I278" s="27" t="n">
        <v>80</v>
      </c>
      <c r="J278" s="27" t="inlineStr">
        <is>
          <t>Active</t>
        </is>
      </c>
    </row>
    <row r="279" ht="15" customHeight="1" s="24">
      <c r="A279" s="27" t="n">
        <v>2924</v>
      </c>
      <c r="B279" s="27" t="inlineStr">
        <is>
          <t xml:space="preserve">Waltons Stellenbosch </t>
        </is>
      </c>
      <c r="C279" s="27" t="inlineStr">
        <is>
          <t>Waltons</t>
        </is>
      </c>
      <c r="D279" s="27" t="inlineStr">
        <is>
          <t>Western Cape</t>
        </is>
      </c>
      <c r="E279" s="27" t="inlineStr">
        <is>
          <t>Stellenbosch</t>
        </is>
      </c>
      <c r="F279" s="27" t="n">
        <v>-32.427862</v>
      </c>
      <c r="G279" s="27" t="n">
        <v>21.275066</v>
      </c>
      <c r="H279" s="41" t="n">
        <v>43066</v>
      </c>
      <c r="I279" s="27" t="n">
        <v>120</v>
      </c>
      <c r="J279" s="27" t="inlineStr">
        <is>
          <t>Active</t>
        </is>
      </c>
    </row>
    <row r="280" ht="15" customHeight="1" s="24">
      <c r="A280" s="27" t="n">
        <v>3424</v>
      </c>
      <c r="B280" s="27" t="inlineStr">
        <is>
          <t>Independent Spaza Gqeberha Plaza</t>
        </is>
      </c>
      <c r="C280" s="27" t="inlineStr">
        <is>
          <t>Independent Spaza</t>
        </is>
      </c>
      <c r="D280" s="27" t="inlineStr">
        <is>
          <t>Eastern Cape</t>
        </is>
      </c>
      <c r="E280" s="27" t="inlineStr">
        <is>
          <t>Gqeberha</t>
        </is>
      </c>
      <c r="F280" s="27" t="n">
        <v>-32.271105</v>
      </c>
      <c r="G280" s="27" t="n">
        <v>28.994676</v>
      </c>
      <c r="H280" s="41" t="n">
        <v>44701</v>
      </c>
      <c r="I280" s="27" t="n">
        <v>35</v>
      </c>
      <c r="J280" s="27" t="inlineStr">
        <is>
          <t>Active</t>
        </is>
      </c>
    </row>
    <row r="281" ht="15" customHeight="1" s="24">
      <c r="A281" s="27" t="n">
        <v>63</v>
      </c>
      <c r="B281" s="27" t="inlineStr">
        <is>
          <t>Clicks Benoni Square</t>
        </is>
      </c>
      <c r="C281" s="27" t="inlineStr">
        <is>
          <t>Clicks</t>
        </is>
      </c>
      <c r="D281" s="27" t="inlineStr">
        <is>
          <t>Gauteng</t>
        </is>
      </c>
      <c r="E281" s="27" t="inlineStr">
        <is>
          <t>Benoni</t>
        </is>
      </c>
      <c r="F281" s="27" t="n">
        <v>-25.574809</v>
      </c>
      <c r="G281" s="27" t="n">
        <v>28.419083</v>
      </c>
      <c r="H281" s="41" t="n">
        <v>43053</v>
      </c>
      <c r="I281" s="27" t="n">
        <v>35</v>
      </c>
      <c r="J281" s="27" t="inlineStr">
        <is>
          <t>Active</t>
        </is>
      </c>
    </row>
    <row r="282" ht="15" customHeight="1" s="24">
      <c r="A282" s="27" t="n">
        <v>2755</v>
      </c>
      <c r="B282" s="27" t="inlineStr">
        <is>
          <t>Waltons Midrand Plaza</t>
        </is>
      </c>
      <c r="C282" s="27" t="inlineStr">
        <is>
          <t>Waltons</t>
        </is>
      </c>
      <c r="D282" s="27" t="inlineStr">
        <is>
          <t>Gauteng</t>
        </is>
      </c>
      <c r="E282" s="27" t="inlineStr">
        <is>
          <t>Midrand</t>
        </is>
      </c>
      <c r="F282" s="27" t="n">
        <v>-26.586533</v>
      </c>
      <c r="G282" s="27" t="n">
        <v>27.624409</v>
      </c>
      <c r="H282" s="41" t="n">
        <v>43214</v>
      </c>
      <c r="I282" s="27" t="n">
        <v>50</v>
      </c>
      <c r="J282" s="27" t="inlineStr">
        <is>
          <t>Active</t>
        </is>
      </c>
    </row>
    <row r="283" ht="15" customHeight="1" s="24">
      <c r="A283" s="27" t="n">
        <v>91</v>
      </c>
      <c r="B283" s="27" t="inlineStr">
        <is>
          <t>Caltex Freshstop Gqeberha Square</t>
        </is>
      </c>
      <c r="C283" s="27" t="inlineStr">
        <is>
          <t>Caltex Freshstop</t>
        </is>
      </c>
      <c r="D283" s="27" t="inlineStr">
        <is>
          <t>Eastern Cape</t>
        </is>
      </c>
      <c r="E283" s="27" t="inlineStr">
        <is>
          <t>Gqeberha</t>
        </is>
      </c>
      <c r="F283" s="27" t="n">
        <v>-33.218117</v>
      </c>
      <c r="G283" s="27" t="n">
        <v>28.440111</v>
      </c>
      <c r="H283" s="41" t="n">
        <v>43688</v>
      </c>
      <c r="I283" s="27" t="n">
        <v>35</v>
      </c>
      <c r="J283" s="27" t="inlineStr">
        <is>
          <t>Active</t>
        </is>
      </c>
    </row>
    <row r="284" ht="15" customHeight="1" s="24">
      <c r="A284" s="27" t="n">
        <v>2073</v>
      </c>
      <c r="B284" s="27" t="inlineStr">
        <is>
          <t>Waltons Soweto Park</t>
        </is>
      </c>
      <c r="C284" s="27" t="inlineStr">
        <is>
          <t>Waltons</t>
        </is>
      </c>
      <c r="D284" s="27" t="inlineStr">
        <is>
          <t>Gauteng</t>
        </is>
      </c>
      <c r="E284" s="27" t="inlineStr">
        <is>
          <t>Soweto</t>
        </is>
      </c>
      <c r="F284" s="27" t="n">
        <v>-25.77572</v>
      </c>
      <c r="G284" s="27" t="n">
        <v>27.663447</v>
      </c>
      <c r="H284" s="41" t="n">
        <v>43866</v>
      </c>
      <c r="I284" s="27" t="n">
        <v>80</v>
      </c>
      <c r="J284" s="27" t="inlineStr">
        <is>
          <t>Active</t>
        </is>
      </c>
    </row>
    <row r="285" ht="15" customHeight="1" s="24">
      <c r="A285" s="27" t="n">
        <v>3045</v>
      </c>
      <c r="B285" s="27" t="inlineStr">
        <is>
          <t xml:space="preserve">Independent Spaza Durban </t>
        </is>
      </c>
      <c r="C285" s="27" t="inlineStr">
        <is>
          <t>Independent Spaza</t>
        </is>
      </c>
      <c r="D285" s="27" t="inlineStr">
        <is>
          <t>KwaZulu-Natal</t>
        </is>
      </c>
      <c r="E285" s="27" t="inlineStr">
        <is>
          <t>Durban</t>
        </is>
      </c>
      <c r="F285" s="27" t="n">
        <v>-27.020835</v>
      </c>
      <c r="G285" s="27" t="n">
        <v>31.923422</v>
      </c>
      <c r="H285" s="41" t="n">
        <v>43766</v>
      </c>
      <c r="I285" s="27" t="n">
        <v>35</v>
      </c>
      <c r="J285" s="27" t="inlineStr">
        <is>
          <t>Active</t>
        </is>
      </c>
    </row>
    <row r="286" ht="15" customHeight="1" s="24">
      <c r="A286" s="27" t="n">
        <v>1579</v>
      </c>
      <c r="B286" s="27" t="inlineStr">
        <is>
          <t>Build it Pinetown Park</t>
        </is>
      </c>
      <c r="C286" s="27" t="inlineStr">
        <is>
          <t>Build it</t>
        </is>
      </c>
      <c r="D286" s="27" t="inlineStr">
        <is>
          <t>KwaZulu-Natal</t>
        </is>
      </c>
      <c r="E286" s="27" t="inlineStr">
        <is>
          <t>Pinetown</t>
        </is>
      </c>
      <c r="F286" s="27" t="n">
        <v>-29.39732</v>
      </c>
      <c r="G286" s="27" t="n">
        <v>30.076639</v>
      </c>
      <c r="H286" s="41" t="n">
        <v>45206</v>
      </c>
      <c r="I286" s="27" t="n">
        <v>35</v>
      </c>
      <c r="J286" s="27" t="inlineStr">
        <is>
          <t>Active</t>
        </is>
      </c>
    </row>
    <row r="287" ht="15" customHeight="1" s="24">
      <c r="A287" s="27" t="n">
        <v>3681</v>
      </c>
      <c r="B287" s="27" t="inlineStr">
        <is>
          <t>PEP Mokopane Square</t>
        </is>
      </c>
      <c r="C287" s="27" t="inlineStr">
        <is>
          <t>PEP</t>
        </is>
      </c>
      <c r="D287" s="27" t="inlineStr">
        <is>
          <t>Limpopo</t>
        </is>
      </c>
      <c r="E287" s="27" t="inlineStr">
        <is>
          <t>Mokopane</t>
        </is>
      </c>
      <c r="F287" s="27" t="n">
        <v>-22.962064</v>
      </c>
      <c r="G287" s="27" t="n">
        <v>28.360577</v>
      </c>
      <c r="H287" s="41" t="n">
        <v>43405</v>
      </c>
      <c r="I287" s="27" t="n">
        <v>50</v>
      </c>
      <c r="J287" s="27" t="inlineStr">
        <is>
          <t>Active</t>
        </is>
      </c>
    </row>
    <row r="288" ht="15" customHeight="1" s="24">
      <c r="A288" s="27" t="n">
        <v>2291</v>
      </c>
      <c r="B288" s="27" t="inlineStr">
        <is>
          <t>Caltex Freshstop Stellenbosch Central</t>
        </is>
      </c>
      <c r="C288" s="27" t="inlineStr">
        <is>
          <t>Caltex Freshstop</t>
        </is>
      </c>
      <c r="D288" s="27" t="inlineStr">
        <is>
          <t>Western Cape</t>
        </is>
      </c>
      <c r="E288" s="27" t="inlineStr">
        <is>
          <t>Stellenbosch</t>
        </is>
      </c>
      <c r="F288" s="27" t="n">
        <v>-33.538714</v>
      </c>
      <c r="G288" s="27" t="n">
        <v>22.807298</v>
      </c>
      <c r="H288" s="41" t="n">
        <v>44754</v>
      </c>
      <c r="I288" s="27" t="n">
        <v>50</v>
      </c>
      <c r="J288" s="27" t="inlineStr">
        <is>
          <t>Active</t>
        </is>
      </c>
    </row>
    <row r="289" ht="15" customHeight="1" s="24">
      <c r="A289" s="27" t="n">
        <v>457</v>
      </c>
      <c r="B289" s="27" t="inlineStr">
        <is>
          <t>PEP East London Plaza</t>
        </is>
      </c>
      <c r="C289" s="27" t="inlineStr">
        <is>
          <t>PEP</t>
        </is>
      </c>
      <c r="D289" s="27" t="inlineStr">
        <is>
          <t>Eastern Cape</t>
        </is>
      </c>
      <c r="E289" s="27" t="inlineStr">
        <is>
          <t>East London</t>
        </is>
      </c>
      <c r="F289" s="27" t="n">
        <v>-31.230704</v>
      </c>
      <c r="G289" s="27" t="n">
        <v>29.184104</v>
      </c>
      <c r="H289" s="41" t="n">
        <v>45177</v>
      </c>
      <c r="I289" s="27" t="n">
        <v>200</v>
      </c>
      <c r="J289" s="27" t="inlineStr">
        <is>
          <t>Active</t>
        </is>
      </c>
    </row>
    <row r="290" ht="15" customHeight="1" s="24">
      <c r="A290" s="27" t="n">
        <v>3164</v>
      </c>
      <c r="B290" s="27" t="inlineStr">
        <is>
          <t>Caltex Freshstop Durban Central</t>
        </is>
      </c>
      <c r="C290" s="27" t="inlineStr">
        <is>
          <t>Caltex Freshstop</t>
        </is>
      </c>
      <c r="D290" s="27" t="inlineStr">
        <is>
          <t>KwaZulu-Natal</t>
        </is>
      </c>
      <c r="E290" s="27" t="inlineStr">
        <is>
          <t>Durban</t>
        </is>
      </c>
      <c r="F290" s="27" t="n">
        <v>-30.446768</v>
      </c>
      <c r="G290" s="27" t="n">
        <v>31.231444</v>
      </c>
      <c r="H290" s="41" t="n">
        <v>43303</v>
      </c>
      <c r="I290" s="27" t="n">
        <v>80</v>
      </c>
      <c r="J290" s="27" t="inlineStr">
        <is>
          <t>Active</t>
        </is>
      </c>
    </row>
    <row r="291" ht="15" customHeight="1" s="24">
      <c r="A291" s="27" t="n">
        <v>1267</v>
      </c>
      <c r="B291" s="27" t="inlineStr">
        <is>
          <t>PEP Mthatha Central</t>
        </is>
      </c>
      <c r="C291" s="27" t="inlineStr">
        <is>
          <t>PEP</t>
        </is>
      </c>
      <c r="D291" s="27" t="inlineStr">
        <is>
          <t>Eastern Cape</t>
        </is>
      </c>
      <c r="E291" s="27" t="inlineStr">
        <is>
          <t>Mthatha</t>
        </is>
      </c>
      <c r="F291" s="27" t="n">
        <v>-31.59181</v>
      </c>
      <c r="G291" s="27" t="n">
        <v>28.524336</v>
      </c>
      <c r="H291" s="41" t="n">
        <v>45564</v>
      </c>
      <c r="I291" s="27" t="n">
        <v>80</v>
      </c>
      <c r="J291" s="27" t="inlineStr">
        <is>
          <t>Active</t>
        </is>
      </c>
    </row>
    <row r="292" ht="15" customHeight="1" s="24">
      <c r="A292" s="27" t="n">
        <v>3613</v>
      </c>
      <c r="B292" s="27" t="inlineStr">
        <is>
          <t>Lewis Newcastle Junction</t>
        </is>
      </c>
      <c r="C292" s="27" t="inlineStr">
        <is>
          <t>Lewis</t>
        </is>
      </c>
      <c r="D292" s="27" t="inlineStr">
        <is>
          <t>KwaZulu-Natal</t>
        </is>
      </c>
      <c r="E292" s="27" t="inlineStr">
        <is>
          <t>Newcastle</t>
        </is>
      </c>
      <c r="F292" s="27" t="n">
        <v>-28.483749</v>
      </c>
      <c r="G292" s="27" t="n">
        <v>31.458927</v>
      </c>
      <c r="H292" s="41" t="n">
        <v>44852</v>
      </c>
      <c r="I292" s="27" t="n">
        <v>50</v>
      </c>
      <c r="J292" s="27" t="inlineStr">
        <is>
          <t>Active</t>
        </is>
      </c>
    </row>
    <row r="293" ht="15" customHeight="1" s="24">
      <c r="A293" s="27" t="n">
        <v>2916</v>
      </c>
      <c r="B293" s="27" t="inlineStr">
        <is>
          <t>Clicks Soweto Plaza</t>
        </is>
      </c>
      <c r="C293" s="27" t="inlineStr">
        <is>
          <t>Clicks</t>
        </is>
      </c>
      <c r="D293" s="27" t="inlineStr">
        <is>
          <t>Gauteng</t>
        </is>
      </c>
      <c r="E293" s="27" t="inlineStr">
        <is>
          <t>Soweto</t>
        </is>
      </c>
      <c r="F293" s="27" t="n">
        <v>-26.289271</v>
      </c>
      <c r="G293" s="27" t="n">
        <v>28.223161</v>
      </c>
      <c r="H293" s="41" t="n">
        <v>45607</v>
      </c>
      <c r="I293" s="27" t="n">
        <v>120</v>
      </c>
      <c r="J293" s="27" t="inlineStr">
        <is>
          <t>Active</t>
        </is>
      </c>
    </row>
    <row r="294" ht="15" customHeight="1" s="24">
      <c r="A294" s="27" t="n">
        <v>3709</v>
      </c>
      <c r="B294" s="27" t="inlineStr">
        <is>
          <t>Clicks Table View Junction</t>
        </is>
      </c>
      <c r="C294" s="27" t="inlineStr">
        <is>
          <t>Clicks</t>
        </is>
      </c>
      <c r="D294" s="27" t="inlineStr">
        <is>
          <t>Western Cape</t>
        </is>
      </c>
      <c r="E294" s="27" t="inlineStr">
        <is>
          <t>Table View</t>
        </is>
      </c>
      <c r="F294" s="27" t="n">
        <v>-32.330153</v>
      </c>
      <c r="G294" s="27" t="n">
        <v>19.045926</v>
      </c>
      <c r="H294" s="41" t="n">
        <v>44037</v>
      </c>
      <c r="I294" s="27" t="n">
        <v>80</v>
      </c>
      <c r="J294" s="27" t="inlineStr">
        <is>
          <t>Active</t>
        </is>
      </c>
    </row>
    <row r="295" ht="15" customHeight="1" s="24">
      <c r="A295" s="27" t="n">
        <v>2933</v>
      </c>
      <c r="B295" s="27" t="inlineStr">
        <is>
          <t>Clicks Mbombela Plaza</t>
        </is>
      </c>
      <c r="C295" s="27" t="inlineStr">
        <is>
          <t>Clicks</t>
        </is>
      </c>
      <c r="D295" s="27" t="inlineStr">
        <is>
          <t>Mpumalanga</t>
        </is>
      </c>
      <c r="E295" s="27" t="inlineStr">
        <is>
          <t>Mbombela</t>
        </is>
      </c>
      <c r="F295" s="27" t="n">
        <v>-24.782897</v>
      </c>
      <c r="G295" s="27" t="n">
        <v>31.029884</v>
      </c>
      <c r="H295" s="41" t="n">
        <v>44143</v>
      </c>
      <c r="I295" s="27" t="n">
        <v>80</v>
      </c>
      <c r="J295" s="27" t="inlineStr">
        <is>
          <t>Active</t>
        </is>
      </c>
    </row>
    <row r="296" ht="15" customHeight="1" s="24">
      <c r="A296" s="27" t="n">
        <v>693</v>
      </c>
      <c r="B296" s="27" t="inlineStr">
        <is>
          <t xml:space="preserve">Lewis Bellville </t>
        </is>
      </c>
      <c r="C296" s="27" t="inlineStr">
        <is>
          <t>Lewis</t>
        </is>
      </c>
      <c r="D296" s="27" t="inlineStr">
        <is>
          <t>Western Cape</t>
        </is>
      </c>
      <c r="E296" s="27" t="inlineStr">
        <is>
          <t>Bellville</t>
        </is>
      </c>
      <c r="F296" s="27" t="n">
        <v>-32.386137</v>
      </c>
      <c r="G296" s="27" t="n">
        <v>22.510639</v>
      </c>
      <c r="H296" s="41" t="n">
        <v>44604</v>
      </c>
      <c r="I296" s="27" t="n">
        <v>50</v>
      </c>
      <c r="J296" s="27" t="inlineStr">
        <is>
          <t>Active</t>
        </is>
      </c>
    </row>
    <row r="297" ht="15" customHeight="1" s="24">
      <c r="A297" s="27" t="n">
        <v>3849</v>
      </c>
      <c r="B297" s="27" t="inlineStr">
        <is>
          <t xml:space="preserve">Clicks Klerksdorp </t>
        </is>
      </c>
      <c r="C297" s="27" t="inlineStr">
        <is>
          <t>Clicks</t>
        </is>
      </c>
      <c r="D297" s="27" t="inlineStr">
        <is>
          <t>North West</t>
        </is>
      </c>
      <c r="E297" s="27" t="inlineStr">
        <is>
          <t>Klerksdorp</t>
        </is>
      </c>
      <c r="F297" s="27" t="n">
        <v>-27.272089</v>
      </c>
      <c r="G297" s="27" t="n">
        <v>27.35687</v>
      </c>
      <c r="H297" s="41" t="n">
        <v>42721</v>
      </c>
      <c r="I297" s="27" t="n">
        <v>35</v>
      </c>
      <c r="J297" s="27" t="inlineStr">
        <is>
          <t>Active</t>
        </is>
      </c>
    </row>
    <row r="298" ht="15" customHeight="1" s="24">
      <c r="A298" s="27" t="n">
        <v>1148</v>
      </c>
      <c r="B298" s="27" t="inlineStr">
        <is>
          <t>Waltons Durban Mall</t>
        </is>
      </c>
      <c r="C298" s="27" t="inlineStr">
        <is>
          <t>Waltons</t>
        </is>
      </c>
      <c r="D298" s="27" t="inlineStr">
        <is>
          <t>KwaZulu-Natal</t>
        </is>
      </c>
      <c r="E298" s="27" t="inlineStr">
        <is>
          <t>Durban</t>
        </is>
      </c>
      <c r="F298" s="27" t="n">
        <v>-30.399301</v>
      </c>
      <c r="G298" s="27" t="n">
        <v>31.957375</v>
      </c>
      <c r="H298" s="41" t="n">
        <v>44188</v>
      </c>
      <c r="I298" s="27" t="n">
        <v>80</v>
      </c>
      <c r="J298" s="27" t="inlineStr">
        <is>
          <t>Active</t>
        </is>
      </c>
    </row>
    <row r="299" ht="15" customHeight="1" s="24">
      <c r="A299" s="27" t="n">
        <v>692</v>
      </c>
      <c r="B299" s="27" t="inlineStr">
        <is>
          <t>PEP Benoni Square</t>
        </is>
      </c>
      <c r="C299" s="27" t="inlineStr">
        <is>
          <t>PEP</t>
        </is>
      </c>
      <c r="D299" s="27" t="inlineStr">
        <is>
          <t>Gauteng</t>
        </is>
      </c>
      <c r="E299" s="27" t="inlineStr">
        <is>
          <t>Benoni</t>
        </is>
      </c>
      <c r="F299" s="27" t="n">
        <v>-26.069233</v>
      </c>
      <c r="G299" s="27" t="n">
        <v>28.006057</v>
      </c>
      <c r="H299" s="41" t="n">
        <v>45123</v>
      </c>
      <c r="I299" s="27" t="n">
        <v>20</v>
      </c>
      <c r="J299" s="27" t="inlineStr">
        <is>
          <t>Active</t>
        </is>
      </c>
    </row>
    <row r="300" ht="15" customHeight="1" s="24">
      <c r="A300" s="27" t="n">
        <v>2228</v>
      </c>
      <c r="B300" s="27" t="inlineStr">
        <is>
          <t>Lewis Upington Plaza</t>
        </is>
      </c>
      <c r="C300" s="27" t="inlineStr">
        <is>
          <t>Lewis</t>
        </is>
      </c>
      <c r="D300" s="27" t="inlineStr">
        <is>
          <t>Northern Cape</t>
        </is>
      </c>
      <c r="E300" s="27" t="inlineStr">
        <is>
          <t>Upington</t>
        </is>
      </c>
      <c r="F300" s="27" t="n">
        <v>-29.857144</v>
      </c>
      <c r="G300" s="27" t="n">
        <v>18.788732</v>
      </c>
      <c r="H300" s="41" t="n">
        <v>44023</v>
      </c>
      <c r="I300" s="27" t="n">
        <v>80</v>
      </c>
      <c r="J300" s="27" t="inlineStr">
        <is>
          <t>Active</t>
        </is>
      </c>
    </row>
    <row r="301" ht="15" customHeight="1" s="24">
      <c r="A301" s="27" t="n">
        <v>1124</v>
      </c>
      <c r="B301" s="27" t="inlineStr">
        <is>
          <t>Independent Spaza East London Square</t>
        </is>
      </c>
      <c r="C301" s="27" t="inlineStr">
        <is>
          <t>Independent Spaza</t>
        </is>
      </c>
      <c r="D301" s="27" t="inlineStr">
        <is>
          <t>Eastern Cape</t>
        </is>
      </c>
      <c r="E301" s="27" t="inlineStr">
        <is>
          <t>East London</t>
        </is>
      </c>
      <c r="F301" s="27" t="n">
        <v>-32.767961</v>
      </c>
      <c r="G301" s="27" t="n">
        <v>24.916631</v>
      </c>
      <c r="H301" s="41" t="n">
        <v>42656</v>
      </c>
      <c r="I301" s="27" t="n">
        <v>200</v>
      </c>
      <c r="J301" s="27" t="inlineStr">
        <is>
          <t>Active</t>
        </is>
      </c>
    </row>
    <row r="302" ht="15" customHeight="1" s="24">
      <c r="A302" s="27" t="n">
        <v>2315</v>
      </c>
      <c r="B302" s="27" t="inlineStr">
        <is>
          <t>Lewis Tzaneen Junction</t>
        </is>
      </c>
      <c r="C302" s="27" t="inlineStr">
        <is>
          <t>Lewis</t>
        </is>
      </c>
      <c r="D302" s="27" t="inlineStr">
        <is>
          <t>Limpopo</t>
        </is>
      </c>
      <c r="E302" s="27" t="inlineStr">
        <is>
          <t>Tzaneen</t>
        </is>
      </c>
      <c r="F302" s="27" t="n">
        <v>-24.942362</v>
      </c>
      <c r="G302" s="27" t="n">
        <v>28.756098</v>
      </c>
      <c r="H302" s="41" t="n">
        <v>43853</v>
      </c>
      <c r="I302" s="27" t="n">
        <v>50</v>
      </c>
      <c r="J302" s="27" t="inlineStr">
        <is>
          <t>Active</t>
        </is>
      </c>
    </row>
    <row r="303" ht="15" customHeight="1" s="24">
      <c r="A303" s="27" t="n">
        <v>433</v>
      </c>
      <c r="B303" s="27" t="inlineStr">
        <is>
          <t>Caltex Freshstop Centurion Central</t>
        </is>
      </c>
      <c r="C303" s="27" t="inlineStr">
        <is>
          <t>Caltex Freshstop</t>
        </is>
      </c>
      <c r="D303" s="27" t="inlineStr">
        <is>
          <t>Gauteng</t>
        </is>
      </c>
      <c r="E303" s="27" t="inlineStr">
        <is>
          <t>Centurion</t>
        </is>
      </c>
      <c r="F303" s="27" t="n">
        <v>-26.002526</v>
      </c>
      <c r="G303" s="27" t="n">
        <v>27.875277</v>
      </c>
      <c r="H303" s="41" t="n">
        <v>45064</v>
      </c>
      <c r="I303" s="27" t="n">
        <v>80</v>
      </c>
      <c r="J303" s="27" t="inlineStr">
        <is>
          <t>Active</t>
        </is>
      </c>
    </row>
    <row r="304" ht="15" customHeight="1" s="24">
      <c r="A304" s="27" t="n">
        <v>1187</v>
      </c>
      <c r="B304" s="27" t="inlineStr">
        <is>
          <t>Waltons Soweto Junction</t>
        </is>
      </c>
      <c r="C304" s="27" t="inlineStr">
        <is>
          <t>Waltons</t>
        </is>
      </c>
      <c r="D304" s="27" t="inlineStr">
        <is>
          <t>Gauteng</t>
        </is>
      </c>
      <c r="E304" s="27" t="inlineStr">
        <is>
          <t>Soweto</t>
        </is>
      </c>
      <c r="F304" s="27" t="n">
        <v>-26.291823</v>
      </c>
      <c r="G304" s="27" t="n">
        <v>27.944796</v>
      </c>
      <c r="H304" s="41" t="n">
        <v>43892</v>
      </c>
      <c r="I304" s="27" t="n">
        <v>20</v>
      </c>
      <c r="J304" s="27" t="inlineStr">
        <is>
          <t>Active</t>
        </is>
      </c>
    </row>
    <row r="305" ht="15" customHeight="1" s="24">
      <c r="A305" s="27" t="n">
        <v>3829</v>
      </c>
      <c r="B305" s="27" t="inlineStr">
        <is>
          <t>Build it Upington Park</t>
        </is>
      </c>
      <c r="C305" s="27" t="inlineStr">
        <is>
          <t>Build it</t>
        </is>
      </c>
      <c r="D305" s="27" t="inlineStr">
        <is>
          <t>Northern Cape</t>
        </is>
      </c>
      <c r="E305" s="27" t="inlineStr">
        <is>
          <t>Upington</t>
        </is>
      </c>
      <c r="F305" s="27" t="n">
        <v>-28.48255</v>
      </c>
      <c r="G305" s="27" t="n">
        <v>17.548176</v>
      </c>
      <c r="H305" s="41" t="n">
        <v>43429</v>
      </c>
      <c r="I305" s="27" t="n">
        <v>35</v>
      </c>
      <c r="J305" s="27" t="inlineStr">
        <is>
          <t>Active</t>
        </is>
      </c>
    </row>
    <row r="306" ht="15" customHeight="1" s="24">
      <c r="A306" s="27" t="n">
        <v>131</v>
      </c>
      <c r="B306" s="27" t="inlineStr">
        <is>
          <t>Spar Midrand Mall</t>
        </is>
      </c>
      <c r="C306" s="27" t="inlineStr">
        <is>
          <t>Spar</t>
        </is>
      </c>
      <c r="D306" s="27" t="inlineStr">
        <is>
          <t>Gauteng</t>
        </is>
      </c>
      <c r="E306" s="27" t="inlineStr">
        <is>
          <t>Midrand</t>
        </is>
      </c>
      <c r="F306" s="27" t="n">
        <v>-26.486626</v>
      </c>
      <c r="G306" s="27" t="n">
        <v>27.921922</v>
      </c>
      <c r="H306" s="41" t="n">
        <v>42872</v>
      </c>
      <c r="I306" s="27" t="n">
        <v>35</v>
      </c>
      <c r="J306" s="27" t="inlineStr">
        <is>
          <t>Active</t>
        </is>
      </c>
    </row>
    <row r="307" ht="15" customHeight="1" s="24">
      <c r="A307" s="27" t="n">
        <v>2723</v>
      </c>
      <c r="B307" s="27" t="inlineStr">
        <is>
          <t>PostNet Cape Town Park</t>
        </is>
      </c>
      <c r="C307" s="27" t="inlineStr">
        <is>
          <t>PostNet</t>
        </is>
      </c>
      <c r="D307" s="27" t="inlineStr">
        <is>
          <t>Western Cape</t>
        </is>
      </c>
      <c r="E307" s="27" t="inlineStr">
        <is>
          <t>Cape Town</t>
        </is>
      </c>
      <c r="F307" s="27" t="n">
        <v>-32.149664</v>
      </c>
      <c r="G307" s="27" t="n">
        <v>18.47025</v>
      </c>
      <c r="H307" s="41" t="n">
        <v>45078</v>
      </c>
      <c r="I307" s="27" t="n">
        <v>50</v>
      </c>
      <c r="J307" s="27" t="inlineStr">
        <is>
          <t>Active</t>
        </is>
      </c>
    </row>
    <row r="308" ht="15" customHeight="1" s="24">
      <c r="A308" s="27" t="n">
        <v>1165</v>
      </c>
      <c r="B308" s="27" t="inlineStr">
        <is>
          <t>Independent Spaza Rustenburg Square</t>
        </is>
      </c>
      <c r="C308" s="27" t="inlineStr">
        <is>
          <t>Independent Spaza</t>
        </is>
      </c>
      <c r="D308" s="27" t="inlineStr">
        <is>
          <t>North West</t>
        </is>
      </c>
      <c r="E308" s="27" t="inlineStr">
        <is>
          <t>Rustenburg</t>
        </is>
      </c>
      <c r="F308" s="27" t="n">
        <v>-25.512506</v>
      </c>
      <c r="G308" s="27" t="n">
        <v>27.383604</v>
      </c>
      <c r="H308" s="41" t="n">
        <v>43881</v>
      </c>
      <c r="I308" s="27" t="n">
        <v>35</v>
      </c>
      <c r="J308" s="27" t="inlineStr">
        <is>
          <t>Active</t>
        </is>
      </c>
    </row>
    <row r="309" ht="15" customHeight="1" s="24">
      <c r="A309" s="27" t="n">
        <v>1264</v>
      </c>
      <c r="B309" s="27" t="inlineStr">
        <is>
          <t>Caltex Freshstop Thohoyandou Mall</t>
        </is>
      </c>
      <c r="C309" s="27" t="inlineStr">
        <is>
          <t>Caltex Freshstop</t>
        </is>
      </c>
      <c r="D309" s="27" t="inlineStr">
        <is>
          <t>Limpopo</t>
        </is>
      </c>
      <c r="E309" s="27" t="inlineStr">
        <is>
          <t>Thohoyandou</t>
        </is>
      </c>
      <c r="F309" s="27" t="n">
        <v>-23.361019</v>
      </c>
      <c r="G309" s="27" t="n">
        <v>29.617914</v>
      </c>
      <c r="H309" s="41" t="n">
        <v>44844</v>
      </c>
      <c r="I309" s="27" t="n">
        <v>120</v>
      </c>
      <c r="J309" s="27" t="inlineStr">
        <is>
          <t>Active</t>
        </is>
      </c>
    </row>
    <row r="310" ht="15" customHeight="1" s="24">
      <c r="A310" s="27" t="n">
        <v>2899</v>
      </c>
      <c r="B310" s="27" t="inlineStr">
        <is>
          <t>Clicks Rustenburg Park</t>
        </is>
      </c>
      <c r="C310" s="27" t="inlineStr">
        <is>
          <t>Clicks</t>
        </is>
      </c>
      <c r="D310" s="27" t="inlineStr">
        <is>
          <t>North West</t>
        </is>
      </c>
      <c r="E310" s="27" t="inlineStr">
        <is>
          <t>Rustenburg</t>
        </is>
      </c>
      <c r="F310" s="27" t="n">
        <v>-25.151651</v>
      </c>
      <c r="G310" s="27" t="n">
        <v>24.802642</v>
      </c>
      <c r="H310" s="41" t="n">
        <v>45878</v>
      </c>
      <c r="I310" s="27" t="n">
        <v>35</v>
      </c>
      <c r="J310" s="27" t="inlineStr">
        <is>
          <t>Active</t>
        </is>
      </c>
    </row>
    <row r="311" ht="15" customHeight="1" s="24">
      <c r="A311" s="27" t="n">
        <v>490</v>
      </c>
      <c r="B311" s="27" t="inlineStr">
        <is>
          <t>Waltons Sandton Mall</t>
        </is>
      </c>
      <c r="C311" s="27" t="inlineStr">
        <is>
          <t>Waltons</t>
        </is>
      </c>
      <c r="D311" s="27" t="inlineStr">
        <is>
          <t>Gauteng</t>
        </is>
      </c>
      <c r="E311" s="27" t="inlineStr">
        <is>
          <t>Sandton</t>
        </is>
      </c>
      <c r="F311" s="27" t="n">
        <v>-25.861274</v>
      </c>
      <c r="G311" s="27" t="n">
        <v>27.369649</v>
      </c>
      <c r="H311" s="41" t="n">
        <v>43248</v>
      </c>
      <c r="I311" s="27" t="n">
        <v>120</v>
      </c>
      <c r="J311" s="27" t="inlineStr">
        <is>
          <t>Active</t>
        </is>
      </c>
    </row>
    <row r="312" ht="15" customHeight="1" s="24">
      <c r="A312" s="27" t="n">
        <v>3114</v>
      </c>
      <c r="B312" s="27" t="inlineStr">
        <is>
          <t>Spar Benoni Central</t>
        </is>
      </c>
      <c r="C312" s="27" t="inlineStr">
        <is>
          <t>Spar</t>
        </is>
      </c>
      <c r="D312" s="27" t="inlineStr">
        <is>
          <t>Gauteng</t>
        </is>
      </c>
      <c r="E312" s="27" t="inlineStr">
        <is>
          <t>Benoni</t>
        </is>
      </c>
      <c r="F312" s="27" t="n">
        <v>-26.44463</v>
      </c>
      <c r="G312" s="27" t="n">
        <v>29.082045</v>
      </c>
      <c r="H312" s="41" t="n">
        <v>43452</v>
      </c>
      <c r="I312" s="27" t="n">
        <v>35</v>
      </c>
      <c r="J312" s="27" t="inlineStr">
        <is>
          <t>Active</t>
        </is>
      </c>
    </row>
    <row r="313" ht="15" customHeight="1" s="24">
      <c r="A313" s="27" t="n">
        <v>3514</v>
      </c>
      <c r="B313" s="27" t="inlineStr">
        <is>
          <t>Lewis Upington Square</t>
        </is>
      </c>
      <c r="C313" s="27" t="inlineStr">
        <is>
          <t>Lewis</t>
        </is>
      </c>
      <c r="D313" s="27" t="inlineStr">
        <is>
          <t>Northern Cape</t>
        </is>
      </c>
      <c r="E313" s="27" t="inlineStr">
        <is>
          <t>Upington</t>
        </is>
      </c>
      <c r="F313" s="27" t="n">
        <v>-27.726862</v>
      </c>
      <c r="G313" s="27" t="n">
        <v>23.657716</v>
      </c>
      <c r="H313" s="41" t="n">
        <v>44582</v>
      </c>
      <c r="I313" s="27" t="n">
        <v>35</v>
      </c>
      <c r="J313" s="27" t="inlineStr">
        <is>
          <t>Active</t>
        </is>
      </c>
    </row>
    <row r="314" ht="15" customHeight="1" s="24">
      <c r="A314" s="27" t="n">
        <v>1867</v>
      </c>
      <c r="B314" s="27" t="inlineStr">
        <is>
          <t>Spar Gqeberha Junction</t>
        </is>
      </c>
      <c r="C314" s="27" t="inlineStr">
        <is>
          <t>Spar</t>
        </is>
      </c>
      <c r="D314" s="27" t="inlineStr">
        <is>
          <t>Eastern Cape</t>
        </is>
      </c>
      <c r="E314" s="27" t="inlineStr">
        <is>
          <t>Gqeberha</t>
        </is>
      </c>
      <c r="F314" s="27" t="n">
        <v>-32.728367</v>
      </c>
      <c r="G314" s="27" t="n">
        <v>27.184134</v>
      </c>
      <c r="H314" s="41" t="n">
        <v>44553</v>
      </c>
      <c r="I314" s="27" t="n">
        <v>50</v>
      </c>
      <c r="J314" s="27" t="inlineStr">
        <is>
          <t>Active</t>
        </is>
      </c>
    </row>
    <row r="315" ht="15" customHeight="1" s="24">
      <c r="A315" s="27" t="n">
        <v>1028</v>
      </c>
      <c r="B315" s="27" t="inlineStr">
        <is>
          <t>Caltex Freshstop Rustenburg Mall</t>
        </is>
      </c>
      <c r="C315" s="27" t="inlineStr">
        <is>
          <t>Caltex Freshstop</t>
        </is>
      </c>
      <c r="D315" s="27" t="inlineStr">
        <is>
          <t>North West</t>
        </is>
      </c>
      <c r="E315" s="27" t="inlineStr">
        <is>
          <t>Rustenburg</t>
        </is>
      </c>
      <c r="F315" s="27" t="n">
        <v>-26.844622</v>
      </c>
      <c r="G315" s="27" t="n">
        <v>27.2474</v>
      </c>
      <c r="H315" s="41" t="n">
        <v>45334</v>
      </c>
      <c r="I315" s="27" t="n">
        <v>80</v>
      </c>
      <c r="J315" s="27" t="inlineStr">
        <is>
          <t>Active</t>
        </is>
      </c>
    </row>
    <row r="316" ht="15" customHeight="1" s="24">
      <c r="A316" s="27" t="n">
        <v>342</v>
      </c>
      <c r="B316" s="27" t="inlineStr">
        <is>
          <t>Caltex Freshstop Pietermaritzburg Mall</t>
        </is>
      </c>
      <c r="C316" s="27" t="inlineStr">
        <is>
          <t>Caltex Freshstop</t>
        </is>
      </c>
      <c r="D316" s="27" t="inlineStr">
        <is>
          <t>KwaZulu-Natal</t>
        </is>
      </c>
      <c r="E316" s="27" t="inlineStr">
        <is>
          <t>Pietermaritzburg</t>
        </is>
      </c>
      <c r="F316" s="27" t="n">
        <v>-29.353032</v>
      </c>
      <c r="G316" s="27" t="n">
        <v>31.977419</v>
      </c>
      <c r="H316" s="41" t="n">
        <v>42661</v>
      </c>
      <c r="I316" s="27" t="n">
        <v>120</v>
      </c>
      <c r="J316" s="27" t="inlineStr">
        <is>
          <t>Active</t>
        </is>
      </c>
    </row>
    <row r="317" ht="15" customHeight="1" s="24">
      <c r="A317" s="27" t="n">
        <v>3930</v>
      </c>
      <c r="B317" s="27" t="inlineStr">
        <is>
          <t>Caltex Freshstop Pretoria Park</t>
        </is>
      </c>
      <c r="C317" s="27" t="inlineStr">
        <is>
          <t>Caltex Freshstop</t>
        </is>
      </c>
      <c r="D317" s="27" t="inlineStr">
        <is>
          <t>Gauteng</t>
        </is>
      </c>
      <c r="E317" s="27" t="inlineStr">
        <is>
          <t>Pretoria</t>
        </is>
      </c>
      <c r="F317" s="27" t="n">
        <v>-25.833914</v>
      </c>
      <c r="G317" s="27" t="n">
        <v>27.304733</v>
      </c>
      <c r="H317" s="41" t="n">
        <v>43965</v>
      </c>
      <c r="I317" s="27" t="n">
        <v>80</v>
      </c>
      <c r="J317" s="27" t="inlineStr">
        <is>
          <t>Active</t>
        </is>
      </c>
    </row>
    <row r="318" ht="15" customHeight="1" s="24">
      <c r="A318" s="27" t="n">
        <v>3354</v>
      </c>
      <c r="B318" s="27" t="inlineStr">
        <is>
          <t>Independent Spaza Somerset West Plaza</t>
        </is>
      </c>
      <c r="C318" s="27" t="inlineStr">
        <is>
          <t>Independent Spaza</t>
        </is>
      </c>
      <c r="D318" s="27" t="inlineStr">
        <is>
          <t>Western Cape</t>
        </is>
      </c>
      <c r="E318" s="27" t="inlineStr">
        <is>
          <t>Somerset West</t>
        </is>
      </c>
      <c r="F318" s="27" t="n">
        <v>-33.749658</v>
      </c>
      <c r="G318" s="27" t="n">
        <v>22.682071</v>
      </c>
      <c r="H318" s="41" t="n">
        <v>42799</v>
      </c>
      <c r="I318" s="27" t="n">
        <v>35</v>
      </c>
      <c r="J318" s="27" t="inlineStr">
        <is>
          <t>Active</t>
        </is>
      </c>
    </row>
    <row r="319" ht="15" customHeight="1" s="24">
      <c r="A319" s="27" t="n">
        <v>3974</v>
      </c>
      <c r="B319" s="27" t="inlineStr">
        <is>
          <t>PostNet Mthatha Mall</t>
        </is>
      </c>
      <c r="C319" s="27" t="inlineStr">
        <is>
          <t>PostNet</t>
        </is>
      </c>
      <c r="D319" s="27" t="inlineStr">
        <is>
          <t>Eastern Cape</t>
        </is>
      </c>
      <c r="E319" s="27" t="inlineStr">
        <is>
          <t>Mthatha</t>
        </is>
      </c>
      <c r="F319" s="27" t="n">
        <v>-31.490693</v>
      </c>
      <c r="G319" s="27" t="n">
        <v>27.659739</v>
      </c>
      <c r="H319" s="41" t="n">
        <v>45312</v>
      </c>
      <c r="I319" s="27" t="n">
        <v>200</v>
      </c>
      <c r="J319" s="27" t="inlineStr">
        <is>
          <t>Active</t>
        </is>
      </c>
    </row>
    <row r="320" ht="15" customHeight="1" s="24">
      <c r="A320" s="27" t="n">
        <v>782</v>
      </c>
      <c r="B320" s="27" t="inlineStr">
        <is>
          <t>Spar Table View Central</t>
        </is>
      </c>
      <c r="C320" s="27" t="inlineStr">
        <is>
          <t>Spar</t>
        </is>
      </c>
      <c r="D320" s="27" t="inlineStr">
        <is>
          <t>Western Cape</t>
        </is>
      </c>
      <c r="E320" s="27" t="inlineStr">
        <is>
          <t>Table View</t>
        </is>
      </c>
      <c r="F320" s="27" t="n">
        <v>-34.595916</v>
      </c>
      <c r="G320" s="27" t="n">
        <v>18.065884</v>
      </c>
      <c r="H320" s="41" t="n">
        <v>42576</v>
      </c>
      <c r="I320" s="27" t="n">
        <v>35</v>
      </c>
      <c r="J320" s="27" t="inlineStr">
        <is>
          <t>Active</t>
        </is>
      </c>
    </row>
    <row r="321" ht="15" customHeight="1" s="24">
      <c r="A321" s="27" t="n">
        <v>2445</v>
      </c>
      <c r="B321" s="27" t="inlineStr">
        <is>
          <t xml:space="preserve">Independent Spaza Benoni </t>
        </is>
      </c>
      <c r="C321" s="27" t="inlineStr">
        <is>
          <t>Independent Spaza</t>
        </is>
      </c>
      <c r="D321" s="27" t="inlineStr">
        <is>
          <t>Gauteng</t>
        </is>
      </c>
      <c r="E321" s="27" t="inlineStr">
        <is>
          <t>Benoni</t>
        </is>
      </c>
      <c r="F321" s="27" t="n">
        <v>-26.328409</v>
      </c>
      <c r="G321" s="27" t="n">
        <v>27.429399</v>
      </c>
      <c r="H321" s="41" t="n">
        <v>44513</v>
      </c>
      <c r="I321" s="27" t="n">
        <v>50</v>
      </c>
      <c r="J321" s="27" t="inlineStr">
        <is>
          <t>Active</t>
        </is>
      </c>
    </row>
    <row r="322" ht="15" customHeight="1" s="24">
      <c r="A322" s="27" t="n">
        <v>278</v>
      </c>
      <c r="B322" s="27" t="inlineStr">
        <is>
          <t>Caltex Freshstop Mbombela Mall</t>
        </is>
      </c>
      <c r="C322" s="27" t="inlineStr">
        <is>
          <t>Caltex Freshstop</t>
        </is>
      </c>
      <c r="D322" s="27" t="inlineStr">
        <is>
          <t>Mpumalanga</t>
        </is>
      </c>
      <c r="E322" s="27" t="inlineStr">
        <is>
          <t>Mbombela</t>
        </is>
      </c>
      <c r="F322" s="27" t="n">
        <v>-24.625543</v>
      </c>
      <c r="G322" s="27" t="n">
        <v>31.782904</v>
      </c>
      <c r="H322" s="41" t="n">
        <v>45762</v>
      </c>
      <c r="I322" s="27" t="n">
        <v>20</v>
      </c>
      <c r="J322" s="27" t="inlineStr">
        <is>
          <t>Active</t>
        </is>
      </c>
    </row>
    <row r="323" ht="15" customHeight="1" s="24">
      <c r="A323" s="27" t="n">
        <v>2548</v>
      </c>
      <c r="B323" s="27" t="inlineStr">
        <is>
          <t>PEP Tzaneen Central</t>
        </is>
      </c>
      <c r="C323" s="27" t="inlineStr">
        <is>
          <t>PEP</t>
        </is>
      </c>
      <c r="D323" s="27" t="inlineStr">
        <is>
          <t>Limpopo</t>
        </is>
      </c>
      <c r="E323" s="27" t="inlineStr">
        <is>
          <t>Tzaneen</t>
        </is>
      </c>
      <c r="F323" s="27" t="n">
        <v>-24.087691</v>
      </c>
      <c r="G323" s="27" t="n">
        <v>29.75578</v>
      </c>
      <c r="H323" s="41" t="n">
        <v>42919</v>
      </c>
      <c r="I323" s="27" t="n">
        <v>200</v>
      </c>
      <c r="J323" s="27" t="inlineStr">
        <is>
          <t>Active</t>
        </is>
      </c>
    </row>
    <row r="324" ht="15" customHeight="1" s="24">
      <c r="A324" s="27" t="n">
        <v>2945</v>
      </c>
      <c r="B324" s="27" t="inlineStr">
        <is>
          <t>Build it Soweto Mall</t>
        </is>
      </c>
      <c r="C324" s="27" t="inlineStr">
        <is>
          <t>Build it</t>
        </is>
      </c>
      <c r="D324" s="27" t="inlineStr">
        <is>
          <t>Gauteng</t>
        </is>
      </c>
      <c r="E324" s="27" t="inlineStr">
        <is>
          <t>Soweto</t>
        </is>
      </c>
      <c r="F324" s="27" t="n">
        <v>-25.885217</v>
      </c>
      <c r="G324" s="27" t="n">
        <v>28.498953</v>
      </c>
      <c r="H324" s="41" t="n">
        <v>44564</v>
      </c>
      <c r="I324" s="27" t="n">
        <v>200</v>
      </c>
      <c r="J324" s="27" t="inlineStr">
        <is>
          <t>Active</t>
        </is>
      </c>
    </row>
    <row r="325" ht="15" customHeight="1" s="24">
      <c r="A325" s="27" t="n">
        <v>2767</v>
      </c>
      <c r="B325" s="27" t="inlineStr">
        <is>
          <t xml:space="preserve">Caltex Freshstop George </t>
        </is>
      </c>
      <c r="C325" s="27" t="inlineStr">
        <is>
          <t>Caltex Freshstop</t>
        </is>
      </c>
      <c r="D325" s="27" t="inlineStr">
        <is>
          <t>Western Cape</t>
        </is>
      </c>
      <c r="E325" s="27" t="inlineStr">
        <is>
          <t>George</t>
        </is>
      </c>
      <c r="F325" s="27" t="n">
        <v>-34.24766</v>
      </c>
      <c r="G325" s="27" t="n">
        <v>21.902725</v>
      </c>
      <c r="H325" s="41" t="n">
        <v>44539</v>
      </c>
      <c r="I325" s="27" t="n">
        <v>35</v>
      </c>
      <c r="J325" s="27" t="inlineStr">
        <is>
          <t>Active</t>
        </is>
      </c>
    </row>
    <row r="326" ht="15" customHeight="1" s="24">
      <c r="A326" s="27" t="n">
        <v>1911</v>
      </c>
      <c r="B326" s="27" t="inlineStr">
        <is>
          <t xml:space="preserve">Build it Somerset West </t>
        </is>
      </c>
      <c r="C326" s="27" t="inlineStr">
        <is>
          <t>Build it</t>
        </is>
      </c>
      <c r="D326" s="27" t="inlineStr">
        <is>
          <t>Western Cape</t>
        </is>
      </c>
      <c r="E326" s="27" t="inlineStr">
        <is>
          <t>Somerset West</t>
        </is>
      </c>
      <c r="F326" s="27" t="n">
        <v>-31.71702</v>
      </c>
      <c r="G326" s="27" t="n">
        <v>21.558852</v>
      </c>
      <c r="H326" s="41" t="n">
        <v>44982</v>
      </c>
      <c r="I326" s="27" t="n">
        <v>35</v>
      </c>
      <c r="J326" s="27" t="inlineStr">
        <is>
          <t>Active</t>
        </is>
      </c>
    </row>
    <row r="327" ht="15" customHeight="1" s="24">
      <c r="A327" s="27" t="n">
        <v>673</v>
      </c>
      <c r="B327" s="27" t="inlineStr">
        <is>
          <t>Spar Soweto Central</t>
        </is>
      </c>
      <c r="C327" s="27" t="inlineStr">
        <is>
          <t>Spar</t>
        </is>
      </c>
      <c r="D327" s="27" t="inlineStr">
        <is>
          <t>Gauteng</t>
        </is>
      </c>
      <c r="E327" s="27" t="inlineStr">
        <is>
          <t>Soweto</t>
        </is>
      </c>
      <c r="F327" s="27" t="n">
        <v>-25.501069</v>
      </c>
      <c r="G327" s="27" t="n">
        <v>28.652637</v>
      </c>
      <c r="H327" s="41" t="n">
        <v>43727</v>
      </c>
      <c r="I327" s="27" t="n">
        <v>80</v>
      </c>
      <c r="J327" s="27" t="inlineStr">
        <is>
          <t>Active</t>
        </is>
      </c>
    </row>
    <row r="328" ht="15" customHeight="1" s="24">
      <c r="A328" s="27" t="n">
        <v>3837</v>
      </c>
      <c r="B328" s="27" t="inlineStr">
        <is>
          <t>PEP Centurion Central</t>
        </is>
      </c>
      <c r="C328" s="27" t="inlineStr">
        <is>
          <t>PEP</t>
        </is>
      </c>
      <c r="D328" s="27" t="inlineStr">
        <is>
          <t>Gauteng</t>
        </is>
      </c>
      <c r="E328" s="27" t="inlineStr">
        <is>
          <t>Centurion</t>
        </is>
      </c>
      <c r="F328" s="27" t="n">
        <v>-26.305484</v>
      </c>
      <c r="G328" s="27" t="n">
        <v>28.385166</v>
      </c>
      <c r="H328" s="41" t="n">
        <v>45557</v>
      </c>
      <c r="I328" s="27" t="n">
        <v>80</v>
      </c>
      <c r="J328" s="27" t="inlineStr">
        <is>
          <t>Active</t>
        </is>
      </c>
    </row>
    <row r="329" ht="15" customHeight="1" s="24">
      <c r="A329" s="27" t="n">
        <v>2513</v>
      </c>
      <c r="B329" s="27" t="inlineStr">
        <is>
          <t>Caltex Freshstop Secunda Square</t>
        </is>
      </c>
      <c r="C329" s="27" t="inlineStr">
        <is>
          <t>Caltex Freshstop</t>
        </is>
      </c>
      <c r="D329" s="27" t="inlineStr">
        <is>
          <t>Mpumalanga</t>
        </is>
      </c>
      <c r="E329" s="27" t="inlineStr">
        <is>
          <t>Secunda</t>
        </is>
      </c>
      <c r="F329" s="27" t="n">
        <v>-24.705278</v>
      </c>
      <c r="G329" s="27" t="n">
        <v>29.756184</v>
      </c>
      <c r="H329" s="41" t="n">
        <v>45406</v>
      </c>
      <c r="I329" s="27" t="n">
        <v>50</v>
      </c>
      <c r="J329" s="27" t="inlineStr">
        <is>
          <t>Active</t>
        </is>
      </c>
    </row>
    <row r="330" ht="15" customHeight="1" s="24">
      <c r="A330" s="27" t="n">
        <v>82</v>
      </c>
      <c r="B330" s="27" t="inlineStr">
        <is>
          <t>Clicks Cape Town Central</t>
        </is>
      </c>
      <c r="C330" s="27" t="inlineStr">
        <is>
          <t>Clicks</t>
        </is>
      </c>
      <c r="D330" s="27" t="inlineStr">
        <is>
          <t>Western Cape</t>
        </is>
      </c>
      <c r="E330" s="27" t="inlineStr">
        <is>
          <t>Cape Town</t>
        </is>
      </c>
      <c r="F330" s="27" t="n">
        <v>-31.923883</v>
      </c>
      <c r="G330" s="27" t="n">
        <v>19.064242</v>
      </c>
      <c r="H330" s="41" t="n">
        <v>44765</v>
      </c>
      <c r="I330" s="27" t="n">
        <v>50</v>
      </c>
      <c r="J330" s="27" t="inlineStr">
        <is>
          <t>Active</t>
        </is>
      </c>
    </row>
    <row r="331" ht="15" customHeight="1" s="24">
      <c r="A331" s="27" t="n">
        <v>1777</v>
      </c>
      <c r="B331" s="27" t="inlineStr">
        <is>
          <t>Independent Spaza Kimberley Mall</t>
        </is>
      </c>
      <c r="C331" s="27" t="inlineStr">
        <is>
          <t>Independent Spaza</t>
        </is>
      </c>
      <c r="D331" s="27" t="inlineStr">
        <is>
          <t>Northern Cape</t>
        </is>
      </c>
      <c r="E331" s="27" t="inlineStr">
        <is>
          <t>Kimberley</t>
        </is>
      </c>
      <c r="F331" s="27" t="n">
        <v>-29.493024</v>
      </c>
      <c r="G331" s="27" t="n">
        <v>21.203471</v>
      </c>
      <c r="H331" s="41" t="n">
        <v>43251</v>
      </c>
      <c r="I331" s="27" t="n">
        <v>35</v>
      </c>
      <c r="J331" s="27" t="inlineStr">
        <is>
          <t>Active</t>
        </is>
      </c>
    </row>
    <row r="332" ht="15" customHeight="1" s="24">
      <c r="A332" s="27" t="n">
        <v>1455</v>
      </c>
      <c r="B332" s="27" t="inlineStr">
        <is>
          <t>PEP Benoni Junction</t>
        </is>
      </c>
      <c r="C332" s="27" t="inlineStr">
        <is>
          <t>PEP</t>
        </is>
      </c>
      <c r="D332" s="27" t="inlineStr">
        <is>
          <t>Gauteng</t>
        </is>
      </c>
      <c r="E332" s="27" t="inlineStr">
        <is>
          <t>Benoni</t>
        </is>
      </c>
      <c r="F332" s="27" t="n">
        <v>-26.071786</v>
      </c>
      <c r="G332" s="27" t="n">
        <v>27.449666</v>
      </c>
      <c r="H332" s="41" t="n">
        <v>45177</v>
      </c>
      <c r="I332" s="27" t="n">
        <v>35</v>
      </c>
      <c r="J332" s="27" t="inlineStr">
        <is>
          <t>Active</t>
        </is>
      </c>
    </row>
    <row r="333" ht="15" customHeight="1" s="24">
      <c r="A333" s="27" t="n">
        <v>1632</v>
      </c>
      <c r="B333" s="27" t="inlineStr">
        <is>
          <t>Caltex Freshstop Roodepoort Junction</t>
        </is>
      </c>
      <c r="C333" s="27" t="inlineStr">
        <is>
          <t>Caltex Freshstop</t>
        </is>
      </c>
      <c r="D333" s="27" t="inlineStr">
        <is>
          <t>Gauteng</t>
        </is>
      </c>
      <c r="E333" s="27" t="inlineStr">
        <is>
          <t>Roodepoort</t>
        </is>
      </c>
      <c r="F333" s="27" t="n">
        <v>-26.464919</v>
      </c>
      <c r="G333" s="27" t="n">
        <v>28.2989</v>
      </c>
      <c r="H333" s="41" t="n">
        <v>42706</v>
      </c>
      <c r="I333" s="27" t="n">
        <v>50</v>
      </c>
      <c r="J333" s="27" t="inlineStr">
        <is>
          <t>Active</t>
        </is>
      </c>
    </row>
    <row r="334" ht="15" customHeight="1" s="24">
      <c r="A334" s="27" t="n">
        <v>3878</v>
      </c>
      <c r="B334" s="27" t="inlineStr">
        <is>
          <t>Caltex Freshstop Soweto Central</t>
        </is>
      </c>
      <c r="C334" s="27" t="inlineStr">
        <is>
          <t>Caltex Freshstop</t>
        </is>
      </c>
      <c r="D334" s="27" t="inlineStr">
        <is>
          <t>Gauteng</t>
        </is>
      </c>
      <c r="E334" s="27" t="inlineStr">
        <is>
          <t>Soweto</t>
        </is>
      </c>
      <c r="F334" s="27" t="n">
        <v>-26.522637</v>
      </c>
      <c r="G334" s="27" t="n">
        <v>28.680629</v>
      </c>
      <c r="H334" s="41" t="n">
        <v>43877</v>
      </c>
      <c r="I334" s="27" t="n">
        <v>120</v>
      </c>
      <c r="J334" s="27" t="inlineStr">
        <is>
          <t>Active</t>
        </is>
      </c>
    </row>
    <row r="335" ht="15" customHeight="1" s="24">
      <c r="A335" s="27" t="n">
        <v>1957</v>
      </c>
      <c r="B335" s="27" t="inlineStr">
        <is>
          <t>PostNet Mahikeng Central</t>
        </is>
      </c>
      <c r="C335" s="27" t="inlineStr">
        <is>
          <t>PostNet</t>
        </is>
      </c>
      <c r="D335" s="27" t="inlineStr">
        <is>
          <t>North West</t>
        </is>
      </c>
      <c r="E335" s="27" t="inlineStr">
        <is>
          <t>Mahikeng</t>
        </is>
      </c>
      <c r="F335" s="27" t="n">
        <v>-27.083468</v>
      </c>
      <c r="G335" s="27" t="n">
        <v>27.06182</v>
      </c>
      <c r="H335" s="41" t="n">
        <v>43598</v>
      </c>
      <c r="I335" s="27" t="n">
        <v>50</v>
      </c>
      <c r="J335" s="27" t="inlineStr">
        <is>
          <t>Active</t>
        </is>
      </c>
    </row>
    <row r="336" ht="15" customHeight="1" s="24">
      <c r="A336" s="27" t="n">
        <v>2244</v>
      </c>
      <c r="B336" s="27" t="inlineStr">
        <is>
          <t>Independent Spaza Sandton Plaza</t>
        </is>
      </c>
      <c r="C336" s="27" t="inlineStr">
        <is>
          <t>Independent Spaza</t>
        </is>
      </c>
      <c r="D336" s="27" t="inlineStr">
        <is>
          <t>Gauteng</t>
        </is>
      </c>
      <c r="E336" s="27" t="inlineStr">
        <is>
          <t>Sandton</t>
        </is>
      </c>
      <c r="F336" s="27" t="n">
        <v>-25.884409</v>
      </c>
      <c r="G336" s="27" t="n">
        <v>28.227424</v>
      </c>
      <c r="H336" s="41" t="n">
        <v>45428</v>
      </c>
      <c r="I336" s="27" t="n">
        <v>50</v>
      </c>
      <c r="J336" s="27" t="inlineStr">
        <is>
          <t>Active</t>
        </is>
      </c>
    </row>
    <row r="337" ht="15" customHeight="1" s="24">
      <c r="A337" s="27" t="n">
        <v>1025</v>
      </c>
      <c r="B337" s="27" t="inlineStr">
        <is>
          <t>PEP Gqeberha Central</t>
        </is>
      </c>
      <c r="C337" s="27" t="inlineStr">
        <is>
          <t>PEP</t>
        </is>
      </c>
      <c r="D337" s="27" t="inlineStr">
        <is>
          <t>Eastern Cape</t>
        </is>
      </c>
      <c r="E337" s="27" t="inlineStr">
        <is>
          <t>Gqeberha</t>
        </is>
      </c>
      <c r="F337" s="27" t="n">
        <v>-33.613298</v>
      </c>
      <c r="G337" s="27" t="n">
        <v>25.001422</v>
      </c>
      <c r="H337" s="41" t="n">
        <v>43324</v>
      </c>
      <c r="I337" s="27" t="n">
        <v>120</v>
      </c>
      <c r="J337" s="27" t="inlineStr">
        <is>
          <t>Active</t>
        </is>
      </c>
    </row>
    <row r="338" ht="15" customHeight="1" s="24">
      <c r="A338" s="27" t="n">
        <v>1773</v>
      </c>
      <c r="B338" s="27" t="inlineStr">
        <is>
          <t>Caltex Freshstop Uitenhage Park</t>
        </is>
      </c>
      <c r="C338" s="27" t="inlineStr">
        <is>
          <t>Caltex Freshstop</t>
        </is>
      </c>
      <c r="D338" s="27" t="inlineStr">
        <is>
          <t>Eastern Cape</t>
        </is>
      </c>
      <c r="E338" s="27" t="inlineStr">
        <is>
          <t>Uitenhage</t>
        </is>
      </c>
      <c r="F338" s="27" t="n">
        <v>-32.677689</v>
      </c>
      <c r="G338" s="27" t="n">
        <v>25.636889</v>
      </c>
      <c r="H338" s="41" t="n">
        <v>44272</v>
      </c>
      <c r="I338" s="27" t="n">
        <v>50</v>
      </c>
      <c r="J338" s="27" t="inlineStr">
        <is>
          <t>Suspended</t>
        </is>
      </c>
    </row>
    <row r="339" ht="15" customHeight="1" s="24">
      <c r="A339" s="27" t="n">
        <v>3580</v>
      </c>
      <c r="B339" s="27" t="inlineStr">
        <is>
          <t>PEP Bellville Plaza</t>
        </is>
      </c>
      <c r="C339" s="27" t="inlineStr">
        <is>
          <t>PEP</t>
        </is>
      </c>
      <c r="D339" s="27" t="inlineStr">
        <is>
          <t>Western Cape</t>
        </is>
      </c>
      <c r="E339" s="27" t="inlineStr">
        <is>
          <t>Bellville</t>
        </is>
      </c>
      <c r="F339" s="27" t="n">
        <v>-31.844921</v>
      </c>
      <c r="G339" s="27" t="n">
        <v>19.634648</v>
      </c>
      <c r="H339" s="41" t="n">
        <v>44118</v>
      </c>
      <c r="I339" s="27" t="n">
        <v>80</v>
      </c>
      <c r="J339" s="27" t="inlineStr">
        <is>
          <t>Active</t>
        </is>
      </c>
    </row>
    <row r="340" ht="15" customHeight="1" s="24">
      <c r="A340" s="27" t="n">
        <v>3817</v>
      </c>
      <c r="B340" s="27" t="inlineStr">
        <is>
          <t>Build it Somerset West Plaza</t>
        </is>
      </c>
      <c r="C340" s="27" t="inlineStr">
        <is>
          <t>Build it</t>
        </is>
      </c>
      <c r="D340" s="27" t="inlineStr">
        <is>
          <t>Western Cape</t>
        </is>
      </c>
      <c r="E340" s="27" t="inlineStr">
        <is>
          <t>Somerset West</t>
        </is>
      </c>
      <c r="F340" s="27" t="n">
        <v>-34.461881</v>
      </c>
      <c r="G340" s="27" t="n">
        <v>20.004245</v>
      </c>
      <c r="H340" s="41" t="n">
        <v>44789</v>
      </c>
      <c r="I340" s="27" t="n">
        <v>50</v>
      </c>
      <c r="J340" s="27" t="inlineStr">
        <is>
          <t>Active</t>
        </is>
      </c>
    </row>
    <row r="341" ht="15" customHeight="1" s="24">
      <c r="A341" s="27" t="n">
        <v>1194</v>
      </c>
      <c r="B341" s="27" t="inlineStr">
        <is>
          <t>PEP Richards Bay Junction</t>
        </is>
      </c>
      <c r="C341" s="27" t="inlineStr">
        <is>
          <t>PEP</t>
        </is>
      </c>
      <c r="D341" s="27" t="inlineStr">
        <is>
          <t>KwaZulu-Natal</t>
        </is>
      </c>
      <c r="E341" s="27" t="inlineStr">
        <is>
          <t>Richards Bay</t>
        </is>
      </c>
      <c r="F341" s="27" t="n">
        <v>-28.475972</v>
      </c>
      <c r="G341" s="27" t="n">
        <v>31.109539</v>
      </c>
      <c r="H341" s="41" t="n">
        <v>44212</v>
      </c>
      <c r="I341" s="27" t="n">
        <v>50</v>
      </c>
      <c r="J341" s="27" t="inlineStr">
        <is>
          <t>Active</t>
        </is>
      </c>
    </row>
    <row r="342" ht="15" customHeight="1" s="24">
      <c r="A342" s="27" t="n">
        <v>947</v>
      </c>
      <c r="B342" s="27" t="inlineStr">
        <is>
          <t>Independent Spaza Pretoria Plaza</t>
        </is>
      </c>
      <c r="C342" s="27" t="inlineStr">
        <is>
          <t>Independent Spaza</t>
        </is>
      </c>
      <c r="D342" s="27" t="inlineStr">
        <is>
          <t>Gauteng</t>
        </is>
      </c>
      <c r="E342" s="27" t="inlineStr">
        <is>
          <t>Pretoria</t>
        </is>
      </c>
      <c r="F342" s="27" t="n">
        <v>-25.495789</v>
      </c>
      <c r="G342" s="27" t="n">
        <v>27.952091</v>
      </c>
      <c r="H342" s="41" t="n">
        <v>42909</v>
      </c>
      <c r="I342" s="27" t="n">
        <v>120</v>
      </c>
      <c r="J342" s="27" t="inlineStr">
        <is>
          <t>Active</t>
        </is>
      </c>
    </row>
    <row r="343" ht="15" customHeight="1" s="24">
      <c r="A343" s="27" t="n">
        <v>2905</v>
      </c>
      <c r="B343" s="27" t="inlineStr">
        <is>
          <t>Clicks Witbank Mall</t>
        </is>
      </c>
      <c r="C343" s="27" t="inlineStr">
        <is>
          <t>Clicks</t>
        </is>
      </c>
      <c r="D343" s="27" t="inlineStr">
        <is>
          <t>Mpumalanga</t>
        </is>
      </c>
      <c r="E343" s="27" t="inlineStr">
        <is>
          <t>Witbank</t>
        </is>
      </c>
      <c r="F343" s="27" t="n">
        <v>-26.607442</v>
      </c>
      <c r="G343" s="27" t="n">
        <v>31.60123</v>
      </c>
      <c r="H343" s="41" t="n">
        <v>43956</v>
      </c>
      <c r="I343" s="27" t="n">
        <v>35</v>
      </c>
      <c r="J343" s="27" t="inlineStr">
        <is>
          <t>Active</t>
        </is>
      </c>
    </row>
    <row r="344" ht="15" customHeight="1" s="24">
      <c r="A344" s="27" t="n">
        <v>2028</v>
      </c>
      <c r="B344" s="27" t="inlineStr">
        <is>
          <t>PEP Richards Bay Square</t>
        </is>
      </c>
      <c r="C344" s="27" t="inlineStr">
        <is>
          <t>PEP</t>
        </is>
      </c>
      <c r="D344" s="27" t="inlineStr">
        <is>
          <t>KwaZulu-Natal</t>
        </is>
      </c>
      <c r="E344" s="27" t="inlineStr">
        <is>
          <t>Richards Bay</t>
        </is>
      </c>
      <c r="F344" s="27" t="n">
        <v>-30.899229</v>
      </c>
      <c r="G344" s="27" t="n">
        <v>30.337699</v>
      </c>
      <c r="H344" s="41" t="n">
        <v>42741</v>
      </c>
      <c r="I344" s="27" t="n">
        <v>35</v>
      </c>
      <c r="J344" s="27" t="inlineStr">
        <is>
          <t>Active</t>
        </is>
      </c>
    </row>
    <row r="345" ht="15" customHeight="1" s="24">
      <c r="A345" s="27" t="n">
        <v>2965</v>
      </c>
      <c r="B345" s="27" t="inlineStr">
        <is>
          <t>PostNet East London Plaza</t>
        </is>
      </c>
      <c r="C345" s="27" t="inlineStr">
        <is>
          <t>PostNet</t>
        </is>
      </c>
      <c r="D345" s="27" t="inlineStr">
        <is>
          <t>Eastern Cape</t>
        </is>
      </c>
      <c r="E345" s="27" t="inlineStr">
        <is>
          <t>East London</t>
        </is>
      </c>
      <c r="F345" s="27" t="n">
        <v>-32.465889</v>
      </c>
      <c r="G345" s="27" t="n">
        <v>26.918298</v>
      </c>
      <c r="H345" s="41" t="n">
        <v>43131</v>
      </c>
      <c r="I345" s="27" t="n">
        <v>20</v>
      </c>
      <c r="J345" s="27" t="inlineStr">
        <is>
          <t>Active</t>
        </is>
      </c>
    </row>
    <row r="346" ht="15" customHeight="1" s="24">
      <c r="A346" s="27" t="n">
        <v>373</v>
      </c>
      <c r="B346" s="27" t="inlineStr">
        <is>
          <t>Clicks Durban Central</t>
        </is>
      </c>
      <c r="C346" s="27" t="inlineStr">
        <is>
          <t>Clicks</t>
        </is>
      </c>
      <c r="D346" s="27" t="inlineStr">
        <is>
          <t>KwaZulu-Natal</t>
        </is>
      </c>
      <c r="E346" s="27" t="inlineStr">
        <is>
          <t>Durban</t>
        </is>
      </c>
      <c r="F346" s="27" t="n">
        <v>-27.520244</v>
      </c>
      <c r="G346" s="27" t="n">
        <v>31.563223</v>
      </c>
      <c r="H346" s="41" t="n">
        <v>43930</v>
      </c>
      <c r="I346" s="27" t="n">
        <v>200</v>
      </c>
      <c r="J346" s="27" t="inlineStr">
        <is>
          <t>Active</t>
        </is>
      </c>
    </row>
    <row r="347" ht="15" customHeight="1" s="24">
      <c r="A347" s="27" t="n">
        <v>1067</v>
      </c>
      <c r="B347" s="27" t="inlineStr">
        <is>
          <t xml:space="preserve">Spar Welkom </t>
        </is>
      </c>
      <c r="C347" s="27" t="inlineStr">
        <is>
          <t>Spar</t>
        </is>
      </c>
      <c r="D347" s="27" t="inlineStr">
        <is>
          <t>Free State</t>
        </is>
      </c>
      <c r="E347" s="27" t="inlineStr">
        <is>
          <t>Welkom</t>
        </is>
      </c>
      <c r="F347" s="27" t="n">
        <v>-29.958864</v>
      </c>
      <c r="G347" s="27" t="n">
        <v>27.497332</v>
      </c>
      <c r="H347" s="41" t="n">
        <v>45902</v>
      </c>
      <c r="I347" s="27" t="n">
        <v>35</v>
      </c>
      <c r="J347" s="27" t="inlineStr">
        <is>
          <t>Active</t>
        </is>
      </c>
    </row>
    <row r="348" ht="15" customHeight="1" s="24">
      <c r="A348" s="27" t="n">
        <v>3493</v>
      </c>
      <c r="B348" s="27" t="inlineStr">
        <is>
          <t xml:space="preserve">Caltex Freshstop Potchefstroom </t>
        </is>
      </c>
      <c r="C348" s="27" t="inlineStr">
        <is>
          <t>Caltex Freshstop</t>
        </is>
      </c>
      <c r="D348" s="27" t="inlineStr">
        <is>
          <t>North West</t>
        </is>
      </c>
      <c r="E348" s="27" t="inlineStr">
        <is>
          <t>Potchefstroom</t>
        </is>
      </c>
      <c r="F348" s="27" t="n">
        <v>-26.498581</v>
      </c>
      <c r="G348" s="27" t="n">
        <v>26.544215</v>
      </c>
      <c r="H348" s="41" t="n">
        <v>43539</v>
      </c>
      <c r="I348" s="27" t="n">
        <v>50</v>
      </c>
      <c r="J348" s="27" t="inlineStr">
        <is>
          <t>Active</t>
        </is>
      </c>
    </row>
    <row r="349" ht="15" customHeight="1" s="24">
      <c r="A349" s="27" t="n">
        <v>3076</v>
      </c>
      <c r="B349" s="27" t="inlineStr">
        <is>
          <t>Spar Umhlanga Central</t>
        </is>
      </c>
      <c r="C349" s="27" t="inlineStr">
        <is>
          <t>Spar</t>
        </is>
      </c>
      <c r="D349" s="27" t="inlineStr">
        <is>
          <t>KwaZulu-Natal</t>
        </is>
      </c>
      <c r="E349" s="27" t="inlineStr">
        <is>
          <t>Umhlanga</t>
        </is>
      </c>
      <c r="F349" s="27" t="n">
        <v>-27.510076</v>
      </c>
      <c r="G349" s="27" t="n">
        <v>31.377641</v>
      </c>
      <c r="H349" s="41" t="n">
        <v>45754</v>
      </c>
      <c r="I349" s="27" t="n">
        <v>20</v>
      </c>
      <c r="J349" s="27" t="inlineStr">
        <is>
          <t>Active</t>
        </is>
      </c>
    </row>
    <row r="350" ht="15" customHeight="1" s="24">
      <c r="A350" s="27" t="n">
        <v>1180</v>
      </c>
      <c r="B350" s="27" t="inlineStr">
        <is>
          <t>Waltons Kroonstad Plaza</t>
        </is>
      </c>
      <c r="C350" s="27" t="inlineStr">
        <is>
          <t>Waltons</t>
        </is>
      </c>
      <c r="D350" s="27" t="inlineStr">
        <is>
          <t>Free State</t>
        </is>
      </c>
      <c r="E350" s="27" t="inlineStr">
        <is>
          <t>Kroonstad</t>
        </is>
      </c>
      <c r="F350" s="27" t="n">
        <v>-29.350041</v>
      </c>
      <c r="G350" s="27" t="n">
        <v>28.176131</v>
      </c>
      <c r="H350" s="41" t="n">
        <v>43843</v>
      </c>
      <c r="I350" s="27" t="n">
        <v>120</v>
      </c>
      <c r="J350" s="27" t="inlineStr">
        <is>
          <t>Suspended</t>
        </is>
      </c>
    </row>
    <row r="351" ht="15" customHeight="1" s="24">
      <c r="A351" s="27" t="n">
        <v>1364</v>
      </c>
      <c r="B351" s="27" t="inlineStr">
        <is>
          <t>Lewis Durban Junction</t>
        </is>
      </c>
      <c r="C351" s="27" t="inlineStr">
        <is>
          <t>Lewis</t>
        </is>
      </c>
      <c r="D351" s="27" t="inlineStr">
        <is>
          <t>KwaZulu-Natal</t>
        </is>
      </c>
      <c r="E351" s="27" t="inlineStr">
        <is>
          <t>Durban</t>
        </is>
      </c>
      <c r="F351" s="27" t="n">
        <v>-28.32203</v>
      </c>
      <c r="G351" s="27" t="n">
        <v>29.787562</v>
      </c>
      <c r="H351" s="41" t="n">
        <v>44169</v>
      </c>
      <c r="I351" s="27" t="n">
        <v>50</v>
      </c>
      <c r="J351" s="27" t="inlineStr">
        <is>
          <t>Active</t>
        </is>
      </c>
    </row>
    <row r="352" ht="15" customHeight="1" s="24">
      <c r="A352" s="27" t="n">
        <v>1253</v>
      </c>
      <c r="B352" s="27" t="inlineStr">
        <is>
          <t>PostNet Mthatha Mall</t>
        </is>
      </c>
      <c r="C352" s="27" t="inlineStr">
        <is>
          <t>PostNet</t>
        </is>
      </c>
      <c r="D352" s="27" t="inlineStr">
        <is>
          <t>Eastern Cape</t>
        </is>
      </c>
      <c r="E352" s="27" t="inlineStr">
        <is>
          <t>Mthatha</t>
        </is>
      </c>
      <c r="F352" s="27" t="n">
        <v>-31.213652</v>
      </c>
      <c r="G352" s="27" t="n">
        <v>27.414933</v>
      </c>
      <c r="H352" s="41" t="n">
        <v>44080</v>
      </c>
      <c r="I352" s="27" t="n">
        <v>35</v>
      </c>
      <c r="J352" s="27" t="inlineStr">
        <is>
          <t>Active</t>
        </is>
      </c>
    </row>
    <row r="353" ht="15" customHeight="1" s="24">
      <c r="A353" s="27" t="n">
        <v>3330</v>
      </c>
      <c r="B353" s="27" t="inlineStr">
        <is>
          <t>Clicks Umhlanga Park</t>
        </is>
      </c>
      <c r="C353" s="27" t="inlineStr">
        <is>
          <t>Clicks</t>
        </is>
      </c>
      <c r="D353" s="27" t="inlineStr">
        <is>
          <t>KwaZulu-Natal</t>
        </is>
      </c>
      <c r="E353" s="27" t="inlineStr">
        <is>
          <t>Umhlanga</t>
        </is>
      </c>
      <c r="F353" s="27" t="n">
        <v>-29.323987</v>
      </c>
      <c r="G353" s="27" t="n">
        <v>31.161585</v>
      </c>
      <c r="H353" s="41" t="n">
        <v>44853</v>
      </c>
      <c r="I353" s="27" t="n">
        <v>120</v>
      </c>
      <c r="J353" s="27" t="inlineStr">
        <is>
          <t>Active</t>
        </is>
      </c>
    </row>
    <row r="354" ht="15" customHeight="1" s="24">
      <c r="A354" s="27" t="n">
        <v>1499</v>
      </c>
      <c r="B354" s="27" t="inlineStr">
        <is>
          <t>PEP Richards Bay Central</t>
        </is>
      </c>
      <c r="C354" s="27" t="inlineStr">
        <is>
          <t>PEP</t>
        </is>
      </c>
      <c r="D354" s="27" t="inlineStr">
        <is>
          <t>KwaZulu-Natal</t>
        </is>
      </c>
      <c r="E354" s="27" t="inlineStr">
        <is>
          <t>Richards Bay</t>
        </is>
      </c>
      <c r="F354" s="27" t="n">
        <v>-29.482408</v>
      </c>
      <c r="G354" s="27" t="n">
        <v>29.806551</v>
      </c>
      <c r="H354" s="41" t="n">
        <v>42982</v>
      </c>
      <c r="I354" s="27" t="n">
        <v>20</v>
      </c>
      <c r="J354" s="27" t="inlineStr">
        <is>
          <t>Active</t>
        </is>
      </c>
    </row>
    <row r="355" ht="15" customHeight="1" s="24">
      <c r="A355" s="27" t="n">
        <v>589</v>
      </c>
      <c r="B355" s="27" t="inlineStr">
        <is>
          <t>Independent Spaza Johannesburg Junction</t>
        </is>
      </c>
      <c r="C355" s="27" t="inlineStr">
        <is>
          <t>Independent Spaza</t>
        </is>
      </c>
      <c r="D355" s="27" t="inlineStr">
        <is>
          <t>Gauteng</t>
        </is>
      </c>
      <c r="E355" s="27" t="inlineStr">
        <is>
          <t>Johannesburg</t>
        </is>
      </c>
      <c r="F355" s="27" t="n">
        <v>-26.636852</v>
      </c>
      <c r="G355" s="27" t="n">
        <v>28.412119</v>
      </c>
      <c r="H355" s="41" t="n">
        <v>42452</v>
      </c>
      <c r="I355" s="27" t="n">
        <v>20</v>
      </c>
      <c r="J355" s="27" t="inlineStr">
        <is>
          <t>Active</t>
        </is>
      </c>
    </row>
    <row r="356" ht="15" customHeight="1" s="24">
      <c r="A356" s="27" t="n">
        <v>2947</v>
      </c>
      <c r="B356" s="27" t="inlineStr">
        <is>
          <t>PostNet Mthatha Square</t>
        </is>
      </c>
      <c r="C356" s="27" t="inlineStr">
        <is>
          <t>PostNet</t>
        </is>
      </c>
      <c r="D356" s="27" t="inlineStr">
        <is>
          <t>Eastern Cape</t>
        </is>
      </c>
      <c r="E356" s="27" t="inlineStr">
        <is>
          <t>Mthatha</t>
        </is>
      </c>
      <c r="F356" s="27" t="n">
        <v>-30.68626</v>
      </c>
      <c r="G356" s="27" t="n">
        <v>25.399475</v>
      </c>
      <c r="H356" s="41" t="n">
        <v>44040</v>
      </c>
      <c r="I356" s="27" t="n">
        <v>80</v>
      </c>
      <c r="J356" s="27" t="inlineStr">
        <is>
          <t>Active</t>
        </is>
      </c>
    </row>
    <row r="357" ht="15" customHeight="1" s="24">
      <c r="A357" s="27" t="n">
        <v>3908</v>
      </c>
      <c r="B357" s="27" t="inlineStr">
        <is>
          <t xml:space="preserve">Caltex Freshstop Klerksdorp </t>
        </is>
      </c>
      <c r="C357" s="27" t="inlineStr">
        <is>
          <t>Caltex Freshstop</t>
        </is>
      </c>
      <c r="D357" s="27" t="inlineStr">
        <is>
          <t>North West</t>
        </is>
      </c>
      <c r="E357" s="27" t="inlineStr">
        <is>
          <t>Klerksdorp</t>
        </is>
      </c>
      <c r="F357" s="27" t="n">
        <v>-26.178785</v>
      </c>
      <c r="G357" s="27" t="n">
        <v>24.565376</v>
      </c>
      <c r="H357" s="41" t="n">
        <v>44001</v>
      </c>
      <c r="I357" s="27" t="n">
        <v>35</v>
      </c>
      <c r="J357" s="27" t="inlineStr">
        <is>
          <t>Active</t>
        </is>
      </c>
    </row>
    <row r="358" ht="15" customHeight="1" s="24">
      <c r="A358" s="27" t="n">
        <v>133</v>
      </c>
      <c r="B358" s="27" t="inlineStr">
        <is>
          <t>Independent Spaza Pretoria Central</t>
        </is>
      </c>
      <c r="C358" s="27" t="inlineStr">
        <is>
          <t>Independent Spaza</t>
        </is>
      </c>
      <c r="D358" s="27" t="inlineStr">
        <is>
          <t>Gauteng</t>
        </is>
      </c>
      <c r="E358" s="27" t="inlineStr">
        <is>
          <t>Pretoria</t>
        </is>
      </c>
      <c r="F358" s="27" t="n">
        <v>-25.695526</v>
      </c>
      <c r="G358" s="27" t="n">
        <v>27.950993</v>
      </c>
      <c r="H358" s="41" t="n">
        <v>44595</v>
      </c>
      <c r="I358" s="27" t="n">
        <v>200</v>
      </c>
      <c r="J358" s="27" t="inlineStr">
        <is>
          <t>Active</t>
        </is>
      </c>
    </row>
    <row r="359" ht="15" customHeight="1" s="24">
      <c r="A359" s="27" t="n">
        <v>7</v>
      </c>
      <c r="B359" s="27" t="inlineStr">
        <is>
          <t>PEP Roodepoort Park</t>
        </is>
      </c>
      <c r="C359" s="27" t="inlineStr">
        <is>
          <t>PEP</t>
        </is>
      </c>
      <c r="D359" s="27" t="inlineStr">
        <is>
          <t>Gauteng</t>
        </is>
      </c>
      <c r="E359" s="27" t="inlineStr">
        <is>
          <t>Roodepoort</t>
        </is>
      </c>
      <c r="F359" s="27" t="n">
        <v>-26.365332</v>
      </c>
      <c r="G359" s="27" t="n">
        <v>28.584018</v>
      </c>
      <c r="H359" s="41" t="n">
        <v>45722</v>
      </c>
      <c r="I359" s="27" t="n">
        <v>35</v>
      </c>
      <c r="J359" s="27" t="inlineStr">
        <is>
          <t>Active</t>
        </is>
      </c>
    </row>
    <row r="360" ht="15" customHeight="1" s="24">
      <c r="A360" s="27" t="n">
        <v>751</v>
      </c>
      <c r="B360" s="27" t="inlineStr">
        <is>
          <t>Spar Roodepoort Plaza</t>
        </is>
      </c>
      <c r="C360" s="27" t="inlineStr">
        <is>
          <t>Spar</t>
        </is>
      </c>
      <c r="D360" s="27" t="inlineStr">
        <is>
          <t>Gauteng</t>
        </is>
      </c>
      <c r="E360" s="27" t="inlineStr">
        <is>
          <t>Roodepoort</t>
        </is>
      </c>
      <c r="F360" s="27" t="n">
        <v>-25.657484</v>
      </c>
      <c r="G360" s="27" t="n">
        <v>27.742646</v>
      </c>
      <c r="H360" s="41" t="n">
        <v>44910</v>
      </c>
      <c r="I360" s="27" t="n">
        <v>80</v>
      </c>
      <c r="J360" s="27" t="inlineStr">
        <is>
          <t>Active</t>
        </is>
      </c>
    </row>
    <row r="361" ht="15" customHeight="1" s="24">
      <c r="A361" s="27" t="n">
        <v>1812</v>
      </c>
      <c r="B361" s="27" t="inlineStr">
        <is>
          <t xml:space="preserve">PEP Roodepoort </t>
        </is>
      </c>
      <c r="C361" s="27" t="inlineStr">
        <is>
          <t>PEP</t>
        </is>
      </c>
      <c r="D361" s="27" t="inlineStr">
        <is>
          <t>Gauteng</t>
        </is>
      </c>
      <c r="E361" s="27" t="inlineStr">
        <is>
          <t>Roodepoort</t>
        </is>
      </c>
      <c r="F361" s="27" t="n">
        <v>-26.627562</v>
      </c>
      <c r="G361" s="27" t="n">
        <v>28.576946</v>
      </c>
      <c r="H361" s="41" t="n">
        <v>45561</v>
      </c>
      <c r="I361" s="27" t="n">
        <v>50</v>
      </c>
      <c r="J361" s="27" t="inlineStr">
        <is>
          <t>Active</t>
        </is>
      </c>
    </row>
    <row r="362" ht="15" customHeight="1" s="24">
      <c r="A362" s="27" t="n">
        <v>1296</v>
      </c>
      <c r="B362" s="27" t="inlineStr">
        <is>
          <t>PostNet East London Park</t>
        </is>
      </c>
      <c r="C362" s="27" t="inlineStr">
        <is>
          <t>PostNet</t>
        </is>
      </c>
      <c r="D362" s="27" t="inlineStr">
        <is>
          <t>Eastern Cape</t>
        </is>
      </c>
      <c r="E362" s="27" t="inlineStr">
        <is>
          <t>East London</t>
        </is>
      </c>
      <c r="F362" s="27" t="n">
        <v>-33.70017</v>
      </c>
      <c r="G362" s="27" t="n">
        <v>24.915232</v>
      </c>
      <c r="H362" s="41" t="n">
        <v>45578</v>
      </c>
      <c r="I362" s="27" t="n">
        <v>35</v>
      </c>
      <c r="J362" s="27" t="inlineStr">
        <is>
          <t>Active</t>
        </is>
      </c>
    </row>
    <row r="363" ht="15" customHeight="1" s="24">
      <c r="A363" s="27" t="n">
        <v>1190</v>
      </c>
      <c r="B363" s="27" t="inlineStr">
        <is>
          <t xml:space="preserve">Caltex Freshstop Tzaneen </t>
        </is>
      </c>
      <c r="C363" s="27" t="inlineStr">
        <is>
          <t>Caltex Freshstop</t>
        </is>
      </c>
      <c r="D363" s="27" t="inlineStr">
        <is>
          <t>Limpopo</t>
        </is>
      </c>
      <c r="E363" s="27" t="inlineStr">
        <is>
          <t>Tzaneen</t>
        </is>
      </c>
      <c r="F363" s="27" t="n">
        <v>-23.283653</v>
      </c>
      <c r="G363" s="27" t="n">
        <v>30.742865</v>
      </c>
      <c r="H363" s="41" t="n">
        <v>43022</v>
      </c>
      <c r="I363" s="27" t="n">
        <v>50</v>
      </c>
      <c r="J363" s="27" t="inlineStr">
        <is>
          <t>Active</t>
        </is>
      </c>
    </row>
    <row r="364" ht="15" customHeight="1" s="24">
      <c r="A364" s="27" t="n">
        <v>1501</v>
      </c>
      <c r="B364" s="27" t="inlineStr">
        <is>
          <t>PEP Mahikeng Plaza</t>
        </is>
      </c>
      <c r="C364" s="27" t="inlineStr">
        <is>
          <t>PEP</t>
        </is>
      </c>
      <c r="D364" s="27" t="inlineStr">
        <is>
          <t>North West</t>
        </is>
      </c>
      <c r="E364" s="27" t="inlineStr">
        <is>
          <t>Mahikeng</t>
        </is>
      </c>
      <c r="F364" s="27" t="n">
        <v>-25.946445</v>
      </c>
      <c r="G364" s="27" t="n">
        <v>27.378225</v>
      </c>
      <c r="H364" s="41" t="n">
        <v>42922</v>
      </c>
      <c r="I364" s="27" t="n">
        <v>50</v>
      </c>
      <c r="J364" s="27" t="inlineStr">
        <is>
          <t>Active</t>
        </is>
      </c>
    </row>
    <row r="365" ht="15" customHeight="1" s="24">
      <c r="A365" s="27" t="n">
        <v>1292</v>
      </c>
      <c r="B365" s="27" t="inlineStr">
        <is>
          <t>Spar Welkom Square</t>
        </is>
      </c>
      <c r="C365" s="27" t="inlineStr">
        <is>
          <t>Spar</t>
        </is>
      </c>
      <c r="D365" s="27" t="inlineStr">
        <is>
          <t>Free State</t>
        </is>
      </c>
      <c r="E365" s="27" t="inlineStr">
        <is>
          <t>Welkom</t>
        </is>
      </c>
      <c r="F365" s="27" t="n">
        <v>-27.514235</v>
      </c>
      <c r="G365" s="27" t="n">
        <v>27.337526</v>
      </c>
      <c r="H365" s="41" t="n">
        <v>43557</v>
      </c>
      <c r="I365" s="27" t="n">
        <v>35</v>
      </c>
      <c r="J365" s="27" t="inlineStr">
        <is>
          <t>Active</t>
        </is>
      </c>
    </row>
    <row r="366" ht="15" customHeight="1" s="24">
      <c r="A366" s="27" t="n">
        <v>3216</v>
      </c>
      <c r="B366" s="27" t="inlineStr">
        <is>
          <t>PEP Pietermaritzburg Square</t>
        </is>
      </c>
      <c r="C366" s="27" t="inlineStr">
        <is>
          <t>PEP</t>
        </is>
      </c>
      <c r="D366" s="27" t="inlineStr">
        <is>
          <t>KwaZulu-Natal</t>
        </is>
      </c>
      <c r="E366" s="27" t="inlineStr">
        <is>
          <t>Pietermaritzburg</t>
        </is>
      </c>
      <c r="F366" s="27" t="n">
        <v>-28.84636</v>
      </c>
      <c r="G366" s="27" t="n">
        <v>29.795385</v>
      </c>
      <c r="H366" s="41" t="n">
        <v>43181</v>
      </c>
      <c r="I366" s="27" t="n">
        <v>80</v>
      </c>
      <c r="J366" s="27" t="inlineStr">
        <is>
          <t>Active</t>
        </is>
      </c>
    </row>
    <row r="367" ht="15" customHeight="1" s="24">
      <c r="A367" s="27" t="n">
        <v>2479</v>
      </c>
      <c r="B367" s="27" t="inlineStr">
        <is>
          <t>PEP Springbok Plaza</t>
        </is>
      </c>
      <c r="C367" s="27" t="inlineStr">
        <is>
          <t>PEP</t>
        </is>
      </c>
      <c r="D367" s="27" t="inlineStr">
        <is>
          <t>Northern Cape</t>
        </is>
      </c>
      <c r="E367" s="27" t="inlineStr">
        <is>
          <t>Springbok</t>
        </is>
      </c>
      <c r="F367" s="27" t="n">
        <v>-27.904118</v>
      </c>
      <c r="G367" s="27" t="n">
        <v>17.267203</v>
      </c>
      <c r="H367" s="41" t="n">
        <v>42496</v>
      </c>
      <c r="I367" s="27" t="n">
        <v>80</v>
      </c>
      <c r="J367" s="27" t="inlineStr">
        <is>
          <t>Active</t>
        </is>
      </c>
    </row>
    <row r="368" ht="15" customHeight="1" s="24">
      <c r="A368" s="27" t="n">
        <v>959</v>
      </c>
      <c r="B368" s="27" t="inlineStr">
        <is>
          <t>Clicks Secunda Central</t>
        </is>
      </c>
      <c r="C368" s="27" t="inlineStr">
        <is>
          <t>Clicks</t>
        </is>
      </c>
      <c r="D368" s="27" t="inlineStr">
        <is>
          <t>Mpumalanga</t>
        </is>
      </c>
      <c r="E368" s="27" t="inlineStr">
        <is>
          <t>Secunda</t>
        </is>
      </c>
      <c r="F368" s="27" t="n">
        <v>-26.63694</v>
      </c>
      <c r="G368" s="27" t="n">
        <v>30.80764</v>
      </c>
      <c r="H368" s="41" t="n">
        <v>44983</v>
      </c>
      <c r="I368" s="27" t="n">
        <v>35</v>
      </c>
      <c r="J368" s="27" t="inlineStr">
        <is>
          <t>Active</t>
        </is>
      </c>
    </row>
    <row r="369" ht="15" customHeight="1" s="24">
      <c r="A369" s="27" t="n">
        <v>227</v>
      </c>
      <c r="B369" s="27" t="inlineStr">
        <is>
          <t xml:space="preserve">Spar Umhlanga </t>
        </is>
      </c>
      <c r="C369" s="27" t="inlineStr">
        <is>
          <t>Spar</t>
        </is>
      </c>
      <c r="D369" s="27" t="inlineStr">
        <is>
          <t>KwaZulu-Natal</t>
        </is>
      </c>
      <c r="E369" s="27" t="inlineStr">
        <is>
          <t>Umhlanga</t>
        </is>
      </c>
      <c r="F369" s="27" t="n">
        <v>-30.598358</v>
      </c>
      <c r="G369" s="27" t="n">
        <v>30.964886</v>
      </c>
      <c r="H369" s="41" t="n">
        <v>44557</v>
      </c>
      <c r="I369" s="27" t="n">
        <v>50</v>
      </c>
      <c r="J369" s="27" t="inlineStr">
        <is>
          <t>Active</t>
        </is>
      </c>
    </row>
    <row r="370" ht="15" customHeight="1" s="24">
      <c r="A370" s="27" t="n">
        <v>948</v>
      </c>
      <c r="B370" s="27" t="inlineStr">
        <is>
          <t>Lewis Polokwane Park</t>
        </is>
      </c>
      <c r="C370" s="27" t="inlineStr">
        <is>
          <t>Lewis</t>
        </is>
      </c>
      <c r="D370" s="27" t="inlineStr">
        <is>
          <t>Limpopo</t>
        </is>
      </c>
      <c r="E370" s="27" t="inlineStr">
        <is>
          <t>Polokwane</t>
        </is>
      </c>
      <c r="F370" s="27" t="n">
        <v>-23.841004</v>
      </c>
      <c r="G370" s="27" t="n">
        <v>29.95764</v>
      </c>
      <c r="H370" s="41" t="n">
        <v>45734</v>
      </c>
      <c r="I370" s="27" t="n">
        <v>35</v>
      </c>
      <c r="J370" s="27" t="inlineStr">
        <is>
          <t>Active</t>
        </is>
      </c>
    </row>
    <row r="371" ht="15" customHeight="1" s="24">
      <c r="A371" s="27" t="n">
        <v>1898</v>
      </c>
      <c r="B371" s="27" t="inlineStr">
        <is>
          <t>PEP East London Junction</t>
        </is>
      </c>
      <c r="C371" s="27" t="inlineStr">
        <is>
          <t>PEP</t>
        </is>
      </c>
      <c r="D371" s="27" t="inlineStr">
        <is>
          <t>Eastern Cape</t>
        </is>
      </c>
      <c r="E371" s="27" t="inlineStr">
        <is>
          <t>East London</t>
        </is>
      </c>
      <c r="F371" s="27" t="n">
        <v>-31.368516</v>
      </c>
      <c r="G371" s="27" t="n">
        <v>24.593549</v>
      </c>
      <c r="H371" s="41" t="n">
        <v>44340</v>
      </c>
      <c r="I371" s="27" t="n">
        <v>35</v>
      </c>
      <c r="J371" s="27" t="inlineStr">
        <is>
          <t>Active</t>
        </is>
      </c>
    </row>
    <row r="372" ht="15" customHeight="1" s="24">
      <c r="A372" s="27" t="n">
        <v>2480</v>
      </c>
      <c r="B372" s="27" t="inlineStr">
        <is>
          <t>Spar Midrand Mall</t>
        </is>
      </c>
      <c r="C372" s="27" t="inlineStr">
        <is>
          <t>Spar</t>
        </is>
      </c>
      <c r="D372" s="27" t="inlineStr">
        <is>
          <t>Gauteng</t>
        </is>
      </c>
      <c r="E372" s="27" t="inlineStr">
        <is>
          <t>Midrand</t>
        </is>
      </c>
      <c r="F372" s="27" t="n">
        <v>-25.788544</v>
      </c>
      <c r="G372" s="27" t="n">
        <v>28.607398</v>
      </c>
      <c r="H372" s="41" t="n">
        <v>45705</v>
      </c>
      <c r="I372" s="27" t="n">
        <v>50</v>
      </c>
      <c r="J372" s="27" t="inlineStr">
        <is>
          <t>Active</t>
        </is>
      </c>
    </row>
    <row r="373" ht="15" customHeight="1" s="24">
      <c r="A373" s="27" t="n">
        <v>3948</v>
      </c>
      <c r="B373" s="27" t="inlineStr">
        <is>
          <t>Clicks Newcastle Central</t>
        </is>
      </c>
      <c r="C373" s="27" t="inlineStr">
        <is>
          <t>Clicks</t>
        </is>
      </c>
      <c r="D373" s="27" t="inlineStr">
        <is>
          <t>KwaZulu-Natal</t>
        </is>
      </c>
      <c r="E373" s="27" t="inlineStr">
        <is>
          <t>Newcastle</t>
        </is>
      </c>
      <c r="F373" s="27" t="n">
        <v>-29.630113</v>
      </c>
      <c r="G373" s="27" t="n">
        <v>29.409384</v>
      </c>
      <c r="H373" s="41" t="n">
        <v>44021</v>
      </c>
      <c r="I373" s="27" t="n">
        <v>80</v>
      </c>
      <c r="J373" s="27" t="inlineStr">
        <is>
          <t>Active</t>
        </is>
      </c>
    </row>
    <row r="374" ht="15" customHeight="1" s="24">
      <c r="A374" s="27" t="n">
        <v>2485</v>
      </c>
      <c r="B374" s="27" t="inlineStr">
        <is>
          <t>PEP Secunda Junction</t>
        </is>
      </c>
      <c r="C374" s="27" t="inlineStr">
        <is>
          <t>PEP</t>
        </is>
      </c>
      <c r="D374" s="27" t="inlineStr">
        <is>
          <t>Mpumalanga</t>
        </is>
      </c>
      <c r="E374" s="27" t="inlineStr">
        <is>
          <t>Secunda</t>
        </is>
      </c>
      <c r="F374" s="27" t="n">
        <v>-25.628023</v>
      </c>
      <c r="G374" s="27" t="n">
        <v>30.632106</v>
      </c>
      <c r="H374" s="41" t="n">
        <v>44028</v>
      </c>
      <c r="I374" s="27" t="n">
        <v>200</v>
      </c>
      <c r="J374" s="27" t="inlineStr">
        <is>
          <t>Active</t>
        </is>
      </c>
    </row>
    <row r="375" ht="15" customHeight="1" s="24">
      <c r="A375" s="27" t="n">
        <v>2311</v>
      </c>
      <c r="B375" s="27" t="inlineStr">
        <is>
          <t xml:space="preserve">PEP Stellenbosch </t>
        </is>
      </c>
      <c r="C375" s="27" t="inlineStr">
        <is>
          <t>PEP</t>
        </is>
      </c>
      <c r="D375" s="27" t="inlineStr">
        <is>
          <t>Western Cape</t>
        </is>
      </c>
      <c r="E375" s="27" t="inlineStr">
        <is>
          <t>Stellenbosch</t>
        </is>
      </c>
      <c r="F375" s="27" t="n">
        <v>-33.485752</v>
      </c>
      <c r="G375" s="27" t="n">
        <v>22.90448</v>
      </c>
      <c r="H375" s="41" t="n">
        <v>42456</v>
      </c>
      <c r="I375" s="27" t="n">
        <v>35</v>
      </c>
      <c r="J375" s="27" t="inlineStr">
        <is>
          <t>Active</t>
        </is>
      </c>
    </row>
    <row r="376" ht="15" customHeight="1" s="24">
      <c r="A376" s="27" t="n">
        <v>2339</v>
      </c>
      <c r="B376" s="27" t="inlineStr">
        <is>
          <t>Caltex Freshstop Soweto Park</t>
        </is>
      </c>
      <c r="C376" s="27" t="inlineStr">
        <is>
          <t>Caltex Freshstop</t>
        </is>
      </c>
      <c r="D376" s="27" t="inlineStr">
        <is>
          <t>Gauteng</t>
        </is>
      </c>
      <c r="E376" s="27" t="inlineStr">
        <is>
          <t>Soweto</t>
        </is>
      </c>
      <c r="F376" s="27" t="n">
        <v>-26.454674</v>
      </c>
      <c r="G376" s="27" t="n">
        <v>27.68403</v>
      </c>
      <c r="H376" s="41" t="n">
        <v>43448</v>
      </c>
      <c r="I376" s="27" t="n">
        <v>80</v>
      </c>
      <c r="J376" s="27" t="inlineStr">
        <is>
          <t>Active</t>
        </is>
      </c>
    </row>
    <row r="377" ht="15" customHeight="1" s="24">
      <c r="A377" s="27" t="n">
        <v>2831</v>
      </c>
      <c r="B377" s="27" t="inlineStr">
        <is>
          <t>Clicks Johannesburg Square</t>
        </is>
      </c>
      <c r="C377" s="27" t="inlineStr">
        <is>
          <t>Clicks</t>
        </is>
      </c>
      <c r="D377" s="27" t="inlineStr">
        <is>
          <t>Gauteng</t>
        </is>
      </c>
      <c r="E377" s="27" t="inlineStr">
        <is>
          <t>Johannesburg</t>
        </is>
      </c>
      <c r="F377" s="27" t="n">
        <v>-25.660649</v>
      </c>
      <c r="G377" s="27" t="n">
        <v>28.624998</v>
      </c>
      <c r="H377" s="41" t="n">
        <v>44879</v>
      </c>
      <c r="I377" s="27" t="n">
        <v>20</v>
      </c>
      <c r="J377" s="27" t="inlineStr">
        <is>
          <t>Active</t>
        </is>
      </c>
    </row>
    <row r="378" ht="15" customHeight="1" s="24">
      <c r="A378" s="27" t="n">
        <v>1921</v>
      </c>
      <c r="B378" s="27" t="inlineStr">
        <is>
          <t>Independent Spaza Roodepoort Junction</t>
        </is>
      </c>
      <c r="C378" s="27" t="inlineStr">
        <is>
          <t>Independent Spaza</t>
        </is>
      </c>
      <c r="D378" s="27" t="inlineStr">
        <is>
          <t>Gauteng</t>
        </is>
      </c>
      <c r="E378" s="27" t="inlineStr">
        <is>
          <t>Roodepoort</t>
        </is>
      </c>
      <c r="F378" s="27" t="n">
        <v>-25.318768</v>
      </c>
      <c r="G378" s="27" t="n">
        <v>27.344395</v>
      </c>
      <c r="H378" s="41" t="n">
        <v>44362</v>
      </c>
      <c r="I378" s="27" t="n">
        <v>50</v>
      </c>
      <c r="J378" s="27" t="inlineStr">
        <is>
          <t>Active</t>
        </is>
      </c>
    </row>
    <row r="379" ht="15" customHeight="1" s="24">
      <c r="A379" s="27" t="n">
        <v>2304</v>
      </c>
      <c r="B379" s="27" t="inlineStr">
        <is>
          <t>PEP Newcastle Mall</t>
        </is>
      </c>
      <c r="C379" s="27" t="inlineStr">
        <is>
          <t>PEP</t>
        </is>
      </c>
      <c r="D379" s="27" t="inlineStr">
        <is>
          <t>KwaZulu-Natal</t>
        </is>
      </c>
      <c r="E379" s="27" t="inlineStr">
        <is>
          <t>Newcastle</t>
        </is>
      </c>
      <c r="F379" s="27" t="n">
        <v>-30.007511</v>
      </c>
      <c r="G379" s="27" t="n">
        <v>29.733559</v>
      </c>
      <c r="H379" s="41" t="n">
        <v>45554</v>
      </c>
      <c r="I379" s="27" t="n">
        <v>120</v>
      </c>
      <c r="J379" s="27" t="inlineStr">
        <is>
          <t>Active</t>
        </is>
      </c>
    </row>
    <row r="380" ht="15" customHeight="1" s="24">
      <c r="A380" s="27" t="n">
        <v>1362</v>
      </c>
      <c r="B380" s="27" t="inlineStr">
        <is>
          <t>Caltex Freshstop Pietermaritzburg Square</t>
        </is>
      </c>
      <c r="C380" s="27" t="inlineStr">
        <is>
          <t>Caltex Freshstop</t>
        </is>
      </c>
      <c r="D380" s="27" t="inlineStr">
        <is>
          <t>KwaZulu-Natal</t>
        </is>
      </c>
      <c r="E380" s="27" t="inlineStr">
        <is>
          <t>Pietermaritzburg</t>
        </is>
      </c>
      <c r="F380" s="27" t="n">
        <v>-28.46106</v>
      </c>
      <c r="G380" s="27" t="n">
        <v>31.514891</v>
      </c>
      <c r="H380" s="41" t="n">
        <v>45447</v>
      </c>
      <c r="I380" s="27" t="n">
        <v>50</v>
      </c>
      <c r="J380" s="27" t="inlineStr">
        <is>
          <t>Active</t>
        </is>
      </c>
    </row>
    <row r="381" ht="15" customHeight="1" s="24">
      <c r="A381" s="27" t="n">
        <v>3867</v>
      </c>
      <c r="B381" s="27" t="inlineStr">
        <is>
          <t>Spar Mokopane Square</t>
        </is>
      </c>
      <c r="C381" s="27" t="inlineStr">
        <is>
          <t>Spar</t>
        </is>
      </c>
      <c r="D381" s="27" t="inlineStr">
        <is>
          <t>Limpopo</t>
        </is>
      </c>
      <c r="E381" s="27" t="inlineStr">
        <is>
          <t>Mokopane</t>
        </is>
      </c>
      <c r="F381" s="27" t="n">
        <v>-22.895208</v>
      </c>
      <c r="G381" s="27" t="n">
        <v>30.923754</v>
      </c>
      <c r="H381" s="41" t="n">
        <v>42863</v>
      </c>
      <c r="I381" s="27" t="n">
        <v>80</v>
      </c>
      <c r="J381" s="27" t="inlineStr">
        <is>
          <t>Suspended</t>
        </is>
      </c>
    </row>
    <row r="382" ht="15" customHeight="1" s="24">
      <c r="A382" s="27" t="n">
        <v>979</v>
      </c>
      <c r="B382" s="27" t="inlineStr">
        <is>
          <t>PEP George Square</t>
        </is>
      </c>
      <c r="C382" s="27" t="inlineStr">
        <is>
          <t>PEP</t>
        </is>
      </c>
      <c r="D382" s="27" t="inlineStr">
        <is>
          <t>Western Cape</t>
        </is>
      </c>
      <c r="E382" s="27" t="inlineStr">
        <is>
          <t>George</t>
        </is>
      </c>
      <c r="F382" s="27" t="n">
        <v>-33.447846</v>
      </c>
      <c r="G382" s="27" t="n">
        <v>22.206601</v>
      </c>
      <c r="H382" s="41" t="n">
        <v>42796</v>
      </c>
      <c r="I382" s="27" t="n">
        <v>200</v>
      </c>
      <c r="J382" s="27" t="inlineStr">
        <is>
          <t>Active</t>
        </is>
      </c>
    </row>
    <row r="383" ht="15" customHeight="1" s="24">
      <c r="A383" s="27" t="n">
        <v>2399</v>
      </c>
      <c r="B383" s="27" t="inlineStr">
        <is>
          <t>Caltex Freshstop Sandton Square</t>
        </is>
      </c>
      <c r="C383" s="27" t="inlineStr">
        <is>
          <t>Caltex Freshstop</t>
        </is>
      </c>
      <c r="D383" s="27" t="inlineStr">
        <is>
          <t>Gauteng</t>
        </is>
      </c>
      <c r="E383" s="27" t="inlineStr">
        <is>
          <t>Sandton</t>
        </is>
      </c>
      <c r="F383" s="27" t="n">
        <v>-26.683776</v>
      </c>
      <c r="G383" s="27" t="n">
        <v>27.881414</v>
      </c>
      <c r="H383" s="41" t="n">
        <v>45581</v>
      </c>
      <c r="I383" s="27" t="n">
        <v>20</v>
      </c>
      <c r="J383" s="27" t="inlineStr">
        <is>
          <t>Active</t>
        </is>
      </c>
    </row>
    <row r="384" ht="15" customHeight="1" s="24">
      <c r="A384" s="27" t="n">
        <v>2189</v>
      </c>
      <c r="B384" s="27" t="inlineStr">
        <is>
          <t>Clicks Witbank Central</t>
        </is>
      </c>
      <c r="C384" s="27" t="inlineStr">
        <is>
          <t>Clicks</t>
        </is>
      </c>
      <c r="D384" s="27" t="inlineStr">
        <is>
          <t>Mpumalanga</t>
        </is>
      </c>
      <c r="E384" s="27" t="inlineStr">
        <is>
          <t>Witbank</t>
        </is>
      </c>
      <c r="F384" s="27" t="n">
        <v>-26.875428</v>
      </c>
      <c r="G384" s="27" t="n">
        <v>29.886451</v>
      </c>
      <c r="H384" s="41" t="n">
        <v>43735</v>
      </c>
      <c r="I384" s="27" t="n">
        <v>20</v>
      </c>
      <c r="J384" s="27" t="inlineStr">
        <is>
          <t>Active</t>
        </is>
      </c>
    </row>
    <row r="385" ht="15" customHeight="1" s="24">
      <c r="A385" s="27" t="n">
        <v>770</v>
      </c>
      <c r="B385" s="27" t="inlineStr">
        <is>
          <t>Clicks Pretoria Plaza</t>
        </is>
      </c>
      <c r="C385" s="27" t="inlineStr">
        <is>
          <t>Clicks</t>
        </is>
      </c>
      <c r="D385" s="27" t="inlineStr">
        <is>
          <t>Gauteng</t>
        </is>
      </c>
      <c r="E385" s="27" t="inlineStr">
        <is>
          <t>Pretoria</t>
        </is>
      </c>
      <c r="F385" s="27" t="n">
        <v>-25.472875</v>
      </c>
      <c r="G385" s="27" t="n">
        <v>28.076496</v>
      </c>
      <c r="H385" s="41" t="n">
        <v>42930</v>
      </c>
      <c r="I385" s="27" t="n">
        <v>50</v>
      </c>
      <c r="J385" s="27" t="inlineStr">
        <is>
          <t>Active</t>
        </is>
      </c>
    </row>
    <row r="386" ht="15" customHeight="1" s="24">
      <c r="A386" s="27" t="n">
        <v>596</v>
      </c>
      <c r="B386" s="27" t="inlineStr">
        <is>
          <t>Clicks Kimberley Mall</t>
        </is>
      </c>
      <c r="C386" s="27" t="inlineStr">
        <is>
          <t>Clicks</t>
        </is>
      </c>
      <c r="D386" s="27" t="inlineStr">
        <is>
          <t>Northern Cape</t>
        </is>
      </c>
      <c r="E386" s="27" t="inlineStr">
        <is>
          <t>Kimberley</t>
        </is>
      </c>
      <c r="F386" s="27" t="n">
        <v>-28.021023</v>
      </c>
      <c r="G386" s="27" t="n">
        <v>17.761124</v>
      </c>
      <c r="H386" s="41" t="n">
        <v>43429</v>
      </c>
      <c r="I386" s="27" t="n">
        <v>35</v>
      </c>
      <c r="J386" s="27" t="inlineStr">
        <is>
          <t>Active</t>
        </is>
      </c>
    </row>
    <row r="387" ht="15" customHeight="1" s="24">
      <c r="A387" s="27" t="n">
        <v>1999</v>
      </c>
      <c r="B387" s="27" t="inlineStr">
        <is>
          <t xml:space="preserve">Build it Durban </t>
        </is>
      </c>
      <c r="C387" s="27" t="inlineStr">
        <is>
          <t>Build it</t>
        </is>
      </c>
      <c r="D387" s="27" t="inlineStr">
        <is>
          <t>KwaZulu-Natal</t>
        </is>
      </c>
      <c r="E387" s="27" t="inlineStr">
        <is>
          <t>Durban</t>
        </is>
      </c>
      <c r="F387" s="27" t="n">
        <v>-27.50452</v>
      </c>
      <c r="G387" s="27" t="n">
        <v>29.174495</v>
      </c>
      <c r="H387" s="41" t="n">
        <v>45584</v>
      </c>
      <c r="I387" s="27" t="n">
        <v>50</v>
      </c>
      <c r="J387" s="27" t="inlineStr">
        <is>
          <t>Active</t>
        </is>
      </c>
    </row>
    <row r="388" ht="15" customHeight="1" s="24">
      <c r="A388" s="27" t="n">
        <v>3316</v>
      </c>
      <c r="B388" s="27" t="inlineStr">
        <is>
          <t xml:space="preserve">Clicks East London </t>
        </is>
      </c>
      <c r="C388" s="27" t="inlineStr">
        <is>
          <t>Clicks</t>
        </is>
      </c>
      <c r="D388" s="27" t="inlineStr">
        <is>
          <t>Eastern Cape</t>
        </is>
      </c>
      <c r="E388" s="27" t="inlineStr">
        <is>
          <t>East London</t>
        </is>
      </c>
      <c r="F388" s="27" t="n">
        <v>-30.525657</v>
      </c>
      <c r="G388" s="27" t="n">
        <v>25.362584</v>
      </c>
      <c r="H388" s="41" t="n">
        <v>43356</v>
      </c>
      <c r="I388" s="27" t="n">
        <v>120</v>
      </c>
      <c r="J388" s="27" t="inlineStr">
        <is>
          <t>Active</t>
        </is>
      </c>
    </row>
    <row r="389" ht="15" customHeight="1" s="24">
      <c r="A389" s="27" t="n">
        <v>2048</v>
      </c>
      <c r="B389" s="27" t="inlineStr">
        <is>
          <t>Clicks Pretoria Plaza</t>
        </is>
      </c>
      <c r="C389" s="27" t="inlineStr">
        <is>
          <t>Clicks</t>
        </is>
      </c>
      <c r="D389" s="27" t="inlineStr">
        <is>
          <t>Gauteng</t>
        </is>
      </c>
      <c r="E389" s="27" t="inlineStr">
        <is>
          <t>Pretoria</t>
        </is>
      </c>
      <c r="F389" s="27" t="n">
        <v>-25.697709</v>
      </c>
      <c r="G389" s="27" t="n">
        <v>28.495784</v>
      </c>
      <c r="H389" s="41" t="n">
        <v>45041</v>
      </c>
      <c r="I389" s="27" t="n">
        <v>120</v>
      </c>
      <c r="J389" s="27" t="inlineStr">
        <is>
          <t>Active</t>
        </is>
      </c>
    </row>
    <row r="390" ht="15" customHeight="1" s="24">
      <c r="A390" s="27" t="n">
        <v>1014</v>
      </c>
      <c r="B390" s="27" t="inlineStr">
        <is>
          <t>Build it Newcastle Park</t>
        </is>
      </c>
      <c r="C390" s="27" t="inlineStr">
        <is>
          <t>Build it</t>
        </is>
      </c>
      <c r="D390" s="27" t="inlineStr">
        <is>
          <t>KwaZulu-Natal</t>
        </is>
      </c>
      <c r="E390" s="27" t="inlineStr">
        <is>
          <t>Newcastle</t>
        </is>
      </c>
      <c r="F390" s="27" t="n">
        <v>-29.133306</v>
      </c>
      <c r="G390" s="27" t="n">
        <v>29.577932</v>
      </c>
      <c r="H390" s="41" t="n">
        <v>43949</v>
      </c>
      <c r="I390" s="27" t="n">
        <v>35</v>
      </c>
      <c r="J390" s="27" t="inlineStr">
        <is>
          <t>Active</t>
        </is>
      </c>
    </row>
    <row r="391" ht="15" customHeight="1" s="24">
      <c r="A391" s="27" t="n">
        <v>3492</v>
      </c>
      <c r="B391" s="27" t="inlineStr">
        <is>
          <t>PEP Pretoria Plaza</t>
        </is>
      </c>
      <c r="C391" s="27" t="inlineStr">
        <is>
          <t>PEP</t>
        </is>
      </c>
      <c r="D391" s="27" t="inlineStr">
        <is>
          <t>Gauteng</t>
        </is>
      </c>
      <c r="E391" s="27" t="inlineStr">
        <is>
          <t>Pretoria</t>
        </is>
      </c>
      <c r="F391" s="27" t="n">
        <v>-26.386192</v>
      </c>
      <c r="G391" s="27" t="n">
        <v>27.658684</v>
      </c>
      <c r="H391" s="41" t="n">
        <v>44083</v>
      </c>
      <c r="I391" s="27" t="n">
        <v>50</v>
      </c>
      <c r="J391" s="27" t="inlineStr">
        <is>
          <t>Active</t>
        </is>
      </c>
    </row>
    <row r="392" ht="15" customHeight="1" s="24">
      <c r="A392" s="27" t="n">
        <v>1141</v>
      </c>
      <c r="B392" s="27" t="inlineStr">
        <is>
          <t xml:space="preserve">PEP Uitenhage </t>
        </is>
      </c>
      <c r="C392" s="27" t="inlineStr">
        <is>
          <t>PEP</t>
        </is>
      </c>
      <c r="D392" s="27" t="inlineStr">
        <is>
          <t>Eastern Cape</t>
        </is>
      </c>
      <c r="E392" s="27" t="inlineStr">
        <is>
          <t>Uitenhage</t>
        </is>
      </c>
      <c r="F392" s="27" t="n">
        <v>-32.551354</v>
      </c>
      <c r="G392" s="27" t="n">
        <v>25.472103</v>
      </c>
      <c r="H392" s="41" t="n">
        <v>44279</v>
      </c>
      <c r="I392" s="27" t="n">
        <v>35</v>
      </c>
      <c r="J392" s="27" t="inlineStr">
        <is>
          <t>Active</t>
        </is>
      </c>
    </row>
    <row r="393" ht="15" customHeight="1" s="24">
      <c r="A393" s="27" t="n">
        <v>3112</v>
      </c>
      <c r="B393" s="27" t="inlineStr">
        <is>
          <t xml:space="preserve">Clicks Paarl </t>
        </is>
      </c>
      <c r="C393" s="27" t="inlineStr">
        <is>
          <t>Clicks</t>
        </is>
      </c>
      <c r="D393" s="27" t="inlineStr">
        <is>
          <t>Western Cape</t>
        </is>
      </c>
      <c r="E393" s="27" t="inlineStr">
        <is>
          <t>Paarl</t>
        </is>
      </c>
      <c r="F393" s="27" t="n">
        <v>-32.556827</v>
      </c>
      <c r="G393" s="27" t="n">
        <v>18.600812</v>
      </c>
      <c r="H393" s="41" t="n">
        <v>43627</v>
      </c>
      <c r="I393" s="27" t="n">
        <v>80</v>
      </c>
      <c r="J393" s="27" t="inlineStr">
        <is>
          <t>Active</t>
        </is>
      </c>
    </row>
    <row r="394" ht="15" customHeight="1" s="24">
      <c r="A394" s="27" t="n">
        <v>3677</v>
      </c>
      <c r="B394" s="27" t="inlineStr">
        <is>
          <t>Independent Spaza Soweto Mall</t>
        </is>
      </c>
      <c r="C394" s="27" t="inlineStr">
        <is>
          <t>Independent Spaza</t>
        </is>
      </c>
      <c r="D394" s="27" t="inlineStr">
        <is>
          <t>Gauteng</t>
        </is>
      </c>
      <c r="E394" s="27" t="inlineStr">
        <is>
          <t>Soweto</t>
        </is>
      </c>
      <c r="F394" s="27" t="n">
        <v>-25.825583</v>
      </c>
      <c r="G394" s="27" t="n">
        <v>27.471211</v>
      </c>
      <c r="H394" s="41" t="n">
        <v>43349</v>
      </c>
      <c r="I394" s="27" t="n">
        <v>80</v>
      </c>
      <c r="J394" s="27" t="inlineStr">
        <is>
          <t>Active</t>
        </is>
      </c>
    </row>
    <row r="395" ht="15" customHeight="1" s="24">
      <c r="A395" s="27" t="n">
        <v>146</v>
      </c>
      <c r="B395" s="27" t="inlineStr">
        <is>
          <t>Independent Spaza Springbok Mall</t>
        </is>
      </c>
      <c r="C395" s="27" t="inlineStr">
        <is>
          <t>Independent Spaza</t>
        </is>
      </c>
      <c r="D395" s="27" t="inlineStr">
        <is>
          <t>Northern Cape</t>
        </is>
      </c>
      <c r="E395" s="27" t="inlineStr">
        <is>
          <t>Springbok</t>
        </is>
      </c>
      <c r="F395" s="27" t="n">
        <v>-29.249685</v>
      </c>
      <c r="G395" s="27" t="n">
        <v>21.085689</v>
      </c>
      <c r="H395" s="41" t="n">
        <v>44859</v>
      </c>
      <c r="I395" s="27" t="n">
        <v>50</v>
      </c>
      <c r="J395" s="27" t="inlineStr">
        <is>
          <t>Active</t>
        </is>
      </c>
    </row>
    <row r="396" ht="15" customHeight="1" s="24">
      <c r="A396" s="27" t="n">
        <v>224</v>
      </c>
      <c r="B396" s="27" t="inlineStr">
        <is>
          <t>PEP Johannesburg Plaza</t>
        </is>
      </c>
      <c r="C396" s="27" t="inlineStr">
        <is>
          <t>PEP</t>
        </is>
      </c>
      <c r="D396" s="27" t="inlineStr">
        <is>
          <t>Gauteng</t>
        </is>
      </c>
      <c r="E396" s="27" t="inlineStr">
        <is>
          <t>Johannesburg</t>
        </is>
      </c>
      <c r="F396" s="27" t="n">
        <v>-25.620228</v>
      </c>
      <c r="G396" s="27" t="n">
        <v>28.036921</v>
      </c>
      <c r="H396" s="41" t="n">
        <v>45618</v>
      </c>
      <c r="I396" s="27" t="n">
        <v>20</v>
      </c>
      <c r="J396" s="27" t="inlineStr">
        <is>
          <t>Active</t>
        </is>
      </c>
    </row>
    <row r="397" ht="15" customHeight="1" s="24">
      <c r="A397" s="27" t="n">
        <v>927</v>
      </c>
      <c r="B397" s="27" t="inlineStr">
        <is>
          <t xml:space="preserve">PEP Johannesburg </t>
        </is>
      </c>
      <c r="C397" s="27" t="inlineStr">
        <is>
          <t>PEP</t>
        </is>
      </c>
      <c r="D397" s="27" t="inlineStr">
        <is>
          <t>Gauteng</t>
        </is>
      </c>
      <c r="E397" s="27" t="inlineStr">
        <is>
          <t>Johannesburg</t>
        </is>
      </c>
      <c r="F397" s="27" t="n">
        <v>-25.714472</v>
      </c>
      <c r="G397" s="27" t="n">
        <v>27.639566</v>
      </c>
      <c r="H397" s="41" t="n">
        <v>45964</v>
      </c>
      <c r="I397" s="27" t="n">
        <v>50</v>
      </c>
      <c r="J397" s="27" t="inlineStr">
        <is>
          <t>Active</t>
        </is>
      </c>
    </row>
    <row r="398" ht="15" customHeight="1" s="24">
      <c r="A398" s="27" t="n">
        <v>3425</v>
      </c>
      <c r="B398" s="27" t="inlineStr">
        <is>
          <t>Clicks Soweto Square</t>
        </is>
      </c>
      <c r="C398" s="27" t="inlineStr">
        <is>
          <t>Clicks</t>
        </is>
      </c>
      <c r="D398" s="27" t="inlineStr">
        <is>
          <t>Gauteng</t>
        </is>
      </c>
      <c r="E398" s="27" t="inlineStr">
        <is>
          <t>Soweto</t>
        </is>
      </c>
      <c r="F398" s="27" t="n">
        <v>-26.371436</v>
      </c>
      <c r="G398" s="27" t="n">
        <v>27.486241</v>
      </c>
      <c r="H398" s="41" t="n">
        <v>43043</v>
      </c>
      <c r="I398" s="27" t="n">
        <v>35</v>
      </c>
      <c r="J398" s="27" t="inlineStr">
        <is>
          <t>Active</t>
        </is>
      </c>
    </row>
    <row r="399" ht="15" customHeight="1" s="24">
      <c r="A399" s="27" t="n">
        <v>3816</v>
      </c>
      <c r="B399" s="27" t="inlineStr">
        <is>
          <t>PostNet Bethlehem Central</t>
        </is>
      </c>
      <c r="C399" s="27" t="inlineStr">
        <is>
          <t>PostNet</t>
        </is>
      </c>
      <c r="D399" s="27" t="inlineStr">
        <is>
          <t>Free State</t>
        </is>
      </c>
      <c r="E399" s="27" t="inlineStr">
        <is>
          <t>Bethlehem</t>
        </is>
      </c>
      <c r="F399" s="27" t="n">
        <v>-26.923281</v>
      </c>
      <c r="G399" s="27" t="n">
        <v>27.661839</v>
      </c>
      <c r="H399" s="41" t="n">
        <v>43740</v>
      </c>
      <c r="I399" s="27" t="n">
        <v>120</v>
      </c>
      <c r="J399" s="27" t="inlineStr">
        <is>
          <t>Active</t>
        </is>
      </c>
    </row>
    <row r="400" ht="15" customHeight="1" s="24">
      <c r="A400" s="27" t="n">
        <v>3441</v>
      </c>
      <c r="B400" s="27" t="inlineStr">
        <is>
          <t>Spar Mahikeng Plaza</t>
        </is>
      </c>
      <c r="C400" s="27" t="inlineStr">
        <is>
          <t>Spar</t>
        </is>
      </c>
      <c r="D400" s="27" t="inlineStr">
        <is>
          <t>North West</t>
        </is>
      </c>
      <c r="E400" s="27" t="inlineStr">
        <is>
          <t>Mahikeng</t>
        </is>
      </c>
      <c r="F400" s="27" t="n">
        <v>-25.25989</v>
      </c>
      <c r="G400" s="27" t="n">
        <v>24.025933</v>
      </c>
      <c r="H400" s="41" t="n">
        <v>44308</v>
      </c>
      <c r="I400" s="27" t="n">
        <v>35</v>
      </c>
      <c r="J400" s="27" t="inlineStr">
        <is>
          <t>Active</t>
        </is>
      </c>
    </row>
    <row r="401" ht="15" customHeight="1" s="24">
      <c r="A401" s="27" t="n">
        <v>2461</v>
      </c>
      <c r="B401" s="27" t="inlineStr">
        <is>
          <t xml:space="preserve">Independent Spaza Centurion </t>
        </is>
      </c>
      <c r="C401" s="27" t="inlineStr">
        <is>
          <t>Independent Spaza</t>
        </is>
      </c>
      <c r="D401" s="27" t="inlineStr">
        <is>
          <t>Gauteng</t>
        </is>
      </c>
      <c r="E401" s="27" t="inlineStr">
        <is>
          <t>Centurion</t>
        </is>
      </c>
      <c r="F401" s="27" t="n">
        <v>-25.4103</v>
      </c>
      <c r="G401" s="27" t="n">
        <v>27.468756</v>
      </c>
      <c r="H401" s="41" t="n">
        <v>44793</v>
      </c>
      <c r="I401" s="27" t="n">
        <v>80</v>
      </c>
      <c r="J401" s="27" t="inlineStr">
        <is>
          <t>Active</t>
        </is>
      </c>
    </row>
    <row r="402" ht="15" customHeight="1" s="24">
      <c r="A402" s="27" t="n">
        <v>487</v>
      </c>
      <c r="B402" s="27" t="inlineStr">
        <is>
          <t>Waltons Centurion Park</t>
        </is>
      </c>
      <c r="C402" s="27" t="inlineStr">
        <is>
          <t>Waltons</t>
        </is>
      </c>
      <c r="D402" s="27" t="inlineStr">
        <is>
          <t>Gauteng</t>
        </is>
      </c>
      <c r="E402" s="27" t="inlineStr">
        <is>
          <t>Centurion</t>
        </is>
      </c>
      <c r="F402" s="27" t="n">
        <v>-25.246829</v>
      </c>
      <c r="G402" s="27" t="n">
        <v>27.609296</v>
      </c>
      <c r="H402" s="41" t="n">
        <v>44623</v>
      </c>
      <c r="I402" s="27" t="n">
        <v>35</v>
      </c>
      <c r="J402" s="27" t="inlineStr">
        <is>
          <t>Active</t>
        </is>
      </c>
    </row>
    <row r="403" ht="15" customHeight="1" s="24">
      <c r="A403" s="27" t="n">
        <v>2906</v>
      </c>
      <c r="B403" s="27" t="inlineStr">
        <is>
          <t>Spar Umhlanga Plaza</t>
        </is>
      </c>
      <c r="C403" s="27" t="inlineStr">
        <is>
          <t>Spar</t>
        </is>
      </c>
      <c r="D403" s="27" t="inlineStr">
        <is>
          <t>KwaZulu-Natal</t>
        </is>
      </c>
      <c r="E403" s="27" t="inlineStr">
        <is>
          <t>Umhlanga</t>
        </is>
      </c>
      <c r="F403" s="27" t="n">
        <v>-28.043862</v>
      </c>
      <c r="G403" s="27" t="n">
        <v>29.277343</v>
      </c>
      <c r="H403" s="41" t="n">
        <v>44014</v>
      </c>
      <c r="I403" s="27" t="n">
        <v>35</v>
      </c>
      <c r="J403" s="27" t="inlineStr">
        <is>
          <t>Active</t>
        </is>
      </c>
    </row>
    <row r="404" ht="15" customHeight="1" s="24">
      <c r="A404" s="27" t="n">
        <v>3153</v>
      </c>
      <c r="B404" s="27" t="inlineStr">
        <is>
          <t>Clicks Pinetown Park</t>
        </is>
      </c>
      <c r="C404" s="27" t="inlineStr">
        <is>
          <t>Clicks</t>
        </is>
      </c>
      <c r="D404" s="27" t="inlineStr">
        <is>
          <t>KwaZulu-Natal</t>
        </is>
      </c>
      <c r="E404" s="27" t="inlineStr">
        <is>
          <t>Pinetown</t>
        </is>
      </c>
      <c r="F404" s="27" t="n">
        <v>-28.993841</v>
      </c>
      <c r="G404" s="27" t="n">
        <v>29.152687</v>
      </c>
      <c r="H404" s="41" t="n">
        <v>44556</v>
      </c>
      <c r="I404" s="27" t="n">
        <v>50</v>
      </c>
      <c r="J404" s="27" t="inlineStr">
        <is>
          <t>Active</t>
        </is>
      </c>
    </row>
    <row r="405" ht="15" customHeight="1" s="24">
      <c r="A405" s="27" t="n">
        <v>523</v>
      </c>
      <c r="B405" s="27" t="inlineStr">
        <is>
          <t>PEP Pietermaritzburg Plaza</t>
        </is>
      </c>
      <c r="C405" s="27" t="inlineStr">
        <is>
          <t>PEP</t>
        </is>
      </c>
      <c r="D405" s="27" t="inlineStr">
        <is>
          <t>KwaZulu-Natal</t>
        </is>
      </c>
      <c r="E405" s="27" t="inlineStr">
        <is>
          <t>Pietermaritzburg</t>
        </is>
      </c>
      <c r="F405" s="27" t="n">
        <v>-28.920553</v>
      </c>
      <c r="G405" s="27" t="n">
        <v>30.824229</v>
      </c>
      <c r="H405" s="41" t="n">
        <v>43696</v>
      </c>
      <c r="I405" s="27" t="n">
        <v>20</v>
      </c>
      <c r="J405" s="27" t="inlineStr">
        <is>
          <t>Active</t>
        </is>
      </c>
    </row>
    <row r="406" ht="15" customHeight="1" s="24">
      <c r="A406" s="27" t="n">
        <v>543</v>
      </c>
      <c r="B406" s="27" t="inlineStr">
        <is>
          <t>Waltons Mthatha Plaza</t>
        </is>
      </c>
      <c r="C406" s="27" t="inlineStr">
        <is>
          <t>Waltons</t>
        </is>
      </c>
      <c r="D406" s="27" t="inlineStr">
        <is>
          <t>Eastern Cape</t>
        </is>
      </c>
      <c r="E406" s="27" t="inlineStr">
        <is>
          <t>Mthatha</t>
        </is>
      </c>
      <c r="F406" s="27" t="n">
        <v>-32.232823</v>
      </c>
      <c r="G406" s="27" t="n">
        <v>28.176982</v>
      </c>
      <c r="H406" s="41" t="n">
        <v>43660</v>
      </c>
      <c r="I406" s="27" t="n">
        <v>50</v>
      </c>
      <c r="J406" s="27" t="inlineStr">
        <is>
          <t>Active</t>
        </is>
      </c>
    </row>
    <row r="407" ht="15" customHeight="1" s="24">
      <c r="A407" s="27" t="n">
        <v>3271</v>
      </c>
      <c r="B407" s="27" t="inlineStr">
        <is>
          <t>Independent Spaza Paarl Central</t>
        </is>
      </c>
      <c r="C407" s="27" t="inlineStr">
        <is>
          <t>Independent Spaza</t>
        </is>
      </c>
      <c r="D407" s="27" t="inlineStr">
        <is>
          <t>Western Cape</t>
        </is>
      </c>
      <c r="E407" s="27" t="inlineStr">
        <is>
          <t>Paarl</t>
        </is>
      </c>
      <c r="F407" s="27" t="n">
        <v>-32.687973</v>
      </c>
      <c r="G407" s="27" t="n">
        <v>22.409951</v>
      </c>
      <c r="H407" s="41" t="n">
        <v>43952</v>
      </c>
      <c r="I407" s="27" t="n">
        <v>120</v>
      </c>
      <c r="J407" s="27" t="inlineStr">
        <is>
          <t>Active</t>
        </is>
      </c>
    </row>
    <row r="408" ht="15" customHeight="1" s="24">
      <c r="A408" s="27" t="n">
        <v>2137</v>
      </c>
      <c r="B408" s="27" t="inlineStr">
        <is>
          <t>Clicks Kimberley Square</t>
        </is>
      </c>
      <c r="C408" s="27" t="inlineStr">
        <is>
          <t>Clicks</t>
        </is>
      </c>
      <c r="D408" s="27" t="inlineStr">
        <is>
          <t>Northern Cape</t>
        </is>
      </c>
      <c r="E408" s="27" t="inlineStr">
        <is>
          <t>Kimberley</t>
        </is>
      </c>
      <c r="F408" s="27" t="n">
        <v>-31.076993</v>
      </c>
      <c r="G408" s="27" t="n">
        <v>19.652164</v>
      </c>
      <c r="H408" s="41" t="n">
        <v>45839</v>
      </c>
      <c r="I408" s="27" t="n">
        <v>35</v>
      </c>
      <c r="J408" s="27" t="inlineStr">
        <is>
          <t>Active</t>
        </is>
      </c>
    </row>
    <row r="409" ht="15" customHeight="1" s="24">
      <c r="A409" s="27" t="n">
        <v>2577</v>
      </c>
      <c r="B409" s="27" t="inlineStr">
        <is>
          <t>PEP Mahikeng Central</t>
        </is>
      </c>
      <c r="C409" s="27" t="inlineStr">
        <is>
          <t>PEP</t>
        </is>
      </c>
      <c r="D409" s="27" t="inlineStr">
        <is>
          <t>North West</t>
        </is>
      </c>
      <c r="E409" s="27" t="inlineStr">
        <is>
          <t>Mahikeng</t>
        </is>
      </c>
      <c r="F409" s="27" t="n">
        <v>-26.749381</v>
      </c>
      <c r="G409" s="27" t="n">
        <v>24.208498</v>
      </c>
      <c r="H409" s="41" t="n">
        <v>45033</v>
      </c>
      <c r="I409" s="27" t="n">
        <v>120</v>
      </c>
      <c r="J409" s="27" t="inlineStr">
        <is>
          <t>Active</t>
        </is>
      </c>
    </row>
    <row r="410" ht="15" customHeight="1" s="24">
      <c r="A410" s="27" t="n">
        <v>1250</v>
      </c>
      <c r="B410" s="27" t="inlineStr">
        <is>
          <t>Independent Spaza Stellenbosch Mall</t>
        </is>
      </c>
      <c r="C410" s="27" t="inlineStr">
        <is>
          <t>Independent Spaza</t>
        </is>
      </c>
      <c r="D410" s="27" t="inlineStr">
        <is>
          <t>Western Cape</t>
        </is>
      </c>
      <c r="E410" s="27" t="inlineStr">
        <is>
          <t>Stellenbosch</t>
        </is>
      </c>
      <c r="F410" s="27" t="n">
        <v>-34.500267</v>
      </c>
      <c r="G410" s="27" t="n">
        <v>20.159787</v>
      </c>
      <c r="H410" s="41" t="n">
        <v>43335</v>
      </c>
      <c r="I410" s="27" t="n">
        <v>35</v>
      </c>
      <c r="J410" s="27" t="inlineStr">
        <is>
          <t>Active</t>
        </is>
      </c>
    </row>
    <row r="411" ht="15" customHeight="1" s="24">
      <c r="A411" s="27" t="n">
        <v>3342</v>
      </c>
      <c r="B411" s="27" t="inlineStr">
        <is>
          <t>Clicks Sandton Central</t>
        </is>
      </c>
      <c r="C411" s="27" t="inlineStr">
        <is>
          <t>Clicks</t>
        </is>
      </c>
      <c r="D411" s="27" t="inlineStr">
        <is>
          <t>Gauteng</t>
        </is>
      </c>
      <c r="E411" s="27" t="inlineStr">
        <is>
          <t>Sandton</t>
        </is>
      </c>
      <c r="F411" s="27" t="n">
        <v>-25.620528</v>
      </c>
      <c r="G411" s="27" t="n">
        <v>28.090753</v>
      </c>
      <c r="H411" s="41" t="n">
        <v>44354</v>
      </c>
      <c r="I411" s="27" t="n">
        <v>35</v>
      </c>
      <c r="J411" s="27" t="inlineStr">
        <is>
          <t>Active</t>
        </is>
      </c>
    </row>
    <row r="412" ht="15" customHeight="1" s="24">
      <c r="A412" s="27" t="n">
        <v>1242</v>
      </c>
      <c r="B412" s="27" t="inlineStr">
        <is>
          <t>Clicks Pietermaritzburg Mall</t>
        </is>
      </c>
      <c r="C412" s="27" t="inlineStr">
        <is>
          <t>Clicks</t>
        </is>
      </c>
      <c r="D412" s="27" t="inlineStr">
        <is>
          <t>KwaZulu-Natal</t>
        </is>
      </c>
      <c r="E412" s="27" t="inlineStr">
        <is>
          <t>Pietermaritzburg</t>
        </is>
      </c>
      <c r="F412" s="27" t="n">
        <v>-30.614835</v>
      </c>
      <c r="G412" s="27" t="n">
        <v>30.175122</v>
      </c>
      <c r="H412" s="41" t="n">
        <v>45217</v>
      </c>
      <c r="I412" s="27" t="n">
        <v>35</v>
      </c>
      <c r="J412" s="27" t="inlineStr">
        <is>
          <t>Active</t>
        </is>
      </c>
    </row>
    <row r="413" ht="15" customHeight="1" s="24">
      <c r="A413" s="27" t="n">
        <v>2205</v>
      </c>
      <c r="B413" s="27" t="inlineStr">
        <is>
          <t>Caltex Freshstop Kroonstad Plaza</t>
        </is>
      </c>
      <c r="C413" s="27" t="inlineStr">
        <is>
          <t>Caltex Freshstop</t>
        </is>
      </c>
      <c r="D413" s="27" t="inlineStr">
        <is>
          <t>Free State</t>
        </is>
      </c>
      <c r="E413" s="27" t="inlineStr">
        <is>
          <t>Kroonstad</t>
        </is>
      </c>
      <c r="F413" s="27" t="n">
        <v>-29.335254</v>
      </c>
      <c r="G413" s="27" t="n">
        <v>29.098257</v>
      </c>
      <c r="H413" s="41" t="n">
        <v>44693</v>
      </c>
      <c r="I413" s="27" t="n">
        <v>35</v>
      </c>
      <c r="J413" s="27" t="inlineStr">
        <is>
          <t>Active</t>
        </is>
      </c>
    </row>
    <row r="414" ht="15" customHeight="1" s="24">
      <c r="A414" s="27" t="n">
        <v>1453</v>
      </c>
      <c r="B414" s="27" t="inlineStr">
        <is>
          <t>Waltons Pietermaritzburg Plaza</t>
        </is>
      </c>
      <c r="C414" s="27" t="inlineStr">
        <is>
          <t>Waltons</t>
        </is>
      </c>
      <c r="D414" s="27" t="inlineStr">
        <is>
          <t>KwaZulu-Natal</t>
        </is>
      </c>
      <c r="E414" s="27" t="inlineStr">
        <is>
          <t>Pietermaritzburg</t>
        </is>
      </c>
      <c r="F414" s="27" t="n">
        <v>-29.531099</v>
      </c>
      <c r="G414" s="27" t="n">
        <v>30.518077</v>
      </c>
      <c r="H414" s="41" t="n">
        <v>45874</v>
      </c>
      <c r="I414" s="27" t="n">
        <v>20</v>
      </c>
      <c r="J414" s="27" t="inlineStr">
        <is>
          <t>Active</t>
        </is>
      </c>
    </row>
    <row r="415" ht="15" customHeight="1" s="24">
      <c r="A415" s="27" t="n">
        <v>2032</v>
      </c>
      <c r="B415" s="27" t="inlineStr">
        <is>
          <t>Caltex Freshstop Soweto Plaza</t>
        </is>
      </c>
      <c r="C415" s="27" t="inlineStr">
        <is>
          <t>Caltex Freshstop</t>
        </is>
      </c>
      <c r="D415" s="27" t="inlineStr">
        <is>
          <t>Gauteng</t>
        </is>
      </c>
      <c r="E415" s="27" t="inlineStr">
        <is>
          <t>Soweto</t>
        </is>
      </c>
      <c r="F415" s="27" t="n">
        <v>-26.451642</v>
      </c>
      <c r="G415" s="27" t="n">
        <v>27.548571</v>
      </c>
      <c r="H415" s="41" t="n">
        <v>44169</v>
      </c>
      <c r="I415" s="27" t="n">
        <v>35</v>
      </c>
      <c r="J415" s="27" t="inlineStr">
        <is>
          <t>Active</t>
        </is>
      </c>
    </row>
    <row r="416" ht="15" customHeight="1" s="24">
      <c r="A416" s="27" t="n">
        <v>3764</v>
      </c>
      <c r="B416" s="27" t="inlineStr">
        <is>
          <t>Independent Spaza Midrand Junction</t>
        </is>
      </c>
      <c r="C416" s="27" t="inlineStr">
        <is>
          <t>Independent Spaza</t>
        </is>
      </c>
      <c r="D416" s="27" t="inlineStr">
        <is>
          <t>Gauteng</t>
        </is>
      </c>
      <c r="E416" s="27" t="inlineStr">
        <is>
          <t>Midrand</t>
        </is>
      </c>
      <c r="F416" s="27" t="n">
        <v>-26.376434</v>
      </c>
      <c r="G416" s="27" t="n">
        <v>28.940664</v>
      </c>
      <c r="H416" s="41" t="n">
        <v>45040</v>
      </c>
      <c r="I416" s="27" t="n">
        <v>35</v>
      </c>
      <c r="J416" s="27" t="inlineStr">
        <is>
          <t>Active</t>
        </is>
      </c>
    </row>
    <row r="417" ht="15" customHeight="1" s="24">
      <c r="A417" s="27" t="n">
        <v>195</v>
      </c>
      <c r="B417" s="27" t="inlineStr">
        <is>
          <t>Clicks Pinetown Junction</t>
        </is>
      </c>
      <c r="C417" s="27" t="inlineStr">
        <is>
          <t>Clicks</t>
        </is>
      </c>
      <c r="D417" s="27" t="inlineStr">
        <is>
          <t>KwaZulu-Natal</t>
        </is>
      </c>
      <c r="E417" s="27" t="inlineStr">
        <is>
          <t>Pinetown</t>
        </is>
      </c>
      <c r="F417" s="27" t="n">
        <v>-28.128351</v>
      </c>
      <c r="G417" s="27" t="n">
        <v>30.030113</v>
      </c>
      <c r="H417" s="41" t="n">
        <v>44100</v>
      </c>
      <c r="I417" s="27" t="n">
        <v>80</v>
      </c>
      <c r="J417" s="27" t="inlineStr">
        <is>
          <t>Active</t>
        </is>
      </c>
    </row>
    <row r="418" ht="15" customHeight="1" s="24">
      <c r="A418" s="27" t="n">
        <v>3125</v>
      </c>
      <c r="B418" s="27" t="inlineStr">
        <is>
          <t>Clicks Pinetown Plaza</t>
        </is>
      </c>
      <c r="C418" s="27" t="inlineStr">
        <is>
          <t>Clicks</t>
        </is>
      </c>
      <c r="D418" s="27" t="inlineStr">
        <is>
          <t>KwaZulu-Natal</t>
        </is>
      </c>
      <c r="E418" s="27" t="inlineStr">
        <is>
          <t>Pinetown</t>
        </is>
      </c>
      <c r="F418" s="27" t="n">
        <v>-28.521347</v>
      </c>
      <c r="G418" s="27" t="n">
        <v>30.097606</v>
      </c>
      <c r="H418" s="41" t="n">
        <v>42565</v>
      </c>
      <c r="I418" s="27" t="n">
        <v>80</v>
      </c>
      <c r="J418" s="27" t="inlineStr">
        <is>
          <t>Active</t>
        </is>
      </c>
    </row>
    <row r="419" ht="15" customHeight="1" s="24">
      <c r="A419" s="27" t="n">
        <v>570</v>
      </c>
      <c r="B419" s="27" t="inlineStr">
        <is>
          <t>PEP Mthatha Junction</t>
        </is>
      </c>
      <c r="C419" s="27" t="inlineStr">
        <is>
          <t>PEP</t>
        </is>
      </c>
      <c r="D419" s="27" t="inlineStr">
        <is>
          <t>Eastern Cape</t>
        </is>
      </c>
      <c r="E419" s="27" t="inlineStr">
        <is>
          <t>Mthatha</t>
        </is>
      </c>
      <c r="F419" s="27" t="n">
        <v>-30.704688</v>
      </c>
      <c r="G419" s="27" t="n">
        <v>26.053109</v>
      </c>
      <c r="H419" s="41" t="n">
        <v>42753</v>
      </c>
      <c r="I419" s="27" t="n">
        <v>35</v>
      </c>
      <c r="J419" s="27" t="inlineStr">
        <is>
          <t>Active</t>
        </is>
      </c>
    </row>
    <row r="420" ht="15" customHeight="1" s="24">
      <c r="A420" s="27" t="n">
        <v>3876</v>
      </c>
      <c r="B420" s="27" t="inlineStr">
        <is>
          <t xml:space="preserve">Build it Durban </t>
        </is>
      </c>
      <c r="C420" s="27" t="inlineStr">
        <is>
          <t>Build it</t>
        </is>
      </c>
      <c r="D420" s="27" t="inlineStr">
        <is>
          <t>KwaZulu-Natal</t>
        </is>
      </c>
      <c r="E420" s="27" t="inlineStr">
        <is>
          <t>Durban</t>
        </is>
      </c>
      <c r="F420" s="27" t="n">
        <v>-27.380131</v>
      </c>
      <c r="G420" s="27" t="n">
        <v>29.470158</v>
      </c>
      <c r="H420" s="41" t="n">
        <v>44657</v>
      </c>
      <c r="I420" s="27" t="n">
        <v>35</v>
      </c>
      <c r="J420" s="27" t="inlineStr">
        <is>
          <t>Active</t>
        </is>
      </c>
    </row>
    <row r="421" ht="15" customHeight="1" s="24">
      <c r="A421" s="27" t="n">
        <v>2478</v>
      </c>
      <c r="B421" s="27" t="inlineStr">
        <is>
          <t xml:space="preserve">PostNet Pretoria </t>
        </is>
      </c>
      <c r="C421" s="27" t="inlineStr">
        <is>
          <t>PostNet</t>
        </is>
      </c>
      <c r="D421" s="27" t="inlineStr">
        <is>
          <t>Gauteng</t>
        </is>
      </c>
      <c r="E421" s="27" t="inlineStr">
        <is>
          <t>Pretoria</t>
        </is>
      </c>
      <c r="F421" s="27" t="n">
        <v>-25.257262</v>
      </c>
      <c r="G421" s="27" t="n">
        <v>28.982871</v>
      </c>
      <c r="H421" s="41" t="n">
        <v>45122</v>
      </c>
      <c r="I421" s="27" t="n">
        <v>35</v>
      </c>
      <c r="J421" s="27" t="inlineStr">
        <is>
          <t>Active</t>
        </is>
      </c>
    </row>
    <row r="422" ht="15" customHeight="1" s="24">
      <c r="A422" s="27" t="n">
        <v>3063</v>
      </c>
      <c r="B422" s="27" t="inlineStr">
        <is>
          <t>PEP Bloemfontein Mall</t>
        </is>
      </c>
      <c r="C422" s="27" t="inlineStr">
        <is>
          <t>PEP</t>
        </is>
      </c>
      <c r="D422" s="27" t="inlineStr">
        <is>
          <t>Free State</t>
        </is>
      </c>
      <c r="E422" s="27" t="inlineStr">
        <is>
          <t>Bloemfontein</t>
        </is>
      </c>
      <c r="F422" s="27" t="n">
        <v>-27.519806</v>
      </c>
      <c r="G422" s="27" t="n">
        <v>29.06956</v>
      </c>
      <c r="H422" s="41" t="n">
        <v>42607</v>
      </c>
      <c r="I422" s="27" t="n">
        <v>35</v>
      </c>
      <c r="J422" s="27" t="inlineStr">
        <is>
          <t>Active</t>
        </is>
      </c>
    </row>
    <row r="423" ht="15" customHeight="1" s="24">
      <c r="A423" s="27" t="n">
        <v>3199</v>
      </c>
      <c r="B423" s="27" t="inlineStr">
        <is>
          <t>Clicks East London Plaza</t>
        </is>
      </c>
      <c r="C423" s="27" t="inlineStr">
        <is>
          <t>Clicks</t>
        </is>
      </c>
      <c r="D423" s="27" t="inlineStr">
        <is>
          <t>Eastern Cape</t>
        </is>
      </c>
      <c r="E423" s="27" t="inlineStr">
        <is>
          <t>East London</t>
        </is>
      </c>
      <c r="F423" s="27" t="n">
        <v>-31.64634</v>
      </c>
      <c r="G423" s="27" t="n">
        <v>24.949371</v>
      </c>
      <c r="H423" s="41" t="n">
        <v>44048</v>
      </c>
      <c r="I423" s="27" t="n">
        <v>50</v>
      </c>
      <c r="J423" s="27" t="inlineStr">
        <is>
          <t>Active</t>
        </is>
      </c>
    </row>
    <row r="424" ht="15" customHeight="1" s="24">
      <c r="A424" s="27" t="n">
        <v>3719</v>
      </c>
      <c r="B424" s="27" t="inlineStr">
        <is>
          <t xml:space="preserve">Clicks Roodepoort </t>
        </is>
      </c>
      <c r="C424" s="27" t="inlineStr">
        <is>
          <t>Clicks</t>
        </is>
      </c>
      <c r="D424" s="27" t="inlineStr">
        <is>
          <t>Gauteng</t>
        </is>
      </c>
      <c r="E424" s="27" t="inlineStr">
        <is>
          <t>Roodepoort</t>
        </is>
      </c>
      <c r="F424" s="27" t="n">
        <v>-25.541935</v>
      </c>
      <c r="G424" s="27" t="n">
        <v>29.089662</v>
      </c>
      <c r="H424" s="41" t="n">
        <v>44540</v>
      </c>
      <c r="I424" s="27" t="n">
        <v>35</v>
      </c>
      <c r="J424" s="27" t="inlineStr">
        <is>
          <t>Active</t>
        </is>
      </c>
    </row>
    <row r="425" ht="15" customHeight="1" s="24">
      <c r="A425" s="27" t="n">
        <v>998</v>
      </c>
      <c r="B425" s="27" t="inlineStr">
        <is>
          <t>Build it Gqeberha Mall</t>
        </is>
      </c>
      <c r="C425" s="27" t="inlineStr">
        <is>
          <t>Build it</t>
        </is>
      </c>
      <c r="D425" s="27" t="inlineStr">
        <is>
          <t>Eastern Cape</t>
        </is>
      </c>
      <c r="E425" s="27" t="inlineStr">
        <is>
          <t>Gqeberha</t>
        </is>
      </c>
      <c r="F425" s="27" t="n">
        <v>-32.882432</v>
      </c>
      <c r="G425" s="27" t="n">
        <v>28.556782</v>
      </c>
      <c r="H425" s="41" t="n">
        <v>43997</v>
      </c>
      <c r="I425" s="27" t="n">
        <v>80</v>
      </c>
      <c r="J425" s="27" t="inlineStr">
        <is>
          <t>Active</t>
        </is>
      </c>
    </row>
    <row r="426" ht="15" customHeight="1" s="24">
      <c r="A426" s="27" t="n">
        <v>1873</v>
      </c>
      <c r="B426" s="27" t="inlineStr">
        <is>
          <t>Clicks Mokopane Park</t>
        </is>
      </c>
      <c r="C426" s="27" t="inlineStr">
        <is>
          <t>Clicks</t>
        </is>
      </c>
      <c r="D426" s="27" t="inlineStr">
        <is>
          <t>Limpopo</t>
        </is>
      </c>
      <c r="E426" s="27" t="inlineStr">
        <is>
          <t>Mokopane</t>
        </is>
      </c>
      <c r="F426" s="27" t="n">
        <v>-22.720298</v>
      </c>
      <c r="G426" s="27" t="n">
        <v>28.27856</v>
      </c>
      <c r="H426" s="41" t="n">
        <v>45627</v>
      </c>
      <c r="I426" s="27" t="n">
        <v>50</v>
      </c>
      <c r="J426" s="27" t="inlineStr">
        <is>
          <t>Active</t>
        </is>
      </c>
    </row>
    <row r="427" ht="15" customHeight="1" s="24">
      <c r="A427" s="27" t="n">
        <v>1198</v>
      </c>
      <c r="B427" s="27" t="inlineStr">
        <is>
          <t>Clicks Kimberley Square</t>
        </is>
      </c>
      <c r="C427" s="27" t="inlineStr">
        <is>
          <t>Clicks</t>
        </is>
      </c>
      <c r="D427" s="27" t="inlineStr">
        <is>
          <t>Northern Cape</t>
        </is>
      </c>
      <c r="E427" s="27" t="inlineStr">
        <is>
          <t>Kimberley</t>
        </is>
      </c>
      <c r="F427" s="27" t="n">
        <v>-29.49361</v>
      </c>
      <c r="G427" s="27" t="n">
        <v>19.092824</v>
      </c>
      <c r="H427" s="41" t="n">
        <v>42725</v>
      </c>
      <c r="I427" s="27" t="n">
        <v>35</v>
      </c>
      <c r="J427" s="27" t="inlineStr">
        <is>
          <t>Active</t>
        </is>
      </c>
    </row>
    <row r="428" ht="15" customHeight="1" s="24">
      <c r="A428" s="27" t="n">
        <v>3101</v>
      </c>
      <c r="B428" s="27" t="inlineStr">
        <is>
          <t>Caltex Freshstop Roodepoort Central</t>
        </is>
      </c>
      <c r="C428" s="27" t="inlineStr">
        <is>
          <t>Caltex Freshstop</t>
        </is>
      </c>
      <c r="D428" s="27" t="inlineStr">
        <is>
          <t>Gauteng</t>
        </is>
      </c>
      <c r="E428" s="27" t="inlineStr">
        <is>
          <t>Roodepoort</t>
        </is>
      </c>
      <c r="F428" s="27" t="n">
        <v>-26.657739</v>
      </c>
      <c r="G428" s="27" t="n">
        <v>27.933311</v>
      </c>
      <c r="H428" s="41" t="n">
        <v>45185</v>
      </c>
      <c r="I428" s="27" t="n">
        <v>80</v>
      </c>
      <c r="J428" s="27" t="inlineStr">
        <is>
          <t>Active</t>
        </is>
      </c>
    </row>
    <row r="429" ht="15" customHeight="1" s="24">
      <c r="A429" s="27" t="n">
        <v>2088</v>
      </c>
      <c r="B429" s="27" t="inlineStr">
        <is>
          <t>Caltex Freshstop Mokopane Park</t>
        </is>
      </c>
      <c r="C429" s="27" t="inlineStr">
        <is>
          <t>Caltex Freshstop</t>
        </is>
      </c>
      <c r="D429" s="27" t="inlineStr">
        <is>
          <t>Limpopo</t>
        </is>
      </c>
      <c r="E429" s="27" t="inlineStr">
        <is>
          <t>Mokopane</t>
        </is>
      </c>
      <c r="F429" s="27" t="n">
        <v>-24.584649</v>
      </c>
      <c r="G429" s="27" t="n">
        <v>27.011175</v>
      </c>
      <c r="H429" s="41" t="n">
        <v>45479</v>
      </c>
      <c r="I429" s="27" t="n">
        <v>20</v>
      </c>
      <c r="J429" s="27" t="inlineStr">
        <is>
          <t>Active</t>
        </is>
      </c>
    </row>
    <row r="430" ht="15" customHeight="1" s="24">
      <c r="A430" s="27" t="n">
        <v>2890</v>
      </c>
      <c r="B430" s="27" t="inlineStr">
        <is>
          <t>Clicks Stellenbosch Square</t>
        </is>
      </c>
      <c r="C430" s="27" t="inlineStr">
        <is>
          <t>Clicks</t>
        </is>
      </c>
      <c r="D430" s="27" t="inlineStr">
        <is>
          <t>Western Cape</t>
        </is>
      </c>
      <c r="E430" s="27" t="inlineStr">
        <is>
          <t>Stellenbosch</t>
        </is>
      </c>
      <c r="F430" s="27" t="n">
        <v>-31.758719</v>
      </c>
      <c r="G430" s="27" t="n">
        <v>19.575291</v>
      </c>
      <c r="H430" s="41" t="n">
        <v>45284</v>
      </c>
      <c r="I430" s="27" t="n">
        <v>20</v>
      </c>
      <c r="J430" s="27" t="inlineStr">
        <is>
          <t>Active</t>
        </is>
      </c>
    </row>
    <row r="431" ht="15" customHeight="1" s="24">
      <c r="A431" s="27" t="n">
        <v>2915</v>
      </c>
      <c r="B431" s="27" t="inlineStr">
        <is>
          <t>Clicks Thohoyandou Junction</t>
        </is>
      </c>
      <c r="C431" s="27" t="inlineStr">
        <is>
          <t>Clicks</t>
        </is>
      </c>
      <c r="D431" s="27" t="inlineStr">
        <is>
          <t>Limpopo</t>
        </is>
      </c>
      <c r="E431" s="27" t="inlineStr">
        <is>
          <t>Thohoyandou</t>
        </is>
      </c>
      <c r="F431" s="27" t="n">
        <v>-23.052803</v>
      </c>
      <c r="G431" s="27" t="n">
        <v>27.234332</v>
      </c>
      <c r="H431" s="41" t="n">
        <v>44820</v>
      </c>
      <c r="I431" s="27" t="n">
        <v>120</v>
      </c>
      <c r="J431" s="27" t="inlineStr">
        <is>
          <t>Active</t>
        </is>
      </c>
    </row>
    <row r="432" ht="15" customHeight="1" s="24">
      <c r="A432" s="27" t="n">
        <v>1343</v>
      </c>
      <c r="B432" s="27" t="inlineStr">
        <is>
          <t>Waltons Bellville Square</t>
        </is>
      </c>
      <c r="C432" s="27" t="inlineStr">
        <is>
          <t>Waltons</t>
        </is>
      </c>
      <c r="D432" s="27" t="inlineStr">
        <is>
          <t>Western Cape</t>
        </is>
      </c>
      <c r="E432" s="27" t="inlineStr">
        <is>
          <t>Bellville</t>
        </is>
      </c>
      <c r="F432" s="27" t="n">
        <v>-32.501676</v>
      </c>
      <c r="G432" s="27" t="n">
        <v>22.275342</v>
      </c>
      <c r="H432" s="41" t="n">
        <v>42838</v>
      </c>
      <c r="I432" s="27" t="n">
        <v>20</v>
      </c>
      <c r="J432" s="27" t="inlineStr">
        <is>
          <t>Active</t>
        </is>
      </c>
    </row>
    <row r="433" ht="15" customHeight="1" s="24">
      <c r="A433" s="27" t="n">
        <v>3969</v>
      </c>
      <c r="B433" s="27" t="inlineStr">
        <is>
          <t>Build it Pinetown Junction</t>
        </is>
      </c>
      <c r="C433" s="27" t="inlineStr">
        <is>
          <t>Build it</t>
        </is>
      </c>
      <c r="D433" s="27" t="inlineStr">
        <is>
          <t>KwaZulu-Natal</t>
        </is>
      </c>
      <c r="E433" s="27" t="inlineStr">
        <is>
          <t>Pinetown</t>
        </is>
      </c>
      <c r="F433" s="27" t="n">
        <v>-28.834857</v>
      </c>
      <c r="G433" s="27" t="n">
        <v>31.79332</v>
      </c>
      <c r="H433" s="41" t="n">
        <v>43364</v>
      </c>
      <c r="I433" s="27" t="n">
        <v>120</v>
      </c>
      <c r="J433" s="27" t="inlineStr">
        <is>
          <t>Active</t>
        </is>
      </c>
    </row>
    <row r="434" ht="15" customHeight="1" s="24">
      <c r="A434" s="27" t="n">
        <v>2329</v>
      </c>
      <c r="B434" s="27" t="inlineStr">
        <is>
          <t>Clicks Umhlanga Mall</t>
        </is>
      </c>
      <c r="C434" s="27" t="inlineStr">
        <is>
          <t>Clicks</t>
        </is>
      </c>
      <c r="D434" s="27" t="inlineStr">
        <is>
          <t>KwaZulu-Natal</t>
        </is>
      </c>
      <c r="E434" s="27" t="inlineStr">
        <is>
          <t>Umhlanga</t>
        </is>
      </c>
      <c r="F434" s="27" t="n">
        <v>-30.35822</v>
      </c>
      <c r="G434" s="27" t="n">
        <v>30.364006</v>
      </c>
      <c r="H434" s="41" t="n">
        <v>44736</v>
      </c>
      <c r="I434" s="27" t="n">
        <v>35</v>
      </c>
      <c r="J434" s="27" t="inlineStr">
        <is>
          <t>Active</t>
        </is>
      </c>
    </row>
    <row r="435" ht="15" customHeight="1" s="24">
      <c r="A435" s="27" t="n">
        <v>2917</v>
      </c>
      <c r="B435" s="27" t="inlineStr">
        <is>
          <t>Lewis Polokwane Junction</t>
        </is>
      </c>
      <c r="C435" s="27" t="inlineStr">
        <is>
          <t>Lewis</t>
        </is>
      </c>
      <c r="D435" s="27" t="inlineStr">
        <is>
          <t>Limpopo</t>
        </is>
      </c>
      <c r="E435" s="27" t="inlineStr">
        <is>
          <t>Polokwane</t>
        </is>
      </c>
      <c r="F435" s="27" t="n">
        <v>-22.857307</v>
      </c>
      <c r="G435" s="27" t="n">
        <v>29.574865</v>
      </c>
      <c r="H435" s="41" t="n">
        <v>42538</v>
      </c>
      <c r="I435" s="27" t="n">
        <v>80</v>
      </c>
      <c r="J435" s="27" t="inlineStr">
        <is>
          <t>Active</t>
        </is>
      </c>
    </row>
    <row r="436" ht="15" customHeight="1" s="24">
      <c r="A436" s="27" t="n">
        <v>3283</v>
      </c>
      <c r="B436" s="27" t="inlineStr">
        <is>
          <t>Independent Spaza Midrand Square</t>
        </is>
      </c>
      <c r="C436" s="27" t="inlineStr">
        <is>
          <t>Independent Spaza</t>
        </is>
      </c>
      <c r="D436" s="27" t="inlineStr">
        <is>
          <t>Gauteng</t>
        </is>
      </c>
      <c r="E436" s="27" t="inlineStr">
        <is>
          <t>Midrand</t>
        </is>
      </c>
      <c r="F436" s="27" t="n">
        <v>-26.541652</v>
      </c>
      <c r="G436" s="27" t="n">
        <v>28.826437</v>
      </c>
      <c r="H436" s="41" t="n">
        <v>46000</v>
      </c>
      <c r="I436" s="27" t="n">
        <v>35</v>
      </c>
      <c r="J436" s="27" t="inlineStr">
        <is>
          <t>Active</t>
        </is>
      </c>
    </row>
    <row r="437" ht="15" customHeight="1" s="24">
      <c r="A437" s="27" t="n">
        <v>1890</v>
      </c>
      <c r="B437" s="27" t="inlineStr">
        <is>
          <t>Lewis Welkom Mall</t>
        </is>
      </c>
      <c r="C437" s="27" t="inlineStr">
        <is>
          <t>Lewis</t>
        </is>
      </c>
      <c r="D437" s="27" t="inlineStr">
        <is>
          <t>Free State</t>
        </is>
      </c>
      <c r="E437" s="27" t="inlineStr">
        <is>
          <t>Welkom</t>
        </is>
      </c>
      <c r="F437" s="27" t="n">
        <v>-26.957747</v>
      </c>
      <c r="G437" s="27" t="n">
        <v>26.061545</v>
      </c>
      <c r="H437" s="41" t="n">
        <v>44087</v>
      </c>
      <c r="I437" s="27" t="n">
        <v>20</v>
      </c>
      <c r="J437" s="27" t="inlineStr">
        <is>
          <t>Active</t>
        </is>
      </c>
    </row>
    <row r="438" ht="15" customHeight="1" s="24">
      <c r="A438" s="27" t="n">
        <v>439</v>
      </c>
      <c r="B438" s="27" t="inlineStr">
        <is>
          <t xml:space="preserve">Waltons Witbank </t>
        </is>
      </c>
      <c r="C438" s="27" t="inlineStr">
        <is>
          <t>Waltons</t>
        </is>
      </c>
      <c r="D438" s="27" t="inlineStr">
        <is>
          <t>Mpumalanga</t>
        </is>
      </c>
      <c r="E438" s="27" t="inlineStr">
        <is>
          <t>Witbank</t>
        </is>
      </c>
      <c r="F438" s="27" t="n">
        <v>-25.964506</v>
      </c>
      <c r="G438" s="27" t="n">
        <v>29.058748</v>
      </c>
      <c r="H438" s="41" t="n">
        <v>44943</v>
      </c>
      <c r="I438" s="27" t="n">
        <v>80</v>
      </c>
      <c r="J438" s="27" t="inlineStr">
        <is>
          <t>Active</t>
        </is>
      </c>
    </row>
    <row r="439" ht="15" customHeight="1" s="24">
      <c r="A439" s="27" t="n">
        <v>3729</v>
      </c>
      <c r="B439" s="27" t="inlineStr">
        <is>
          <t>Waltons Cape Town Junction</t>
        </is>
      </c>
      <c r="C439" s="27" t="inlineStr">
        <is>
          <t>Waltons</t>
        </is>
      </c>
      <c r="D439" s="27" t="inlineStr">
        <is>
          <t>Western Cape</t>
        </is>
      </c>
      <c r="E439" s="27" t="inlineStr">
        <is>
          <t>Cape Town</t>
        </is>
      </c>
      <c r="F439" s="27" t="n">
        <v>-32.811664</v>
      </c>
      <c r="G439" s="27" t="n">
        <v>18.827361</v>
      </c>
      <c r="H439" s="41" t="n">
        <v>45088</v>
      </c>
      <c r="I439" s="27" t="n">
        <v>120</v>
      </c>
      <c r="J439" s="27" t="inlineStr">
        <is>
          <t>Active</t>
        </is>
      </c>
    </row>
    <row r="440" ht="15" customHeight="1" s="24">
      <c r="A440" s="27" t="n">
        <v>3257</v>
      </c>
      <c r="B440" s="27" t="inlineStr">
        <is>
          <t>Clicks Midrand Junction</t>
        </is>
      </c>
      <c r="C440" s="27" t="inlineStr">
        <is>
          <t>Clicks</t>
        </is>
      </c>
      <c r="D440" s="27" t="inlineStr">
        <is>
          <t>Gauteng</t>
        </is>
      </c>
      <c r="E440" s="27" t="inlineStr">
        <is>
          <t>Midrand</t>
        </is>
      </c>
      <c r="F440" s="27" t="n">
        <v>-25.512212</v>
      </c>
      <c r="G440" s="27" t="n">
        <v>28.628091</v>
      </c>
      <c r="H440" s="41" t="n">
        <v>44359</v>
      </c>
      <c r="I440" s="27" t="n">
        <v>50</v>
      </c>
      <c r="J440" s="27" t="inlineStr">
        <is>
          <t>Active</t>
        </is>
      </c>
    </row>
    <row r="441" ht="15" customHeight="1" s="24">
      <c r="A441" s="27" t="n">
        <v>2033</v>
      </c>
      <c r="B441" s="27" t="inlineStr">
        <is>
          <t>Clicks Middelburg Junction</t>
        </is>
      </c>
      <c r="C441" s="27" t="inlineStr">
        <is>
          <t>Clicks</t>
        </is>
      </c>
      <c r="D441" s="27" t="inlineStr">
        <is>
          <t>Mpumalanga</t>
        </is>
      </c>
      <c r="E441" s="27" t="inlineStr">
        <is>
          <t>Middelburg</t>
        </is>
      </c>
      <c r="F441" s="27" t="n">
        <v>-25.239756</v>
      </c>
      <c r="G441" s="27" t="n">
        <v>30.734419</v>
      </c>
      <c r="H441" s="41" t="n">
        <v>44857</v>
      </c>
      <c r="I441" s="27" t="n">
        <v>200</v>
      </c>
      <c r="J441" s="27" t="inlineStr">
        <is>
          <t>Active</t>
        </is>
      </c>
    </row>
    <row r="442" ht="15" customHeight="1" s="24">
      <c r="A442" s="27" t="n">
        <v>2807</v>
      </c>
      <c r="B442" s="27" t="inlineStr">
        <is>
          <t>Spar Newcastle Junction</t>
        </is>
      </c>
      <c r="C442" s="27" t="inlineStr">
        <is>
          <t>Spar</t>
        </is>
      </c>
      <c r="D442" s="27" t="inlineStr">
        <is>
          <t>KwaZulu-Natal</t>
        </is>
      </c>
      <c r="E442" s="27" t="inlineStr">
        <is>
          <t>Newcastle</t>
        </is>
      </c>
      <c r="F442" s="27" t="n">
        <v>-28.165033</v>
      </c>
      <c r="G442" s="27" t="n">
        <v>29.023867</v>
      </c>
      <c r="H442" s="41" t="n">
        <v>45126</v>
      </c>
      <c r="I442" s="27" t="n">
        <v>120</v>
      </c>
      <c r="J442" s="27" t="inlineStr">
        <is>
          <t>Active</t>
        </is>
      </c>
    </row>
    <row r="443" ht="15" customHeight="1" s="24">
      <c r="A443" s="27" t="n">
        <v>3344</v>
      </c>
      <c r="B443" s="27" t="inlineStr">
        <is>
          <t>Build it Benoni Square</t>
        </is>
      </c>
      <c r="C443" s="27" t="inlineStr">
        <is>
          <t>Build it</t>
        </is>
      </c>
      <c r="D443" s="27" t="inlineStr">
        <is>
          <t>Gauteng</t>
        </is>
      </c>
      <c r="E443" s="27" t="inlineStr">
        <is>
          <t>Benoni</t>
        </is>
      </c>
      <c r="F443" s="27" t="n">
        <v>-25.81051</v>
      </c>
      <c r="G443" s="27" t="n">
        <v>27.475186</v>
      </c>
      <c r="H443" s="41" t="n">
        <v>43873</v>
      </c>
      <c r="I443" s="27" t="n">
        <v>35</v>
      </c>
      <c r="J443" s="27" t="inlineStr">
        <is>
          <t>Active</t>
        </is>
      </c>
    </row>
    <row r="444" ht="15" customHeight="1" s="24">
      <c r="A444" s="27" t="n">
        <v>250</v>
      </c>
      <c r="B444" s="27" t="inlineStr">
        <is>
          <t xml:space="preserve">Lewis Kimberley </t>
        </is>
      </c>
      <c r="C444" s="27" t="inlineStr">
        <is>
          <t>Lewis</t>
        </is>
      </c>
      <c r="D444" s="27" t="inlineStr">
        <is>
          <t>Northern Cape</t>
        </is>
      </c>
      <c r="E444" s="27" t="inlineStr">
        <is>
          <t>Kimberley</t>
        </is>
      </c>
      <c r="F444" s="27" t="n">
        <v>-29.753174</v>
      </c>
      <c r="G444" s="27" t="n">
        <v>24.282089</v>
      </c>
      <c r="H444" s="41" t="n">
        <v>45942</v>
      </c>
      <c r="I444" s="27" t="n">
        <v>120</v>
      </c>
      <c r="J444" s="27" t="inlineStr">
        <is>
          <t>Active</t>
        </is>
      </c>
    </row>
    <row r="445" ht="15" customHeight="1" s="24">
      <c r="A445" s="27" t="n">
        <v>2902</v>
      </c>
      <c r="B445" s="27" t="inlineStr">
        <is>
          <t>Waltons Witbank Square</t>
        </is>
      </c>
      <c r="C445" s="27" t="inlineStr">
        <is>
          <t>Waltons</t>
        </is>
      </c>
      <c r="D445" s="27" t="inlineStr">
        <is>
          <t>Mpumalanga</t>
        </is>
      </c>
      <c r="E445" s="27" t="inlineStr">
        <is>
          <t>Witbank</t>
        </is>
      </c>
      <c r="F445" s="27" t="n">
        <v>-26.338832</v>
      </c>
      <c r="G445" s="27" t="n">
        <v>30.864731</v>
      </c>
      <c r="H445" s="41" t="n">
        <v>44827</v>
      </c>
      <c r="I445" s="27" t="n">
        <v>50</v>
      </c>
      <c r="J445" s="27" t="inlineStr">
        <is>
          <t>Active</t>
        </is>
      </c>
    </row>
    <row r="446" ht="15" customHeight="1" s="24">
      <c r="A446" s="27" t="n">
        <v>1744</v>
      </c>
      <c r="B446" s="27" t="inlineStr">
        <is>
          <t>Lewis Newcastle Park</t>
        </is>
      </c>
      <c r="C446" s="27" t="inlineStr">
        <is>
          <t>Lewis</t>
        </is>
      </c>
      <c r="D446" s="27" t="inlineStr">
        <is>
          <t>KwaZulu-Natal</t>
        </is>
      </c>
      <c r="E446" s="27" t="inlineStr">
        <is>
          <t>Newcastle</t>
        </is>
      </c>
      <c r="F446" s="27" t="n">
        <v>-27.354613</v>
      </c>
      <c r="G446" s="27" t="n">
        <v>30.943171</v>
      </c>
      <c r="H446" s="41" t="n">
        <v>43607</v>
      </c>
      <c r="I446" s="27" t="n">
        <v>20</v>
      </c>
      <c r="J446" s="27" t="inlineStr">
        <is>
          <t>Active</t>
        </is>
      </c>
    </row>
    <row r="447" ht="15" customHeight="1" s="24">
      <c r="A447" s="27" t="n">
        <v>558</v>
      </c>
      <c r="B447" s="27" t="inlineStr">
        <is>
          <t>Clicks Centurion Plaza</t>
        </is>
      </c>
      <c r="C447" s="27" t="inlineStr">
        <is>
          <t>Clicks</t>
        </is>
      </c>
      <c r="D447" s="27" t="inlineStr">
        <is>
          <t>Gauteng</t>
        </is>
      </c>
      <c r="E447" s="27" t="inlineStr">
        <is>
          <t>Centurion</t>
        </is>
      </c>
      <c r="F447" s="27" t="n">
        <v>-25.609998</v>
      </c>
      <c r="G447" s="27" t="n">
        <v>28.377951</v>
      </c>
      <c r="H447" s="41" t="n">
        <v>45836</v>
      </c>
      <c r="I447" s="27" t="n">
        <v>200</v>
      </c>
      <c r="J447" s="27" t="inlineStr">
        <is>
          <t>Active</t>
        </is>
      </c>
    </row>
    <row r="448" ht="15" customHeight="1" s="24">
      <c r="A448" s="27" t="n">
        <v>988</v>
      </c>
      <c r="B448" s="27" t="inlineStr">
        <is>
          <t>PEP Richards Bay Park</t>
        </is>
      </c>
      <c r="C448" s="27" t="inlineStr">
        <is>
          <t>PEP</t>
        </is>
      </c>
      <c r="D448" s="27" t="inlineStr">
        <is>
          <t>KwaZulu-Natal</t>
        </is>
      </c>
      <c r="E448" s="27" t="inlineStr">
        <is>
          <t>Richards Bay</t>
        </is>
      </c>
      <c r="F448" s="27" t="n">
        <v>-28.617863</v>
      </c>
      <c r="G448" s="27" t="n">
        <v>29.862256</v>
      </c>
      <c r="H448" s="41" t="n">
        <v>45738</v>
      </c>
      <c r="I448" s="27" t="n">
        <v>50</v>
      </c>
      <c r="J448" s="27" t="inlineStr">
        <is>
          <t>Active</t>
        </is>
      </c>
    </row>
    <row r="449" ht="15" customHeight="1" s="24">
      <c r="A449" s="27" t="n">
        <v>1614</v>
      </c>
      <c r="B449" s="27" t="inlineStr">
        <is>
          <t>Lewis Sandton Plaza</t>
        </is>
      </c>
      <c r="C449" s="27" t="inlineStr">
        <is>
          <t>Lewis</t>
        </is>
      </c>
      <c r="D449" s="27" t="inlineStr">
        <is>
          <t>Gauteng</t>
        </is>
      </c>
      <c r="E449" s="27" t="inlineStr">
        <is>
          <t>Sandton</t>
        </is>
      </c>
      <c r="F449" s="27" t="n">
        <v>-26.138033</v>
      </c>
      <c r="G449" s="27" t="n">
        <v>27.797729</v>
      </c>
      <c r="H449" s="41" t="n">
        <v>43763</v>
      </c>
      <c r="I449" s="27" t="n">
        <v>80</v>
      </c>
      <c r="J449" s="27" t="inlineStr">
        <is>
          <t>Active</t>
        </is>
      </c>
    </row>
    <row r="450" ht="15" customHeight="1" s="24">
      <c r="A450" s="27" t="n">
        <v>424</v>
      </c>
      <c r="B450" s="27" t="inlineStr">
        <is>
          <t>PEP Thohoyandou Junction</t>
        </is>
      </c>
      <c r="C450" s="27" t="inlineStr">
        <is>
          <t>PEP</t>
        </is>
      </c>
      <c r="D450" s="27" t="inlineStr">
        <is>
          <t>Limpopo</t>
        </is>
      </c>
      <c r="E450" s="27" t="inlineStr">
        <is>
          <t>Thohoyandou</t>
        </is>
      </c>
      <c r="F450" s="27" t="n">
        <v>-24.764224</v>
      </c>
      <c r="G450" s="27" t="n">
        <v>27.09209</v>
      </c>
      <c r="H450" s="41" t="n">
        <v>43832</v>
      </c>
      <c r="I450" s="27" t="n">
        <v>80</v>
      </c>
      <c r="J450" s="27" t="inlineStr">
        <is>
          <t>Active</t>
        </is>
      </c>
    </row>
    <row r="451" ht="15" customHeight="1" s="24">
      <c r="A451" s="27" t="n">
        <v>3986</v>
      </c>
      <c r="B451" s="27" t="inlineStr">
        <is>
          <t>PEP George Park</t>
        </is>
      </c>
      <c r="C451" s="27" t="inlineStr">
        <is>
          <t>PEP</t>
        </is>
      </c>
      <c r="D451" s="27" t="inlineStr">
        <is>
          <t>Western Cape</t>
        </is>
      </c>
      <c r="E451" s="27" t="inlineStr">
        <is>
          <t>George</t>
        </is>
      </c>
      <c r="F451" s="27" t="n">
        <v>-33.561649</v>
      </c>
      <c r="G451" s="27" t="n">
        <v>18.18237</v>
      </c>
      <c r="H451" s="41" t="n">
        <v>42602</v>
      </c>
      <c r="I451" s="27" t="n">
        <v>35</v>
      </c>
      <c r="J451" s="27" t="inlineStr">
        <is>
          <t>Active</t>
        </is>
      </c>
    </row>
    <row r="452" ht="15" customHeight="1" s="24">
      <c r="A452" s="27" t="n">
        <v>3466</v>
      </c>
      <c r="B452" s="27" t="inlineStr">
        <is>
          <t>PEP Klerksdorp Central</t>
        </is>
      </c>
      <c r="C452" s="27" t="inlineStr">
        <is>
          <t>PEP</t>
        </is>
      </c>
      <c r="D452" s="27" t="inlineStr">
        <is>
          <t>North West</t>
        </is>
      </c>
      <c r="E452" s="27" t="inlineStr">
        <is>
          <t>Klerksdorp</t>
        </is>
      </c>
      <c r="F452" s="27" t="n">
        <v>-26.248959</v>
      </c>
      <c r="G452" s="27" t="n">
        <v>26.560732</v>
      </c>
      <c r="H452" s="41" t="n">
        <v>44999</v>
      </c>
      <c r="I452" s="27" t="n">
        <v>50</v>
      </c>
      <c r="J452" s="27" t="inlineStr">
        <is>
          <t>Active</t>
        </is>
      </c>
    </row>
    <row r="453" ht="15" customHeight="1" s="24">
      <c r="A453" s="27" t="n">
        <v>3697</v>
      </c>
      <c r="B453" s="27" t="inlineStr">
        <is>
          <t>Independent Spaza Midrand Park</t>
        </is>
      </c>
      <c r="C453" s="27" t="inlineStr">
        <is>
          <t>Independent Spaza</t>
        </is>
      </c>
      <c r="D453" s="27" t="inlineStr">
        <is>
          <t>Gauteng</t>
        </is>
      </c>
      <c r="E453" s="27" t="inlineStr">
        <is>
          <t>Midrand</t>
        </is>
      </c>
      <c r="F453" s="27" t="n">
        <v>-25.855691</v>
      </c>
      <c r="G453" s="27" t="n">
        <v>28.494309</v>
      </c>
      <c r="H453" s="41" t="n">
        <v>42378</v>
      </c>
      <c r="I453" s="27" t="n">
        <v>35</v>
      </c>
      <c r="J453" s="27" t="inlineStr">
        <is>
          <t>Active</t>
        </is>
      </c>
    </row>
    <row r="454" ht="15" customHeight="1" s="24">
      <c r="A454" s="27" t="n">
        <v>3345</v>
      </c>
      <c r="B454" s="27" t="inlineStr">
        <is>
          <t xml:space="preserve">Clicks Soweto </t>
        </is>
      </c>
      <c r="C454" s="27" t="inlineStr">
        <is>
          <t>Clicks</t>
        </is>
      </c>
      <c r="D454" s="27" t="inlineStr">
        <is>
          <t>Gauteng</t>
        </is>
      </c>
      <c r="E454" s="27" t="inlineStr">
        <is>
          <t>Soweto</t>
        </is>
      </c>
      <c r="F454" s="27" t="n">
        <v>-25.426699</v>
      </c>
      <c r="G454" s="27" t="n">
        <v>28.499784</v>
      </c>
      <c r="H454" s="41" t="n">
        <v>43723</v>
      </c>
      <c r="I454" s="27" t="n">
        <v>50</v>
      </c>
      <c r="J454" s="27" t="inlineStr">
        <is>
          <t>Active</t>
        </is>
      </c>
    </row>
    <row r="455" ht="15" customHeight="1" s="24">
      <c r="A455" s="27" t="n">
        <v>989</v>
      </c>
      <c r="B455" s="27" t="inlineStr">
        <is>
          <t xml:space="preserve">Waltons Soweto </t>
        </is>
      </c>
      <c r="C455" s="27" t="inlineStr">
        <is>
          <t>Waltons</t>
        </is>
      </c>
      <c r="D455" s="27" t="inlineStr">
        <is>
          <t>Gauteng</t>
        </is>
      </c>
      <c r="E455" s="27" t="inlineStr">
        <is>
          <t>Soweto</t>
        </is>
      </c>
      <c r="F455" s="27" t="n">
        <v>-26.313217</v>
      </c>
      <c r="G455" s="27" t="n">
        <v>27.759555</v>
      </c>
      <c r="H455" s="41" t="n">
        <v>44057</v>
      </c>
      <c r="I455" s="27" t="n">
        <v>120</v>
      </c>
      <c r="J455" s="27" t="inlineStr">
        <is>
          <t>Active</t>
        </is>
      </c>
    </row>
    <row r="456" ht="15" customHeight="1" s="24">
      <c r="A456" s="27" t="n">
        <v>1062</v>
      </c>
      <c r="B456" s="27" t="inlineStr">
        <is>
          <t xml:space="preserve">PEP Roodepoort </t>
        </is>
      </c>
      <c r="C456" s="27" t="inlineStr">
        <is>
          <t>PEP</t>
        </is>
      </c>
      <c r="D456" s="27" t="inlineStr">
        <is>
          <t>Gauteng</t>
        </is>
      </c>
      <c r="E456" s="27" t="inlineStr">
        <is>
          <t>Roodepoort</t>
        </is>
      </c>
      <c r="F456" s="27" t="n">
        <v>-25.258849</v>
      </c>
      <c r="G456" s="27" t="n">
        <v>28.109178</v>
      </c>
      <c r="H456" s="41" t="n">
        <v>43209</v>
      </c>
      <c r="I456" s="27" t="n">
        <v>35</v>
      </c>
      <c r="J456" s="27" t="inlineStr">
        <is>
          <t>Active</t>
        </is>
      </c>
    </row>
    <row r="457" ht="15" customHeight="1" s="24">
      <c r="A457" s="27" t="n">
        <v>3159</v>
      </c>
      <c r="B457" s="27" t="inlineStr">
        <is>
          <t>Waltons Bellville Park</t>
        </is>
      </c>
      <c r="C457" s="27" t="inlineStr">
        <is>
          <t>Waltons</t>
        </is>
      </c>
      <c r="D457" s="27" t="inlineStr">
        <is>
          <t>Western Cape</t>
        </is>
      </c>
      <c r="E457" s="27" t="inlineStr">
        <is>
          <t>Bellville</t>
        </is>
      </c>
      <c r="F457" s="27" t="n">
        <v>-33.565637</v>
      </c>
      <c r="G457" s="27" t="n">
        <v>18.80206</v>
      </c>
      <c r="H457" s="41" t="n">
        <v>44828</v>
      </c>
      <c r="I457" s="27" t="n">
        <v>50</v>
      </c>
      <c r="J457" s="27" t="inlineStr">
        <is>
          <t>Active</t>
        </is>
      </c>
    </row>
    <row r="458" ht="15" customHeight="1" s="24">
      <c r="A458" s="27" t="n">
        <v>3594</v>
      </c>
      <c r="B458" s="27" t="inlineStr">
        <is>
          <t>Caltex Freshstop Bellville Park</t>
        </is>
      </c>
      <c r="C458" s="27" t="inlineStr">
        <is>
          <t>Caltex Freshstop</t>
        </is>
      </c>
      <c r="D458" s="27" t="inlineStr">
        <is>
          <t>Western Cape</t>
        </is>
      </c>
      <c r="E458" s="27" t="inlineStr">
        <is>
          <t>Bellville</t>
        </is>
      </c>
      <c r="F458" s="27" t="n">
        <v>-32.870303</v>
      </c>
      <c r="G458" s="27" t="n">
        <v>22.629012</v>
      </c>
      <c r="H458" s="41" t="n">
        <v>44711</v>
      </c>
      <c r="I458" s="27" t="n">
        <v>20</v>
      </c>
      <c r="J458" s="27" t="inlineStr">
        <is>
          <t>Active</t>
        </is>
      </c>
    </row>
    <row r="459" ht="15" customHeight="1" s="24">
      <c r="A459" s="27" t="n">
        <v>2955</v>
      </c>
      <c r="B459" s="27" t="inlineStr">
        <is>
          <t>Waltons Newcastle Junction</t>
        </is>
      </c>
      <c r="C459" s="27" t="inlineStr">
        <is>
          <t>Waltons</t>
        </is>
      </c>
      <c r="D459" s="27" t="inlineStr">
        <is>
          <t>KwaZulu-Natal</t>
        </is>
      </c>
      <c r="E459" s="27" t="inlineStr">
        <is>
          <t>Newcastle</t>
        </is>
      </c>
      <c r="F459" s="27" t="n">
        <v>-29.960519</v>
      </c>
      <c r="G459" s="27" t="n">
        <v>29.660506</v>
      </c>
      <c r="H459" s="41" t="n">
        <v>45556</v>
      </c>
      <c r="I459" s="27" t="n">
        <v>80</v>
      </c>
      <c r="J459" s="27" t="inlineStr">
        <is>
          <t>Active</t>
        </is>
      </c>
    </row>
    <row r="460" ht="15" customHeight="1" s="24">
      <c r="A460" s="27" t="n">
        <v>2901</v>
      </c>
      <c r="B460" s="27" t="inlineStr">
        <is>
          <t>Spar Bethlehem Plaza</t>
        </is>
      </c>
      <c r="C460" s="27" t="inlineStr">
        <is>
          <t>Spar</t>
        </is>
      </c>
      <c r="D460" s="27" t="inlineStr">
        <is>
          <t>Free State</t>
        </is>
      </c>
      <c r="E460" s="27" t="inlineStr">
        <is>
          <t>Bethlehem</t>
        </is>
      </c>
      <c r="F460" s="27" t="n">
        <v>-29.171312</v>
      </c>
      <c r="G460" s="27" t="n">
        <v>27.674041</v>
      </c>
      <c r="H460" s="41" t="n">
        <v>42496</v>
      </c>
      <c r="I460" s="27" t="n">
        <v>35</v>
      </c>
      <c r="J460" s="27" t="inlineStr">
        <is>
          <t>Active</t>
        </is>
      </c>
    </row>
    <row r="461" ht="15" customHeight="1" s="24">
      <c r="A461" s="27" t="n">
        <v>802</v>
      </c>
      <c r="B461" s="27" t="inlineStr">
        <is>
          <t>Clicks Uitenhage Plaza</t>
        </is>
      </c>
      <c r="C461" s="27" t="inlineStr">
        <is>
          <t>Clicks</t>
        </is>
      </c>
      <c r="D461" s="27" t="inlineStr">
        <is>
          <t>Eastern Cape</t>
        </is>
      </c>
      <c r="E461" s="27" t="inlineStr">
        <is>
          <t>Uitenhage</t>
        </is>
      </c>
      <c r="F461" s="27" t="n">
        <v>-32.036356</v>
      </c>
      <c r="G461" s="27" t="n">
        <v>24.175919</v>
      </c>
      <c r="H461" s="41" t="n">
        <v>43696</v>
      </c>
      <c r="I461" s="27" t="n">
        <v>80</v>
      </c>
      <c r="J461" s="27" t="inlineStr">
        <is>
          <t>Active</t>
        </is>
      </c>
    </row>
    <row r="462" ht="15" customHeight="1" s="24">
      <c r="A462" s="27" t="n">
        <v>1145</v>
      </c>
      <c r="B462" s="27" t="inlineStr">
        <is>
          <t>PostNet Newcastle Square</t>
        </is>
      </c>
      <c r="C462" s="27" t="inlineStr">
        <is>
          <t>PostNet</t>
        </is>
      </c>
      <c r="D462" s="27" t="inlineStr">
        <is>
          <t>KwaZulu-Natal</t>
        </is>
      </c>
      <c r="E462" s="27" t="inlineStr">
        <is>
          <t>Newcastle</t>
        </is>
      </c>
      <c r="F462" s="27" t="n">
        <v>-30.435232</v>
      </c>
      <c r="G462" s="27" t="n">
        <v>30.199725</v>
      </c>
      <c r="H462" s="41" t="n">
        <v>45213</v>
      </c>
      <c r="I462" s="27" t="n">
        <v>20</v>
      </c>
      <c r="J462" s="27" t="inlineStr">
        <is>
          <t>Active</t>
        </is>
      </c>
    </row>
    <row r="463" ht="15" customHeight="1" s="24">
      <c r="A463" s="27" t="n">
        <v>1065</v>
      </c>
      <c r="B463" s="27" t="inlineStr">
        <is>
          <t>Spar Sandton Square</t>
        </is>
      </c>
      <c r="C463" s="27" t="inlineStr">
        <is>
          <t>Spar</t>
        </is>
      </c>
      <c r="D463" s="27" t="inlineStr">
        <is>
          <t>Gauteng</t>
        </is>
      </c>
      <c r="E463" s="27" t="inlineStr">
        <is>
          <t>Sandton</t>
        </is>
      </c>
      <c r="F463" s="27" t="n">
        <v>-25.471654</v>
      </c>
      <c r="G463" s="27" t="n">
        <v>27.881004</v>
      </c>
      <c r="H463" s="41" t="n">
        <v>45836</v>
      </c>
      <c r="I463" s="27" t="n">
        <v>35</v>
      </c>
      <c r="J463" s="27" t="inlineStr">
        <is>
          <t>Active</t>
        </is>
      </c>
    </row>
    <row r="464" ht="15" customHeight="1" s="24">
      <c r="A464" s="27" t="n">
        <v>1551</v>
      </c>
      <c r="B464" s="27" t="inlineStr">
        <is>
          <t>PEP Klerksdorp Plaza</t>
        </is>
      </c>
      <c r="C464" s="27" t="inlineStr">
        <is>
          <t>PEP</t>
        </is>
      </c>
      <c r="D464" s="27" t="inlineStr">
        <is>
          <t>North West</t>
        </is>
      </c>
      <c r="E464" s="27" t="inlineStr">
        <is>
          <t>Klerksdorp</t>
        </is>
      </c>
      <c r="F464" s="27" t="n">
        <v>-26.594092</v>
      </c>
      <c r="G464" s="27" t="n">
        <v>24.802847</v>
      </c>
      <c r="H464" s="41" t="n">
        <v>43873</v>
      </c>
      <c r="I464" s="27" t="n">
        <v>50</v>
      </c>
      <c r="J464" s="27" t="inlineStr">
        <is>
          <t>Active</t>
        </is>
      </c>
    </row>
    <row r="465" ht="15" customHeight="1" s="24">
      <c r="A465" s="27" t="n">
        <v>1655</v>
      </c>
      <c r="B465" s="27" t="inlineStr">
        <is>
          <t>PEP Somerset West Plaza</t>
        </is>
      </c>
      <c r="C465" s="27" t="inlineStr">
        <is>
          <t>PEP</t>
        </is>
      </c>
      <c r="D465" s="27" t="inlineStr">
        <is>
          <t>Western Cape</t>
        </is>
      </c>
      <c r="E465" s="27" t="inlineStr">
        <is>
          <t>Somerset West</t>
        </is>
      </c>
      <c r="F465" s="27" t="n">
        <v>-31.610582</v>
      </c>
      <c r="G465" s="27" t="n">
        <v>18.56891</v>
      </c>
      <c r="H465" s="41" t="n">
        <v>45460</v>
      </c>
      <c r="I465" s="27" t="n">
        <v>80</v>
      </c>
      <c r="J465" s="27" t="inlineStr">
        <is>
          <t>Active</t>
        </is>
      </c>
    </row>
    <row r="466" ht="15" customHeight="1" s="24">
      <c r="A466" s="27" t="n">
        <v>3958</v>
      </c>
      <c r="B466" s="27" t="inlineStr">
        <is>
          <t>Caltex Freshstop Bloemfontein Square</t>
        </is>
      </c>
      <c r="C466" s="27" t="inlineStr">
        <is>
          <t>Caltex Freshstop</t>
        </is>
      </c>
      <c r="D466" s="27" t="inlineStr">
        <is>
          <t>Free State</t>
        </is>
      </c>
      <c r="E466" s="27" t="inlineStr">
        <is>
          <t>Bloemfontein</t>
        </is>
      </c>
      <c r="F466" s="27" t="n">
        <v>-28.745525</v>
      </c>
      <c r="G466" s="27" t="n">
        <v>27.339606</v>
      </c>
      <c r="H466" s="41" t="n">
        <v>44004</v>
      </c>
      <c r="I466" s="27" t="n">
        <v>200</v>
      </c>
      <c r="J466" s="27" t="inlineStr">
        <is>
          <t>Active</t>
        </is>
      </c>
    </row>
    <row r="467" ht="15" customHeight="1" s="24">
      <c r="A467" s="27" t="n">
        <v>382</v>
      </c>
      <c r="B467" s="27" t="inlineStr">
        <is>
          <t>Build it Durban Park</t>
        </is>
      </c>
      <c r="C467" s="27" t="inlineStr">
        <is>
          <t>Build it</t>
        </is>
      </c>
      <c r="D467" s="27" t="inlineStr">
        <is>
          <t>KwaZulu-Natal</t>
        </is>
      </c>
      <c r="E467" s="27" t="inlineStr">
        <is>
          <t>Durban</t>
        </is>
      </c>
      <c r="F467" s="27" t="n">
        <v>-29.642828</v>
      </c>
      <c r="G467" s="27" t="n">
        <v>31.255043</v>
      </c>
      <c r="H467" s="41" t="n">
        <v>44823</v>
      </c>
      <c r="I467" s="27" t="n">
        <v>120</v>
      </c>
      <c r="J467" s="27" t="inlineStr">
        <is>
          <t>Active</t>
        </is>
      </c>
    </row>
    <row r="468" ht="15" customHeight="1" s="24">
      <c r="A468" s="27" t="n">
        <v>783</v>
      </c>
      <c r="B468" s="27" t="inlineStr">
        <is>
          <t>Spar Mahikeng Park</t>
        </is>
      </c>
      <c r="C468" s="27" t="inlineStr">
        <is>
          <t>Spar</t>
        </is>
      </c>
      <c r="D468" s="27" t="inlineStr">
        <is>
          <t>North West</t>
        </is>
      </c>
      <c r="E468" s="27" t="inlineStr">
        <is>
          <t>Mahikeng</t>
        </is>
      </c>
      <c r="F468" s="27" t="n">
        <v>-26.835534</v>
      </c>
      <c r="G468" s="27" t="n">
        <v>27.240868</v>
      </c>
      <c r="H468" s="41" t="n">
        <v>44247</v>
      </c>
      <c r="I468" s="27" t="n">
        <v>35</v>
      </c>
      <c r="J468" s="27" t="inlineStr">
        <is>
          <t>Active</t>
        </is>
      </c>
    </row>
    <row r="469" ht="15" customHeight="1" s="24">
      <c r="A469" s="27" t="n">
        <v>1070</v>
      </c>
      <c r="B469" s="27" t="inlineStr">
        <is>
          <t>PEP Midrand Park</t>
        </is>
      </c>
      <c r="C469" s="27" t="inlineStr">
        <is>
          <t>PEP</t>
        </is>
      </c>
      <c r="D469" s="27" t="inlineStr">
        <is>
          <t>Gauteng</t>
        </is>
      </c>
      <c r="E469" s="27" t="inlineStr">
        <is>
          <t>Midrand</t>
        </is>
      </c>
      <c r="F469" s="27" t="n">
        <v>-26.384551</v>
      </c>
      <c r="G469" s="27" t="n">
        <v>28.481261</v>
      </c>
      <c r="H469" s="41" t="n">
        <v>44596</v>
      </c>
      <c r="I469" s="27" t="n">
        <v>50</v>
      </c>
      <c r="J469" s="27" t="inlineStr">
        <is>
          <t>Active</t>
        </is>
      </c>
    </row>
    <row r="470" ht="15" customHeight="1" s="24">
      <c r="A470" s="27" t="n">
        <v>2046</v>
      </c>
      <c r="B470" s="27" t="inlineStr">
        <is>
          <t>PEP Gqeberha Junction</t>
        </is>
      </c>
      <c r="C470" s="27" t="inlineStr">
        <is>
          <t>PEP</t>
        </is>
      </c>
      <c r="D470" s="27" t="inlineStr">
        <is>
          <t>Eastern Cape</t>
        </is>
      </c>
      <c r="E470" s="27" t="inlineStr">
        <is>
          <t>Gqeberha</t>
        </is>
      </c>
      <c r="F470" s="27" t="n">
        <v>-33.519877</v>
      </c>
      <c r="G470" s="27" t="n">
        <v>25.347276</v>
      </c>
      <c r="H470" s="41" t="n">
        <v>45169</v>
      </c>
      <c r="I470" s="27" t="n">
        <v>20</v>
      </c>
      <c r="J470" s="27" t="inlineStr">
        <is>
          <t>Active</t>
        </is>
      </c>
    </row>
    <row r="471" ht="15" customHeight="1" s="24">
      <c r="A471" s="27" t="n">
        <v>3636</v>
      </c>
      <c r="B471" s="27" t="inlineStr">
        <is>
          <t>Build it East London Plaza</t>
        </is>
      </c>
      <c r="C471" s="27" t="inlineStr">
        <is>
          <t>Build it</t>
        </is>
      </c>
      <c r="D471" s="27" t="inlineStr">
        <is>
          <t>Eastern Cape</t>
        </is>
      </c>
      <c r="E471" s="27" t="inlineStr">
        <is>
          <t>East London</t>
        </is>
      </c>
      <c r="F471" s="27" t="n">
        <v>-32.955035</v>
      </c>
      <c r="G471" s="27" t="n">
        <v>29.134465</v>
      </c>
      <c r="H471" s="41" t="n">
        <v>43815</v>
      </c>
      <c r="I471" s="27" t="n">
        <v>20</v>
      </c>
      <c r="J471" s="27" t="inlineStr">
        <is>
          <t>Active</t>
        </is>
      </c>
    </row>
    <row r="472" ht="15" customHeight="1" s="24">
      <c r="A472" s="27" t="n">
        <v>3044</v>
      </c>
      <c r="B472" s="27" t="inlineStr">
        <is>
          <t>PostNet Mthatha Park</t>
        </is>
      </c>
      <c r="C472" s="27" t="inlineStr">
        <is>
          <t>PostNet</t>
        </is>
      </c>
      <c r="D472" s="27" t="inlineStr">
        <is>
          <t>Eastern Cape</t>
        </is>
      </c>
      <c r="E472" s="27" t="inlineStr">
        <is>
          <t>Mthatha</t>
        </is>
      </c>
      <c r="F472" s="27" t="n">
        <v>-30.81373</v>
      </c>
      <c r="G472" s="27" t="n">
        <v>28.412023</v>
      </c>
      <c r="H472" s="41" t="n">
        <v>42573</v>
      </c>
      <c r="I472" s="27" t="n">
        <v>20</v>
      </c>
      <c r="J472" s="27" t="inlineStr">
        <is>
          <t>Active</t>
        </is>
      </c>
    </row>
    <row r="473" ht="15" customHeight="1" s="24">
      <c r="A473" s="27" t="n">
        <v>3955</v>
      </c>
      <c r="B473" s="27" t="inlineStr">
        <is>
          <t>Build it Newcastle Mall</t>
        </is>
      </c>
      <c r="C473" s="27" t="inlineStr">
        <is>
          <t>Build it</t>
        </is>
      </c>
      <c r="D473" s="27" t="inlineStr">
        <is>
          <t>KwaZulu-Natal</t>
        </is>
      </c>
      <c r="E473" s="27" t="inlineStr">
        <is>
          <t>Newcastle</t>
        </is>
      </c>
      <c r="F473" s="27" t="n">
        <v>-27.828968</v>
      </c>
      <c r="G473" s="27" t="n">
        <v>30.682789</v>
      </c>
      <c r="H473" s="41" t="n">
        <v>42431</v>
      </c>
      <c r="I473" s="27" t="n">
        <v>80</v>
      </c>
      <c r="J473" s="27" t="inlineStr">
        <is>
          <t>Active</t>
        </is>
      </c>
    </row>
    <row r="474" ht="15" customHeight="1" s="24">
      <c r="A474" s="27" t="n">
        <v>1370</v>
      </c>
      <c r="B474" s="27" t="inlineStr">
        <is>
          <t>PEP Richards Bay Park</t>
        </is>
      </c>
      <c r="C474" s="27" t="inlineStr">
        <is>
          <t>PEP</t>
        </is>
      </c>
      <c r="D474" s="27" t="inlineStr">
        <is>
          <t>KwaZulu-Natal</t>
        </is>
      </c>
      <c r="E474" s="27" t="inlineStr">
        <is>
          <t>Richards Bay</t>
        </is>
      </c>
      <c r="F474" s="27" t="n">
        <v>-28.745154</v>
      </c>
      <c r="G474" s="27" t="n">
        <v>31.989637</v>
      </c>
      <c r="H474" s="41" t="n">
        <v>43896</v>
      </c>
      <c r="I474" s="27" t="n">
        <v>50</v>
      </c>
      <c r="J474" s="27" t="inlineStr">
        <is>
          <t>Active</t>
        </is>
      </c>
    </row>
    <row r="475" ht="15" customHeight="1" s="24">
      <c r="A475" s="27" t="n">
        <v>413</v>
      </c>
      <c r="B475" s="27" t="inlineStr">
        <is>
          <t>PEP Stellenbosch Park</t>
        </is>
      </c>
      <c r="C475" s="27" t="inlineStr">
        <is>
          <t>PEP</t>
        </is>
      </c>
      <c r="D475" s="27" t="inlineStr">
        <is>
          <t>Western Cape</t>
        </is>
      </c>
      <c r="E475" s="27" t="inlineStr">
        <is>
          <t>Stellenbosch</t>
        </is>
      </c>
      <c r="F475" s="27" t="n">
        <v>-34.107175</v>
      </c>
      <c r="G475" s="27" t="n">
        <v>22.372498</v>
      </c>
      <c r="H475" s="41" t="n">
        <v>44609</v>
      </c>
      <c r="I475" s="27" t="n">
        <v>80</v>
      </c>
      <c r="J475" s="27" t="inlineStr">
        <is>
          <t>Active</t>
        </is>
      </c>
    </row>
    <row r="476" ht="15" customHeight="1" s="24">
      <c r="A476" s="27" t="n">
        <v>320</v>
      </c>
      <c r="B476" s="27" t="inlineStr">
        <is>
          <t>Independent Spaza George Junction</t>
        </is>
      </c>
      <c r="C476" s="27" t="inlineStr">
        <is>
          <t>Independent Spaza</t>
        </is>
      </c>
      <c r="D476" s="27" t="inlineStr">
        <is>
          <t>Western Cape</t>
        </is>
      </c>
      <c r="E476" s="27" t="inlineStr">
        <is>
          <t>George</t>
        </is>
      </c>
      <c r="F476" s="27" t="n">
        <v>-32.823389</v>
      </c>
      <c r="G476" s="27" t="n">
        <v>22.102926</v>
      </c>
      <c r="H476" s="41" t="n">
        <v>44565</v>
      </c>
      <c r="I476" s="27" t="n">
        <v>50</v>
      </c>
      <c r="J476" s="27" t="inlineStr">
        <is>
          <t>Active</t>
        </is>
      </c>
    </row>
    <row r="477" ht="15" customHeight="1" s="24">
      <c r="A477" s="27" t="n">
        <v>3369</v>
      </c>
      <c r="B477" s="27" t="inlineStr">
        <is>
          <t>Lewis Mthatha Mall</t>
        </is>
      </c>
      <c r="C477" s="27" t="inlineStr">
        <is>
          <t>Lewis</t>
        </is>
      </c>
      <c r="D477" s="27" t="inlineStr">
        <is>
          <t>Eastern Cape</t>
        </is>
      </c>
      <c r="E477" s="27" t="inlineStr">
        <is>
          <t>Mthatha</t>
        </is>
      </c>
      <c r="F477" s="27" t="n">
        <v>-31.069204</v>
      </c>
      <c r="G477" s="27" t="n">
        <v>26.674074</v>
      </c>
      <c r="H477" s="41" t="n">
        <v>45463</v>
      </c>
      <c r="I477" s="27" t="n">
        <v>80</v>
      </c>
      <c r="J477" s="27" t="inlineStr">
        <is>
          <t>Active</t>
        </is>
      </c>
    </row>
    <row r="478" ht="15" customHeight="1" s="24">
      <c r="A478" s="27" t="n">
        <v>817</v>
      </c>
      <c r="B478" s="27" t="inlineStr">
        <is>
          <t>Caltex Freshstop Pietermaritzburg Central</t>
        </is>
      </c>
      <c r="C478" s="27" t="inlineStr">
        <is>
          <t>Caltex Freshstop</t>
        </is>
      </c>
      <c r="D478" s="27" t="inlineStr">
        <is>
          <t>KwaZulu-Natal</t>
        </is>
      </c>
      <c r="E478" s="27" t="inlineStr">
        <is>
          <t>Pietermaritzburg</t>
        </is>
      </c>
      <c r="F478" s="27" t="n">
        <v>-30.681391</v>
      </c>
      <c r="G478" s="27" t="n">
        <v>30.924191</v>
      </c>
      <c r="H478" s="41" t="n">
        <v>42646</v>
      </c>
      <c r="I478" s="27" t="n">
        <v>20</v>
      </c>
      <c r="J478" s="27" t="inlineStr">
        <is>
          <t>Active</t>
        </is>
      </c>
    </row>
    <row r="479" ht="15" customHeight="1" s="24">
      <c r="A479" s="27" t="n">
        <v>3335</v>
      </c>
      <c r="B479" s="27" t="inlineStr">
        <is>
          <t>PEP Durban Junction</t>
        </is>
      </c>
      <c r="C479" s="27" t="inlineStr">
        <is>
          <t>PEP</t>
        </is>
      </c>
      <c r="D479" s="27" t="inlineStr">
        <is>
          <t>KwaZulu-Natal</t>
        </is>
      </c>
      <c r="E479" s="27" t="inlineStr">
        <is>
          <t>Durban</t>
        </is>
      </c>
      <c r="F479" s="27" t="n">
        <v>-29.750429</v>
      </c>
      <c r="G479" s="27" t="n">
        <v>31.683957</v>
      </c>
      <c r="H479" s="41" t="n">
        <v>44641</v>
      </c>
      <c r="I479" s="27" t="n">
        <v>50</v>
      </c>
      <c r="J479" s="27" t="inlineStr">
        <is>
          <t>Active</t>
        </is>
      </c>
    </row>
    <row r="480" ht="15" customHeight="1" s="24">
      <c r="A480" s="27" t="n">
        <v>2111</v>
      </c>
      <c r="B480" s="27" t="inlineStr">
        <is>
          <t>Spar Mokopane Plaza</t>
        </is>
      </c>
      <c r="C480" s="27" t="inlineStr">
        <is>
          <t>Spar</t>
        </is>
      </c>
      <c r="D480" s="27" t="inlineStr">
        <is>
          <t>Limpopo</t>
        </is>
      </c>
      <c r="E480" s="27" t="inlineStr">
        <is>
          <t>Mokopane</t>
        </is>
      </c>
      <c r="F480" s="27" t="n">
        <v>-23.208874</v>
      </c>
      <c r="G480" s="27" t="n">
        <v>29.07196</v>
      </c>
      <c r="H480" s="41" t="n">
        <v>43948</v>
      </c>
      <c r="I480" s="27" t="n">
        <v>80</v>
      </c>
      <c r="J480" s="27" t="inlineStr">
        <is>
          <t>Active</t>
        </is>
      </c>
    </row>
    <row r="481" ht="15" customHeight="1" s="24">
      <c r="A481" s="27" t="n">
        <v>2794</v>
      </c>
      <c r="B481" s="27" t="inlineStr">
        <is>
          <t>Clicks Mahikeng Park</t>
        </is>
      </c>
      <c r="C481" s="27" t="inlineStr">
        <is>
          <t>Clicks</t>
        </is>
      </c>
      <c r="D481" s="27" t="inlineStr">
        <is>
          <t>North West</t>
        </is>
      </c>
      <c r="E481" s="27" t="inlineStr">
        <is>
          <t>Mahikeng</t>
        </is>
      </c>
      <c r="F481" s="27" t="n">
        <v>-25.316181</v>
      </c>
      <c r="G481" s="27" t="n">
        <v>26.064745</v>
      </c>
      <c r="H481" s="41" t="n">
        <v>43608</v>
      </c>
      <c r="I481" s="27" t="n">
        <v>20</v>
      </c>
      <c r="J481" s="27" t="inlineStr">
        <is>
          <t>Active</t>
        </is>
      </c>
    </row>
    <row r="482" ht="15" customHeight="1" s="24">
      <c r="A482" s="27" t="n">
        <v>2288</v>
      </c>
      <c r="B482" s="27" t="inlineStr">
        <is>
          <t>Caltex Freshstop Mokopane Square</t>
        </is>
      </c>
      <c r="C482" s="27" t="inlineStr">
        <is>
          <t>Caltex Freshstop</t>
        </is>
      </c>
      <c r="D482" s="27" t="inlineStr">
        <is>
          <t>Limpopo</t>
        </is>
      </c>
      <c r="E482" s="27" t="inlineStr">
        <is>
          <t>Mokopane</t>
        </is>
      </c>
      <c r="F482" s="27" t="n">
        <v>-24.663312</v>
      </c>
      <c r="G482" s="27" t="n">
        <v>28.963864</v>
      </c>
      <c r="H482" s="41" t="n">
        <v>44188</v>
      </c>
      <c r="I482" s="27" t="n">
        <v>80</v>
      </c>
      <c r="J482" s="27" t="inlineStr">
        <is>
          <t>Active</t>
        </is>
      </c>
    </row>
    <row r="483" ht="15" customHeight="1" s="24">
      <c r="A483" s="27" t="n">
        <v>1593</v>
      </c>
      <c r="B483" s="27" t="inlineStr">
        <is>
          <t>Independent Spaza Mahikeng Central</t>
        </is>
      </c>
      <c r="C483" s="27" t="inlineStr">
        <is>
          <t>Independent Spaza</t>
        </is>
      </c>
      <c r="D483" s="27" t="inlineStr">
        <is>
          <t>North West</t>
        </is>
      </c>
      <c r="E483" s="27" t="inlineStr">
        <is>
          <t>Mahikeng</t>
        </is>
      </c>
      <c r="F483" s="27" t="n">
        <v>-26.740561</v>
      </c>
      <c r="G483" s="27" t="n">
        <v>26.131011</v>
      </c>
      <c r="H483" s="41" t="n">
        <v>45197</v>
      </c>
      <c r="I483" s="27" t="n">
        <v>35</v>
      </c>
      <c r="J483" s="27" t="inlineStr">
        <is>
          <t>Active</t>
        </is>
      </c>
    </row>
    <row r="484" ht="15" customHeight="1" s="24">
      <c r="A484" s="27" t="n">
        <v>1824</v>
      </c>
      <c r="B484" s="27" t="inlineStr">
        <is>
          <t>Clicks Mbombela Central</t>
        </is>
      </c>
      <c r="C484" s="27" t="inlineStr">
        <is>
          <t>Clicks</t>
        </is>
      </c>
      <c r="D484" s="27" t="inlineStr">
        <is>
          <t>Mpumalanga</t>
        </is>
      </c>
      <c r="E484" s="27" t="inlineStr">
        <is>
          <t>Mbombela</t>
        </is>
      </c>
      <c r="F484" s="27" t="n">
        <v>-24.815836</v>
      </c>
      <c r="G484" s="27" t="n">
        <v>30.485944</v>
      </c>
      <c r="H484" s="41" t="n">
        <v>43391</v>
      </c>
      <c r="I484" s="27" t="n">
        <v>50</v>
      </c>
      <c r="J484" s="27" t="inlineStr">
        <is>
          <t>Active</t>
        </is>
      </c>
    </row>
    <row r="485" ht="15" customHeight="1" s="24">
      <c r="A485" s="27" t="n">
        <v>2943</v>
      </c>
      <c r="B485" s="27" t="inlineStr">
        <is>
          <t>Caltex Freshstop Midrand Central</t>
        </is>
      </c>
      <c r="C485" s="27" t="inlineStr">
        <is>
          <t>Caltex Freshstop</t>
        </is>
      </c>
      <c r="D485" s="27" t="inlineStr">
        <is>
          <t>Gauteng</t>
        </is>
      </c>
      <c r="E485" s="27" t="inlineStr">
        <is>
          <t>Midrand</t>
        </is>
      </c>
      <c r="F485" s="27" t="n">
        <v>-26.31611</v>
      </c>
      <c r="G485" s="27" t="n">
        <v>28.989547</v>
      </c>
      <c r="H485" s="41" t="n">
        <v>44439</v>
      </c>
      <c r="I485" s="27" t="n">
        <v>80</v>
      </c>
      <c r="J485" s="27" t="inlineStr">
        <is>
          <t>Active</t>
        </is>
      </c>
    </row>
    <row r="486" ht="15" customHeight="1" s="24">
      <c r="A486" s="27" t="n">
        <v>3355</v>
      </c>
      <c r="B486" s="27" t="inlineStr">
        <is>
          <t xml:space="preserve">PEP Roodepoort </t>
        </is>
      </c>
      <c r="C486" s="27" t="inlineStr">
        <is>
          <t>PEP</t>
        </is>
      </c>
      <c r="D486" s="27" t="inlineStr">
        <is>
          <t>Gauteng</t>
        </is>
      </c>
      <c r="E486" s="27" t="inlineStr">
        <is>
          <t>Roodepoort</t>
        </is>
      </c>
      <c r="F486" s="27" t="n">
        <v>-26.469914</v>
      </c>
      <c r="G486" s="27" t="n">
        <v>28.181518</v>
      </c>
      <c r="H486" s="41" t="n">
        <v>43126</v>
      </c>
      <c r="I486" s="27" t="n">
        <v>50</v>
      </c>
      <c r="J486" s="27" t="inlineStr">
        <is>
          <t>Active</t>
        </is>
      </c>
    </row>
    <row r="487" ht="15" customHeight="1" s="24">
      <c r="A487" s="27" t="n">
        <v>3419</v>
      </c>
      <c r="B487" s="27" t="inlineStr">
        <is>
          <t>Clicks Tzaneen Central</t>
        </is>
      </c>
      <c r="C487" s="27" t="inlineStr">
        <is>
          <t>Clicks</t>
        </is>
      </c>
      <c r="D487" s="27" t="inlineStr">
        <is>
          <t>Limpopo</t>
        </is>
      </c>
      <c r="E487" s="27" t="inlineStr">
        <is>
          <t>Tzaneen</t>
        </is>
      </c>
      <c r="F487" s="27" t="n">
        <v>-24.210498</v>
      </c>
      <c r="G487" s="27" t="n">
        <v>28.755813</v>
      </c>
      <c r="H487" s="41" t="n">
        <v>44483</v>
      </c>
      <c r="I487" s="27" t="n">
        <v>50</v>
      </c>
      <c r="J487" s="27" t="inlineStr">
        <is>
          <t>Active</t>
        </is>
      </c>
    </row>
    <row r="488" ht="15" customHeight="1" s="24">
      <c r="A488" s="27" t="n">
        <v>646</v>
      </c>
      <c r="B488" s="27" t="inlineStr">
        <is>
          <t>PEP Bethlehem Central</t>
        </is>
      </c>
      <c r="C488" s="27" t="inlineStr">
        <is>
          <t>PEP</t>
        </is>
      </c>
      <c r="D488" s="27" t="inlineStr">
        <is>
          <t>Free State</t>
        </is>
      </c>
      <c r="E488" s="27" t="inlineStr">
        <is>
          <t>Bethlehem</t>
        </is>
      </c>
      <c r="F488" s="27" t="n">
        <v>-28.567501</v>
      </c>
      <c r="G488" s="27" t="n">
        <v>24.712848</v>
      </c>
      <c r="H488" s="41" t="n">
        <v>45105</v>
      </c>
      <c r="I488" s="27" t="n">
        <v>50</v>
      </c>
      <c r="J488" s="27" t="inlineStr">
        <is>
          <t>Active</t>
        </is>
      </c>
    </row>
    <row r="489" ht="15" customHeight="1" s="24">
      <c r="A489" s="27" t="n">
        <v>2038</v>
      </c>
      <c r="B489" s="27" t="inlineStr">
        <is>
          <t>Waltons Bellville Junction</t>
        </is>
      </c>
      <c r="C489" s="27" t="inlineStr">
        <is>
          <t>Waltons</t>
        </is>
      </c>
      <c r="D489" s="27" t="inlineStr">
        <is>
          <t>Western Cape</t>
        </is>
      </c>
      <c r="E489" s="27" t="inlineStr">
        <is>
          <t>Bellville</t>
        </is>
      </c>
      <c r="F489" s="27" t="n">
        <v>-33.597802</v>
      </c>
      <c r="G489" s="27" t="n">
        <v>18.327065</v>
      </c>
      <c r="H489" s="41" t="n">
        <v>44144</v>
      </c>
      <c r="I489" s="27" t="n">
        <v>35</v>
      </c>
      <c r="J489" s="27" t="inlineStr">
        <is>
          <t>Active</t>
        </is>
      </c>
    </row>
    <row r="490" ht="15" customHeight="1" s="24">
      <c r="A490" s="27" t="n">
        <v>132</v>
      </c>
      <c r="B490" s="27" t="inlineStr">
        <is>
          <t>Waltons Umhlanga Square</t>
        </is>
      </c>
      <c r="C490" s="27" t="inlineStr">
        <is>
          <t>Waltons</t>
        </is>
      </c>
      <c r="D490" s="27" t="inlineStr">
        <is>
          <t>KwaZulu-Natal</t>
        </is>
      </c>
      <c r="E490" s="27" t="inlineStr">
        <is>
          <t>Umhlanga</t>
        </is>
      </c>
      <c r="F490" s="27" t="n">
        <v>-27.27381</v>
      </c>
      <c r="G490" s="27" t="n">
        <v>29.126285</v>
      </c>
      <c r="H490" s="41" t="n">
        <v>44112</v>
      </c>
      <c r="I490" s="27" t="n">
        <v>20</v>
      </c>
      <c r="J490" s="27" t="inlineStr">
        <is>
          <t>Active</t>
        </is>
      </c>
    </row>
    <row r="491" ht="15" customHeight="1" s="24">
      <c r="A491" s="27" t="n">
        <v>3801</v>
      </c>
      <c r="B491" s="27" t="inlineStr">
        <is>
          <t>PEP Centurion Junction</t>
        </is>
      </c>
      <c r="C491" s="27" t="inlineStr">
        <is>
          <t>PEP</t>
        </is>
      </c>
      <c r="D491" s="27" t="inlineStr">
        <is>
          <t>Gauteng</t>
        </is>
      </c>
      <c r="E491" s="27" t="inlineStr">
        <is>
          <t>Centurion</t>
        </is>
      </c>
      <c r="F491" s="27" t="n">
        <v>-25.433753</v>
      </c>
      <c r="G491" s="27" t="n">
        <v>28.029752</v>
      </c>
      <c r="H491" s="41" t="n">
        <v>44689</v>
      </c>
      <c r="I491" s="27" t="n">
        <v>80</v>
      </c>
      <c r="J491" s="27" t="inlineStr">
        <is>
          <t>Active</t>
        </is>
      </c>
    </row>
    <row r="492" ht="15" customHeight="1" s="24">
      <c r="A492" s="27" t="n">
        <v>2691</v>
      </c>
      <c r="B492" s="27" t="inlineStr">
        <is>
          <t>Spar Cape Town Mall</t>
        </is>
      </c>
      <c r="C492" s="27" t="inlineStr">
        <is>
          <t>Spar</t>
        </is>
      </c>
      <c r="D492" s="27" t="inlineStr">
        <is>
          <t>Western Cape</t>
        </is>
      </c>
      <c r="E492" s="27" t="inlineStr">
        <is>
          <t>Cape Town</t>
        </is>
      </c>
      <c r="F492" s="27" t="n">
        <v>-31.520208</v>
      </c>
      <c r="G492" s="27" t="n">
        <v>19.6395</v>
      </c>
      <c r="H492" s="41" t="n">
        <v>45683</v>
      </c>
      <c r="I492" s="27" t="n">
        <v>50</v>
      </c>
      <c r="J492" s="27" t="inlineStr">
        <is>
          <t>Active</t>
        </is>
      </c>
    </row>
    <row r="493" ht="15" customHeight="1" s="24">
      <c r="A493" s="27" t="n">
        <v>955</v>
      </c>
      <c r="B493" s="27" t="inlineStr">
        <is>
          <t>Lewis Kimberley Junction</t>
        </is>
      </c>
      <c r="C493" s="27" t="inlineStr">
        <is>
          <t>Lewis</t>
        </is>
      </c>
      <c r="D493" s="27" t="inlineStr">
        <is>
          <t>Northern Cape</t>
        </is>
      </c>
      <c r="E493" s="27" t="inlineStr">
        <is>
          <t>Kimberley</t>
        </is>
      </c>
      <c r="F493" s="27" t="n">
        <v>-27.936373</v>
      </c>
      <c r="G493" s="27" t="n">
        <v>17.5693</v>
      </c>
      <c r="H493" s="41" t="n">
        <v>45424</v>
      </c>
      <c r="I493" s="27" t="n">
        <v>50</v>
      </c>
      <c r="J493" s="27" t="inlineStr">
        <is>
          <t>Active</t>
        </is>
      </c>
    </row>
    <row r="494" ht="15" customHeight="1" s="24">
      <c r="A494" s="27" t="n">
        <v>3149</v>
      </c>
      <c r="B494" s="27" t="inlineStr">
        <is>
          <t>Spar Cape Town Square</t>
        </is>
      </c>
      <c r="C494" s="27" t="inlineStr">
        <is>
          <t>Spar</t>
        </is>
      </c>
      <c r="D494" s="27" t="inlineStr">
        <is>
          <t>Western Cape</t>
        </is>
      </c>
      <c r="E494" s="27" t="inlineStr">
        <is>
          <t>Cape Town</t>
        </is>
      </c>
      <c r="F494" s="27" t="n">
        <v>-34.49447</v>
      </c>
      <c r="G494" s="27" t="n">
        <v>19.202785</v>
      </c>
      <c r="H494" s="41" t="n">
        <v>42546</v>
      </c>
      <c r="I494" s="27" t="n">
        <v>50</v>
      </c>
      <c r="J494" s="27" t="inlineStr">
        <is>
          <t>Suspended</t>
        </is>
      </c>
    </row>
    <row r="495" ht="15" customHeight="1" s="24">
      <c r="A495" s="27" t="n">
        <v>1698</v>
      </c>
      <c r="B495" s="27" t="inlineStr">
        <is>
          <t>PostNet Benoni Plaza</t>
        </is>
      </c>
      <c r="C495" s="27" t="inlineStr">
        <is>
          <t>PostNet</t>
        </is>
      </c>
      <c r="D495" s="27" t="inlineStr">
        <is>
          <t>Gauteng</t>
        </is>
      </c>
      <c r="E495" s="27" t="inlineStr">
        <is>
          <t>Benoni</t>
        </is>
      </c>
      <c r="F495" s="27" t="n">
        <v>-25.696688</v>
      </c>
      <c r="G495" s="27" t="n">
        <v>27.748241</v>
      </c>
      <c r="H495" s="41" t="n">
        <v>45582</v>
      </c>
      <c r="I495" s="27" t="n">
        <v>80</v>
      </c>
      <c r="J495" s="27" t="inlineStr">
        <is>
          <t>Active</t>
        </is>
      </c>
    </row>
    <row r="496" ht="15" customHeight="1" s="24">
      <c r="A496" s="27" t="n">
        <v>470</v>
      </c>
      <c r="B496" s="27" t="inlineStr">
        <is>
          <t xml:space="preserve">Caltex Freshstop Mokopane </t>
        </is>
      </c>
      <c r="C496" s="27" t="inlineStr">
        <is>
          <t>Caltex Freshstop</t>
        </is>
      </c>
      <c r="D496" s="27" t="inlineStr">
        <is>
          <t>Limpopo</t>
        </is>
      </c>
      <c r="E496" s="27" t="inlineStr">
        <is>
          <t>Mokopane</t>
        </is>
      </c>
      <c r="F496" s="27" t="n">
        <v>-22.82202</v>
      </c>
      <c r="G496" s="27" t="n">
        <v>27.632778</v>
      </c>
      <c r="H496" s="41" t="n">
        <v>44658</v>
      </c>
      <c r="I496" s="27" t="n">
        <v>80</v>
      </c>
      <c r="J496" s="27" t="inlineStr">
        <is>
          <t>Active</t>
        </is>
      </c>
    </row>
    <row r="497" ht="15" customHeight="1" s="24">
      <c r="A497" s="27" t="n">
        <v>3554</v>
      </c>
      <c r="B497" s="27" t="inlineStr">
        <is>
          <t xml:space="preserve">Clicks Benoni </t>
        </is>
      </c>
      <c r="C497" s="27" t="inlineStr">
        <is>
          <t>Clicks</t>
        </is>
      </c>
      <c r="D497" s="27" t="inlineStr">
        <is>
          <t>Gauteng</t>
        </is>
      </c>
      <c r="E497" s="27" t="inlineStr">
        <is>
          <t>Benoni</t>
        </is>
      </c>
      <c r="F497" s="27" t="n">
        <v>-26.694386</v>
      </c>
      <c r="G497" s="27" t="n">
        <v>27.51478</v>
      </c>
      <c r="H497" s="41" t="n">
        <v>42525</v>
      </c>
      <c r="I497" s="27" t="n">
        <v>80</v>
      </c>
      <c r="J497" s="27" t="inlineStr">
        <is>
          <t>Active</t>
        </is>
      </c>
    </row>
    <row r="498" ht="15" customHeight="1" s="24">
      <c r="A498" s="27" t="n">
        <v>1147</v>
      </c>
      <c r="B498" s="27" t="inlineStr">
        <is>
          <t>Clicks Benoni Junction</t>
        </is>
      </c>
      <c r="C498" s="27" t="inlineStr">
        <is>
          <t>Clicks</t>
        </is>
      </c>
      <c r="D498" s="27" t="inlineStr">
        <is>
          <t>Gauteng</t>
        </is>
      </c>
      <c r="E498" s="27" t="inlineStr">
        <is>
          <t>Benoni</t>
        </is>
      </c>
      <c r="F498" s="27" t="n">
        <v>-25.370782</v>
      </c>
      <c r="G498" s="27" t="n">
        <v>28.388053</v>
      </c>
      <c r="H498" s="41" t="n">
        <v>42898</v>
      </c>
      <c r="I498" s="27" t="n">
        <v>20</v>
      </c>
      <c r="J498" s="27" t="inlineStr">
        <is>
          <t>Active</t>
        </is>
      </c>
    </row>
    <row r="499" ht="15" customHeight="1" s="24">
      <c r="A499" s="27" t="n">
        <v>1101</v>
      </c>
      <c r="B499" s="27" t="inlineStr">
        <is>
          <t>Spar Soweto Junction</t>
        </is>
      </c>
      <c r="C499" s="27" t="inlineStr">
        <is>
          <t>Spar</t>
        </is>
      </c>
      <c r="D499" s="27" t="inlineStr">
        <is>
          <t>Gauteng</t>
        </is>
      </c>
      <c r="E499" s="27" t="inlineStr">
        <is>
          <t>Soweto</t>
        </is>
      </c>
      <c r="F499" s="27" t="n">
        <v>-25.218539</v>
      </c>
      <c r="G499" s="27" t="n">
        <v>27.87309</v>
      </c>
      <c r="H499" s="41" t="n">
        <v>43203</v>
      </c>
      <c r="I499" s="27" t="n">
        <v>35</v>
      </c>
      <c r="J499" s="27" t="inlineStr">
        <is>
          <t>Active</t>
        </is>
      </c>
    </row>
    <row r="500" ht="15" customHeight="1" s="24">
      <c r="A500" s="27" t="n">
        <v>1826</v>
      </c>
      <c r="B500" s="27" t="inlineStr">
        <is>
          <t>Lewis Uitenhage Park</t>
        </is>
      </c>
      <c r="C500" s="27" t="inlineStr">
        <is>
          <t>Lewis</t>
        </is>
      </c>
      <c r="D500" s="27" t="inlineStr">
        <is>
          <t>Eastern Cape</t>
        </is>
      </c>
      <c r="E500" s="27" t="inlineStr">
        <is>
          <t>Uitenhage</t>
        </is>
      </c>
      <c r="F500" s="27" t="n">
        <v>-30.784409</v>
      </c>
      <c r="G500" s="27" t="n">
        <v>27.895693</v>
      </c>
      <c r="H500" s="41" t="n">
        <v>44123</v>
      </c>
      <c r="I500" s="27" t="n">
        <v>20</v>
      </c>
      <c r="J500" s="27" t="inlineStr">
        <is>
          <t>Active</t>
        </is>
      </c>
    </row>
    <row r="501" ht="15" customHeight="1" s="24">
      <c r="A501" s="27" t="n">
        <v>2599</v>
      </c>
      <c r="B501" s="27" t="inlineStr">
        <is>
          <t>Lewis Pretoria Park</t>
        </is>
      </c>
      <c r="C501" s="27" t="inlineStr">
        <is>
          <t>Lewis</t>
        </is>
      </c>
      <c r="D501" s="27" t="inlineStr">
        <is>
          <t>Gauteng</t>
        </is>
      </c>
      <c r="E501" s="27" t="inlineStr">
        <is>
          <t>Pretoria</t>
        </is>
      </c>
      <c r="F501" s="27" t="n">
        <v>-25.48058</v>
      </c>
      <c r="G501" s="27" t="n">
        <v>28.16476</v>
      </c>
      <c r="H501" s="41" t="n">
        <v>44500</v>
      </c>
      <c r="I501" s="27" t="n">
        <v>80</v>
      </c>
      <c r="J501" s="27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18" customWidth="1" style="23" min="2" max="2"/>
    <col width="14" customWidth="1" style="23" min="3" max="3"/>
    <col width="15" customWidth="1" style="23" min="4" max="4"/>
    <col width="14" customWidth="1" style="23" min="5" max="5"/>
    <col width="12" customWidth="1" style="23" min="6" max="8"/>
  </cols>
  <sheetData>
    <row r="1" ht="15" customHeight="1" s="24">
      <c r="A1" s="28" t="inlineStr">
        <is>
          <t>customer_id</t>
        </is>
      </c>
      <c r="B1" s="28" t="inlineStr">
        <is>
          <t>customer_name</t>
        </is>
      </c>
      <c r="C1" s="28" t="inlineStr">
        <is>
          <t>mobile_number</t>
        </is>
      </c>
      <c r="D1" s="28" t="inlineStr">
        <is>
          <t>province</t>
        </is>
      </c>
      <c r="E1" s="28" t="inlineStr">
        <is>
          <t>city</t>
        </is>
      </c>
      <c r="F1" s="28" t="inlineStr">
        <is>
          <t>registration_date</t>
        </is>
      </c>
      <c r="G1" s="28" t="inlineStr">
        <is>
          <t>customer_segment</t>
        </is>
      </c>
      <c r="H1" s="28" t="inlineStr">
        <is>
          <t>active_flag</t>
        </is>
      </c>
    </row>
    <row r="2" ht="15" customHeight="1" s="24">
      <c r="A2" s="27" t="n">
        <v>56103</v>
      </c>
      <c r="B2" s="27" t="inlineStr">
        <is>
          <t>Nomvula Mokoena</t>
        </is>
      </c>
      <c r="C2" s="27" t="inlineStr">
        <is>
          <t>+27475272027</t>
        </is>
      </c>
      <c r="D2" s="27" t="inlineStr">
        <is>
          <t>Western Cape</t>
        </is>
      </c>
      <c r="E2" s="27" t="inlineStr">
        <is>
          <t>Somerset West</t>
        </is>
      </c>
      <c r="F2" s="41" t="n">
        <v>45654</v>
      </c>
      <c r="G2" s="27" t="inlineStr">
        <is>
          <t>Occasional</t>
        </is>
      </c>
      <c r="H2" s="27">
        <f>FALSE()</f>
        <v/>
      </c>
    </row>
    <row r="3" ht="15" customHeight="1" s="24">
      <c r="A3" s="27" t="n">
        <v>240102</v>
      </c>
      <c r="B3" s="27" t="inlineStr">
        <is>
          <t>Naledi Venter</t>
        </is>
      </c>
      <c r="C3" s="27" t="inlineStr">
        <is>
          <t>+27475619679</t>
        </is>
      </c>
      <c r="D3" s="27" t="inlineStr">
        <is>
          <t>Northern Cape</t>
        </is>
      </c>
      <c r="E3" s="27" t="inlineStr">
        <is>
          <t>Kimberley</t>
        </is>
      </c>
      <c r="F3" s="41" t="n">
        <v>44968</v>
      </c>
      <c r="G3" s="27" t="inlineStr">
        <is>
          <t>Frequent</t>
        </is>
      </c>
      <c r="H3" s="27">
        <f>TRUE()</f>
        <v/>
      </c>
    </row>
    <row r="4" ht="15" customHeight="1" s="24">
      <c r="A4" s="27" t="n">
        <v>397221</v>
      </c>
      <c r="B4" s="27" t="inlineStr">
        <is>
          <t>Refilwe Pretorius</t>
        </is>
      </c>
      <c r="C4" s="27" t="inlineStr">
        <is>
          <t>+27472485583</t>
        </is>
      </c>
      <c r="D4" s="27" t="inlineStr">
        <is>
          <t>Eastern Cape</t>
        </is>
      </c>
      <c r="E4" s="27" t="inlineStr">
        <is>
          <t>East London</t>
        </is>
      </c>
      <c r="F4" s="41" t="n">
        <v>44444</v>
      </c>
      <c r="G4" s="27" t="inlineStr">
        <is>
          <t>Dormant</t>
        </is>
      </c>
      <c r="H4" s="27">
        <f>TRUE()</f>
        <v/>
      </c>
    </row>
    <row r="5" ht="15" customHeight="1" s="24">
      <c r="A5" s="27" t="n">
        <v>245223</v>
      </c>
      <c r="B5" s="27" t="inlineStr">
        <is>
          <t>Chloe Tshabalala</t>
        </is>
      </c>
      <c r="C5" s="27" t="inlineStr">
        <is>
          <t>+27478125850</t>
        </is>
      </c>
      <c r="D5" s="27" t="inlineStr">
        <is>
          <t>KwaZulu-Natal</t>
        </is>
      </c>
      <c r="E5" s="27" t="inlineStr">
        <is>
          <t>Durban</t>
        </is>
      </c>
      <c r="F5" s="41" t="n">
        <v>45328</v>
      </c>
      <c r="G5" s="27" t="inlineStr">
        <is>
          <t>Occasional</t>
        </is>
      </c>
      <c r="H5" s="27">
        <f>TRUE()</f>
        <v/>
      </c>
    </row>
    <row r="6" ht="15" customHeight="1" s="24">
      <c r="A6" s="27" t="n">
        <v>81961</v>
      </c>
      <c r="B6" s="27" t="inlineStr">
        <is>
          <t>Johan Fourie</t>
        </is>
      </c>
      <c r="C6" s="27" t="inlineStr">
        <is>
          <t>+27473348452</t>
        </is>
      </c>
      <c r="D6" s="27" t="inlineStr">
        <is>
          <t>KwaZulu-Natal</t>
        </is>
      </c>
      <c r="E6" s="27" t="inlineStr">
        <is>
          <t>Durban</t>
        </is>
      </c>
      <c r="F6" s="41" t="n">
        <v>45443</v>
      </c>
      <c r="G6" s="27" t="inlineStr">
        <is>
          <t>Occasional</t>
        </is>
      </c>
      <c r="H6" s="27">
        <f>TRUE()</f>
        <v/>
      </c>
    </row>
    <row r="7" ht="15" customHeight="1" s="24">
      <c r="A7" s="27" t="n">
        <v>329319</v>
      </c>
      <c r="B7" s="27" t="inlineStr">
        <is>
          <t>Chloe Pretorius</t>
        </is>
      </c>
      <c r="C7" s="27" t="inlineStr">
        <is>
          <t>+27475700838</t>
        </is>
      </c>
      <c r="D7" s="27" t="inlineStr">
        <is>
          <t>Gauteng</t>
        </is>
      </c>
      <c r="E7" s="27" t="inlineStr">
        <is>
          <t>Johannesburg</t>
        </is>
      </c>
      <c r="F7" s="41" t="n">
        <v>45950</v>
      </c>
      <c r="G7" s="27" t="inlineStr">
        <is>
          <t>Dormant</t>
        </is>
      </c>
      <c r="H7" s="27">
        <f>TRUE()</f>
        <v/>
      </c>
    </row>
    <row r="8" ht="15" customHeight="1" s="24">
      <c r="A8" s="27" t="n">
        <v>183559</v>
      </c>
      <c r="B8" s="27" t="inlineStr">
        <is>
          <t>Fatima Zulu</t>
        </is>
      </c>
      <c r="C8" s="27" t="inlineStr">
        <is>
          <t>+27479417885</t>
        </is>
      </c>
      <c r="D8" s="27" t="inlineStr">
        <is>
          <t>Eastern Cape</t>
        </is>
      </c>
      <c r="E8" s="27" t="inlineStr">
        <is>
          <t>Mthatha</t>
        </is>
      </c>
      <c r="F8" s="41" t="n">
        <v>45931</v>
      </c>
      <c r="G8" s="27" t="inlineStr">
        <is>
          <t>Occasional</t>
        </is>
      </c>
      <c r="H8" s="27">
        <f>TRUE()</f>
        <v/>
      </c>
    </row>
    <row r="9" ht="15" customHeight="1" s="24">
      <c r="A9" s="27" t="n">
        <v>79163</v>
      </c>
      <c r="B9" s="27" t="inlineStr">
        <is>
          <t>Riaan Venter</t>
        </is>
      </c>
      <c r="C9" s="27" t="inlineStr">
        <is>
          <t>+27473516308</t>
        </is>
      </c>
      <c r="D9" s="27" t="inlineStr">
        <is>
          <t>Mpumalanga</t>
        </is>
      </c>
      <c r="E9" s="27" t="inlineStr">
        <is>
          <t>Middelburg</t>
        </is>
      </c>
      <c r="F9" s="41" t="n">
        <v>45063</v>
      </c>
      <c r="G9" s="27" t="inlineStr">
        <is>
          <t>Frequent</t>
        </is>
      </c>
      <c r="H9" s="27">
        <f>TRUE()</f>
        <v/>
      </c>
    </row>
    <row r="10" ht="15" customHeight="1" s="24">
      <c r="A10" s="27" t="n">
        <v>138982</v>
      </c>
      <c r="B10" s="27" t="inlineStr">
        <is>
          <t>Dineo Ngcobo</t>
        </is>
      </c>
      <c r="C10" s="27" t="inlineStr">
        <is>
          <t>+27473895160</t>
        </is>
      </c>
      <c r="D10" s="27" t="inlineStr">
        <is>
          <t>Eastern Cape</t>
        </is>
      </c>
      <c r="E10" s="27" t="inlineStr">
        <is>
          <t>Mthatha</t>
        </is>
      </c>
      <c r="F10" s="41" t="n">
        <v>45157</v>
      </c>
      <c r="G10" s="27" t="inlineStr">
        <is>
          <t>Occasional</t>
        </is>
      </c>
      <c r="H10" s="27">
        <f>TRUE()</f>
        <v/>
      </c>
    </row>
    <row r="11" ht="15" customHeight="1" s="24">
      <c r="A11" s="27" t="n">
        <v>243314</v>
      </c>
      <c r="B11" s="27" t="inlineStr">
        <is>
          <t>Zanele Pretorius</t>
        </is>
      </c>
      <c r="C11" s="27" t="inlineStr">
        <is>
          <t>+27475897500</t>
        </is>
      </c>
      <c r="D11" s="27" t="inlineStr">
        <is>
          <t>North West</t>
        </is>
      </c>
      <c r="E11" s="27" t="inlineStr">
        <is>
          <t>Klerksdorp</t>
        </is>
      </c>
      <c r="F11" s="41" t="n">
        <v>45104</v>
      </c>
      <c r="G11" s="27" t="inlineStr">
        <is>
          <t>Regular</t>
        </is>
      </c>
      <c r="H11" s="27">
        <f>TRUE()</f>
        <v/>
      </c>
    </row>
    <row r="12" ht="15" customHeight="1" s="24">
      <c r="A12" s="27" t="n">
        <v>271725</v>
      </c>
      <c r="B12" s="27" t="inlineStr">
        <is>
          <t>Khanyi Dlamini</t>
        </is>
      </c>
      <c r="C12" s="27" t="inlineStr">
        <is>
          <t>+27472325079</t>
        </is>
      </c>
      <c r="D12" s="27" t="inlineStr">
        <is>
          <t>Free State</t>
        </is>
      </c>
      <c r="E12" s="27" t="inlineStr">
        <is>
          <t>Welkom</t>
        </is>
      </c>
      <c r="F12" s="41" t="n">
        <v>45359</v>
      </c>
      <c r="G12" s="27" t="inlineStr">
        <is>
          <t>Occasional</t>
        </is>
      </c>
      <c r="H12" s="27">
        <f>TRUE()</f>
        <v/>
      </c>
    </row>
    <row r="13" ht="15" customHeight="1" s="24">
      <c r="A13" s="27" t="n">
        <v>223228</v>
      </c>
      <c r="B13" s="27" t="inlineStr">
        <is>
          <t>Kagiso Smith</t>
        </is>
      </c>
      <c r="C13" s="27" t="inlineStr">
        <is>
          <t>+27474748698</t>
        </is>
      </c>
      <c r="D13" s="27" t="inlineStr">
        <is>
          <t>Western Cape</t>
        </is>
      </c>
      <c r="E13" s="27" t="inlineStr">
        <is>
          <t>Paarl</t>
        </is>
      </c>
      <c r="F13" s="41" t="n">
        <v>44587</v>
      </c>
      <c r="G13" s="27" t="inlineStr">
        <is>
          <t>Dormant</t>
        </is>
      </c>
      <c r="H13" s="27">
        <f>TRUE()</f>
        <v/>
      </c>
    </row>
    <row r="14" ht="15" customHeight="1" s="24">
      <c r="A14" s="27" t="n">
        <v>339752</v>
      </c>
      <c r="B14" s="27" t="inlineStr">
        <is>
          <t>Liam Mabaso</t>
        </is>
      </c>
      <c r="C14" s="27" t="inlineStr">
        <is>
          <t>+27479785422</t>
        </is>
      </c>
      <c r="D14" s="27" t="inlineStr">
        <is>
          <t>Western Cape</t>
        </is>
      </c>
      <c r="E14" s="27" t="inlineStr">
        <is>
          <t>Table View</t>
        </is>
      </c>
      <c r="F14" s="41" t="n">
        <v>44918</v>
      </c>
      <c r="G14" s="27" t="inlineStr">
        <is>
          <t>Occasional</t>
        </is>
      </c>
      <c r="H14" s="27">
        <f>TRUE()</f>
        <v/>
      </c>
    </row>
    <row r="15" ht="15" customHeight="1" s="24">
      <c r="A15" s="27" t="n">
        <v>26320</v>
      </c>
      <c r="B15" s="27" t="inlineStr">
        <is>
          <t>Lerato Ngcobo</t>
        </is>
      </c>
      <c r="C15" s="27" t="inlineStr">
        <is>
          <t>+27476939001</t>
        </is>
      </c>
      <c r="D15" s="27" t="inlineStr">
        <is>
          <t>Limpopo</t>
        </is>
      </c>
      <c r="E15" s="27" t="inlineStr">
        <is>
          <t>Tzaneen</t>
        </is>
      </c>
      <c r="F15" s="41" t="n">
        <v>44460</v>
      </c>
      <c r="G15" s="27" t="inlineStr">
        <is>
          <t>Occasional</t>
        </is>
      </c>
      <c r="H15" s="27">
        <f>TRUE()</f>
        <v/>
      </c>
    </row>
    <row r="16" ht="15" customHeight="1" s="24">
      <c r="A16" s="27" t="n">
        <v>184585</v>
      </c>
      <c r="B16" s="27" t="inlineStr">
        <is>
          <t>Werner Mokoena</t>
        </is>
      </c>
      <c r="C16" s="27" t="inlineStr">
        <is>
          <t>+27471719736</t>
        </is>
      </c>
      <c r="D16" s="27" t="inlineStr">
        <is>
          <t>North West</t>
        </is>
      </c>
      <c r="E16" s="27" t="inlineStr">
        <is>
          <t>Rustenburg</t>
        </is>
      </c>
      <c r="F16" s="41" t="n">
        <v>44531</v>
      </c>
      <c r="G16" s="27" t="inlineStr">
        <is>
          <t>Occasional</t>
        </is>
      </c>
      <c r="H16" s="27">
        <f>TRUE()</f>
        <v/>
      </c>
    </row>
    <row r="17" ht="15" customHeight="1" s="24">
      <c r="A17" s="27" t="n">
        <v>335362</v>
      </c>
      <c r="B17" s="27" t="inlineStr">
        <is>
          <t>Werner Dlamini</t>
        </is>
      </c>
      <c r="C17" s="27" t="inlineStr">
        <is>
          <t>+27475825203</t>
        </is>
      </c>
      <c r="D17" s="27" t="inlineStr">
        <is>
          <t>KwaZulu-Natal</t>
        </is>
      </c>
      <c r="E17" s="27" t="inlineStr">
        <is>
          <t>Umhlanga</t>
        </is>
      </c>
      <c r="F17" s="41" t="n">
        <v>44851</v>
      </c>
      <c r="G17" s="27" t="inlineStr">
        <is>
          <t>Occasional</t>
        </is>
      </c>
      <c r="H17" s="27">
        <f>TRUE()</f>
        <v/>
      </c>
    </row>
    <row r="18" ht="15" customHeight="1" s="24">
      <c r="A18" s="27" t="n">
        <v>363158</v>
      </c>
      <c r="B18" s="27" t="inlineStr">
        <is>
          <t>Refilwe Naidoo</t>
        </is>
      </c>
      <c r="C18" s="27" t="inlineStr">
        <is>
          <t>+27474277239</t>
        </is>
      </c>
      <c r="D18" s="27" t="inlineStr">
        <is>
          <t>Eastern Cape</t>
        </is>
      </c>
      <c r="E18" s="27" t="inlineStr">
        <is>
          <t>East London</t>
        </is>
      </c>
      <c r="F18" s="41" t="n">
        <v>46145</v>
      </c>
      <c r="G18" s="27" t="inlineStr">
        <is>
          <t>Occasional</t>
        </is>
      </c>
      <c r="H18" s="27">
        <f>TRUE()</f>
        <v/>
      </c>
    </row>
    <row r="19" ht="15" customHeight="1" s="24">
      <c r="A19" s="27" t="n">
        <v>31258</v>
      </c>
      <c r="B19" s="27" t="inlineStr">
        <is>
          <t>Liam Mokoena</t>
        </is>
      </c>
      <c r="C19" s="27" t="inlineStr">
        <is>
          <t>+27479230598</t>
        </is>
      </c>
      <c r="D19" s="27" t="inlineStr">
        <is>
          <t>Gauteng</t>
        </is>
      </c>
      <c r="E19" s="27" t="inlineStr">
        <is>
          <t>Pretoria</t>
        </is>
      </c>
      <c r="F19" s="41" t="n">
        <v>46029</v>
      </c>
      <c r="G19" s="27" t="inlineStr">
        <is>
          <t>Occasional</t>
        </is>
      </c>
      <c r="H19" s="27">
        <f>TRUE()</f>
        <v/>
      </c>
    </row>
    <row r="20" ht="15" customHeight="1" s="24">
      <c r="A20" s="27" t="n">
        <v>104928</v>
      </c>
      <c r="B20" s="27" t="inlineStr">
        <is>
          <t>Megan Jacobs</t>
        </is>
      </c>
      <c r="C20" s="27" t="inlineStr">
        <is>
          <t>+27475050323</t>
        </is>
      </c>
      <c r="D20" s="27" t="inlineStr">
        <is>
          <t>KwaZulu-Natal</t>
        </is>
      </c>
      <c r="E20" s="27" t="inlineStr">
        <is>
          <t>Pietermaritzburg</t>
        </is>
      </c>
      <c r="F20" s="41" t="n">
        <v>44710</v>
      </c>
      <c r="G20" s="27" t="inlineStr">
        <is>
          <t>Occasional</t>
        </is>
      </c>
      <c r="H20" s="27">
        <f>TRUE()</f>
        <v/>
      </c>
    </row>
    <row r="21" ht="15" customHeight="1" s="24">
      <c r="A21" s="27" t="n">
        <v>345891</v>
      </c>
      <c r="B21" s="27" t="inlineStr">
        <is>
          <t>Anika van der Merwe</t>
        </is>
      </c>
      <c r="C21" s="27" t="inlineStr">
        <is>
          <t>+27476242729</t>
        </is>
      </c>
      <c r="D21" s="27" t="inlineStr">
        <is>
          <t>North West</t>
        </is>
      </c>
      <c r="E21" s="27" t="inlineStr">
        <is>
          <t>Klerksdorp</t>
        </is>
      </c>
      <c r="F21" s="41" t="n">
        <v>44467</v>
      </c>
      <c r="G21" s="27" t="inlineStr">
        <is>
          <t>Occasional</t>
        </is>
      </c>
      <c r="H21" s="27">
        <f>TRUE()</f>
        <v/>
      </c>
    </row>
    <row r="22" ht="15" customHeight="1" s="24">
      <c r="A22" s="27" t="n">
        <v>338567</v>
      </c>
      <c r="B22" s="27" t="inlineStr">
        <is>
          <t>Precious Sithole</t>
        </is>
      </c>
      <c r="C22" s="27" t="inlineStr">
        <is>
          <t>+27473999333</t>
        </is>
      </c>
      <c r="D22" s="27" t="inlineStr">
        <is>
          <t>Eastern Cape</t>
        </is>
      </c>
      <c r="E22" s="27" t="inlineStr">
        <is>
          <t>Gqeberha</t>
        </is>
      </c>
      <c r="F22" s="41" t="n">
        <v>45518</v>
      </c>
      <c r="G22" s="27" t="inlineStr">
        <is>
          <t>Occasional</t>
        </is>
      </c>
      <c r="H22" s="27">
        <f>TRUE()</f>
        <v/>
      </c>
    </row>
    <row r="23" ht="15" customHeight="1" s="24">
      <c r="A23" s="27" t="n">
        <v>226472</v>
      </c>
      <c r="B23" s="27" t="inlineStr">
        <is>
          <t>Sarah Khumalo</t>
        </is>
      </c>
      <c r="C23" s="27" t="inlineStr">
        <is>
          <t>+27476942959</t>
        </is>
      </c>
      <c r="D23" s="27" t="inlineStr">
        <is>
          <t>Eastern Cape</t>
        </is>
      </c>
      <c r="E23" s="27" t="inlineStr">
        <is>
          <t>Gqeberha</t>
        </is>
      </c>
      <c r="F23" s="41" t="n">
        <v>44509</v>
      </c>
      <c r="G23" s="27" t="inlineStr">
        <is>
          <t>Regular</t>
        </is>
      </c>
      <c r="H23" s="27">
        <f>TRUE()</f>
        <v/>
      </c>
    </row>
    <row r="24" ht="15" customHeight="1" s="24">
      <c r="A24" s="27" t="n">
        <v>43550</v>
      </c>
      <c r="B24" s="27" t="inlineStr">
        <is>
          <t>Lerato Botha</t>
        </is>
      </c>
      <c r="C24" s="27" t="inlineStr">
        <is>
          <t>+27471390516</t>
        </is>
      </c>
      <c r="D24" s="27" t="inlineStr">
        <is>
          <t>Western Cape</t>
        </is>
      </c>
      <c r="E24" s="27" t="inlineStr">
        <is>
          <t>Somerset West</t>
        </is>
      </c>
      <c r="F24" s="41" t="n">
        <v>45346</v>
      </c>
      <c r="G24" s="27" t="inlineStr">
        <is>
          <t>Dormant</t>
        </is>
      </c>
      <c r="H24" s="27">
        <f>TRUE()</f>
        <v/>
      </c>
    </row>
    <row r="25" ht="15" customHeight="1" s="24">
      <c r="A25" s="27" t="n">
        <v>37471</v>
      </c>
      <c r="B25" s="27" t="inlineStr">
        <is>
          <t>Pieter Mahlangu</t>
        </is>
      </c>
      <c r="C25" s="27" t="inlineStr">
        <is>
          <t>+27476650829</t>
        </is>
      </c>
      <c r="D25" s="27" t="inlineStr">
        <is>
          <t>Western Cape</t>
        </is>
      </c>
      <c r="E25" s="27" t="inlineStr">
        <is>
          <t>Paarl</t>
        </is>
      </c>
      <c r="F25" s="41" t="n">
        <v>46198</v>
      </c>
      <c r="G25" s="27" t="inlineStr">
        <is>
          <t>Frequent</t>
        </is>
      </c>
      <c r="H25" s="27">
        <f>FALSE()</f>
        <v/>
      </c>
    </row>
    <row r="26" ht="15" customHeight="1" s="24">
      <c r="A26" s="27" t="n">
        <v>45761</v>
      </c>
      <c r="B26" s="27" t="inlineStr">
        <is>
          <t>Daniel Zulu</t>
        </is>
      </c>
      <c r="C26" s="27" t="inlineStr">
        <is>
          <t>+27479220332</t>
        </is>
      </c>
      <c r="D26" s="27" t="inlineStr">
        <is>
          <t>Western Cape</t>
        </is>
      </c>
      <c r="E26" s="27" t="inlineStr">
        <is>
          <t>George</t>
        </is>
      </c>
      <c r="F26" s="41" t="n">
        <v>45103</v>
      </c>
      <c r="G26" s="27" t="inlineStr">
        <is>
          <t>Regular</t>
        </is>
      </c>
      <c r="H26" s="27">
        <f>TRUE()</f>
        <v/>
      </c>
    </row>
    <row r="27" ht="15" customHeight="1" s="24">
      <c r="A27" s="27" t="n">
        <v>257827</v>
      </c>
      <c r="B27" s="27" t="inlineStr">
        <is>
          <t>Zanele Pillay</t>
        </is>
      </c>
      <c r="C27" s="27" t="inlineStr">
        <is>
          <t>+27477102531</t>
        </is>
      </c>
      <c r="D27" s="27" t="inlineStr">
        <is>
          <t>Western Cape</t>
        </is>
      </c>
      <c r="E27" s="27" t="inlineStr">
        <is>
          <t>George</t>
        </is>
      </c>
      <c r="F27" s="41" t="n">
        <v>44943</v>
      </c>
      <c r="G27" s="27" t="inlineStr">
        <is>
          <t>Dormant</t>
        </is>
      </c>
      <c r="H27" s="27">
        <f>TRUE()</f>
        <v/>
      </c>
    </row>
    <row r="28" ht="15" customHeight="1" s="24">
      <c r="A28" s="27" t="n">
        <v>320287</v>
      </c>
      <c r="B28" s="27" t="inlineStr">
        <is>
          <t>Mandla Ngcobo</t>
        </is>
      </c>
      <c r="C28" s="27" t="inlineStr">
        <is>
          <t>+27477011744</t>
        </is>
      </c>
      <c r="D28" s="27" t="inlineStr">
        <is>
          <t>Free State</t>
        </is>
      </c>
      <c r="E28" s="27" t="inlineStr">
        <is>
          <t>Bloemfontein</t>
        </is>
      </c>
      <c r="F28" s="41" t="n">
        <v>45155</v>
      </c>
      <c r="G28" s="27" t="inlineStr">
        <is>
          <t>Occasional</t>
        </is>
      </c>
      <c r="H28" s="27">
        <f>TRUE()</f>
        <v/>
      </c>
    </row>
    <row r="29" ht="15" customHeight="1" s="24">
      <c r="A29" s="27" t="n">
        <v>315444</v>
      </c>
      <c r="B29" s="27" t="inlineStr">
        <is>
          <t>Bongani Adams</t>
        </is>
      </c>
      <c r="C29" s="27" t="inlineStr">
        <is>
          <t>+27472070911</t>
        </is>
      </c>
      <c r="D29" s="27" t="inlineStr">
        <is>
          <t>Limpopo</t>
        </is>
      </c>
      <c r="E29" s="27" t="inlineStr">
        <is>
          <t>Tzaneen</t>
        </is>
      </c>
      <c r="F29" s="41" t="n">
        <v>46073</v>
      </c>
      <c r="G29" s="27" t="inlineStr">
        <is>
          <t>Regular</t>
        </is>
      </c>
      <c r="H29" s="27">
        <f>TRUE()</f>
        <v/>
      </c>
    </row>
    <row r="30" ht="15" customHeight="1" s="24">
      <c r="A30" s="27" t="n">
        <v>101907</v>
      </c>
      <c r="B30" s="27" t="inlineStr">
        <is>
          <t>Nomvula Steyn</t>
        </is>
      </c>
      <c r="C30" s="27" t="inlineStr">
        <is>
          <t>+27475236898</t>
        </is>
      </c>
      <c r="D30" s="27" t="inlineStr">
        <is>
          <t>Eastern Cape</t>
        </is>
      </c>
      <c r="E30" s="27" t="inlineStr">
        <is>
          <t>Uitenhage</t>
        </is>
      </c>
      <c r="F30" s="41" t="n">
        <v>44424</v>
      </c>
      <c r="G30" s="27" t="inlineStr">
        <is>
          <t>Occasional</t>
        </is>
      </c>
      <c r="H30" s="27">
        <f>FALSE()</f>
        <v/>
      </c>
    </row>
    <row r="31" ht="15" customHeight="1" s="24">
      <c r="A31" s="27" t="n">
        <v>199351</v>
      </c>
      <c r="B31" s="27" t="inlineStr">
        <is>
          <t>Dineo Fourie</t>
        </is>
      </c>
      <c r="C31" s="27" t="inlineStr">
        <is>
          <t>+27471173295</t>
        </is>
      </c>
      <c r="D31" s="27" t="inlineStr">
        <is>
          <t>Eastern Cape</t>
        </is>
      </c>
      <c r="E31" s="27" t="inlineStr">
        <is>
          <t>Gqeberha</t>
        </is>
      </c>
      <c r="F31" s="41" t="n">
        <v>45108</v>
      </c>
      <c r="G31" s="27" t="inlineStr">
        <is>
          <t>Dormant</t>
        </is>
      </c>
      <c r="H31" s="27">
        <f>TRUE()</f>
        <v/>
      </c>
    </row>
    <row r="32" ht="15" customHeight="1" s="24">
      <c r="A32" s="27" t="n">
        <v>262797</v>
      </c>
      <c r="B32" s="27" t="inlineStr">
        <is>
          <t>Dineo Khumalo</t>
        </is>
      </c>
      <c r="C32" s="27" t="inlineStr">
        <is>
          <t>+27473766683</t>
        </is>
      </c>
      <c r="D32" s="27" t="inlineStr">
        <is>
          <t>Northern Cape</t>
        </is>
      </c>
      <c r="E32" s="27" t="inlineStr">
        <is>
          <t>Springbok</t>
        </is>
      </c>
      <c r="F32" s="41" t="n">
        <v>45768</v>
      </c>
      <c r="G32" s="27" t="inlineStr">
        <is>
          <t>Occasional</t>
        </is>
      </c>
      <c r="H32" s="27">
        <f>TRUE()</f>
        <v/>
      </c>
    </row>
    <row r="33" ht="15" customHeight="1" s="24">
      <c r="A33" s="27" t="n">
        <v>102041</v>
      </c>
      <c r="B33" s="27" t="inlineStr">
        <is>
          <t>Sarah Nkosi</t>
        </is>
      </c>
      <c r="C33" s="27" t="inlineStr">
        <is>
          <t>+27472832364</t>
        </is>
      </c>
      <c r="D33" s="27" t="inlineStr">
        <is>
          <t>KwaZulu-Natal</t>
        </is>
      </c>
      <c r="E33" s="27" t="inlineStr">
        <is>
          <t>Newcastle</t>
        </is>
      </c>
      <c r="F33" s="41" t="n">
        <v>45161</v>
      </c>
      <c r="G33" s="27" t="inlineStr">
        <is>
          <t>Frequent</t>
        </is>
      </c>
      <c r="H33" s="27">
        <f>TRUE()</f>
        <v/>
      </c>
    </row>
    <row r="34" ht="15" customHeight="1" s="24">
      <c r="A34" s="27" t="n">
        <v>314147</v>
      </c>
      <c r="B34" s="27" t="inlineStr">
        <is>
          <t>Lwazi Petersen</t>
        </is>
      </c>
      <c r="C34" s="27" t="inlineStr">
        <is>
          <t>+27478714817</t>
        </is>
      </c>
      <c r="D34" s="27" t="inlineStr">
        <is>
          <t>KwaZulu-Natal</t>
        </is>
      </c>
      <c r="E34" s="27" t="inlineStr">
        <is>
          <t>Durban</t>
        </is>
      </c>
      <c r="F34" s="41" t="n">
        <v>45539</v>
      </c>
      <c r="G34" s="27" t="inlineStr">
        <is>
          <t>Occasional</t>
        </is>
      </c>
      <c r="H34" s="27">
        <f>TRUE()</f>
        <v/>
      </c>
    </row>
    <row r="35" ht="15" customHeight="1" s="24">
      <c r="A35" s="27" t="n">
        <v>334075</v>
      </c>
      <c r="B35" s="27" t="inlineStr">
        <is>
          <t>Zanele Molefe</t>
        </is>
      </c>
      <c r="C35" s="27" t="inlineStr">
        <is>
          <t>+27471062156</t>
        </is>
      </c>
      <c r="D35" s="27" t="inlineStr">
        <is>
          <t>Gauteng</t>
        </is>
      </c>
      <c r="E35" s="27" t="inlineStr">
        <is>
          <t>Roodepoort</t>
        </is>
      </c>
      <c r="F35" s="41" t="n">
        <v>45486</v>
      </c>
      <c r="G35" s="27" t="inlineStr">
        <is>
          <t>Regular</t>
        </is>
      </c>
      <c r="H35" s="27">
        <f>TRUE()</f>
        <v/>
      </c>
    </row>
    <row r="36" ht="15" customHeight="1" s="24">
      <c r="A36" s="27" t="n">
        <v>209696</v>
      </c>
      <c r="B36" s="27" t="inlineStr">
        <is>
          <t>Riaan Dlamini</t>
        </is>
      </c>
      <c r="C36" s="27" t="inlineStr">
        <is>
          <t>+27473672456</t>
        </is>
      </c>
      <c r="D36" s="27" t="inlineStr">
        <is>
          <t>Gauteng</t>
        </is>
      </c>
      <c r="E36" s="27" t="inlineStr">
        <is>
          <t>Sandton</t>
        </is>
      </c>
      <c r="F36" s="41" t="n">
        <v>45048</v>
      </c>
      <c r="G36" s="27" t="inlineStr">
        <is>
          <t>Frequent</t>
        </is>
      </c>
      <c r="H36" s="27">
        <f>TRUE()</f>
        <v/>
      </c>
    </row>
    <row r="37" ht="15" customHeight="1" s="24">
      <c r="A37" s="27" t="n">
        <v>65478</v>
      </c>
      <c r="B37" s="27" t="inlineStr">
        <is>
          <t>Refilwe Mahlangu</t>
        </is>
      </c>
      <c r="C37" s="27" t="inlineStr">
        <is>
          <t>+27472070827</t>
        </is>
      </c>
      <c r="D37" s="27" t="inlineStr">
        <is>
          <t>Gauteng</t>
        </is>
      </c>
      <c r="E37" s="27" t="inlineStr">
        <is>
          <t>Centurion</t>
        </is>
      </c>
      <c r="F37" s="41" t="n">
        <v>45648</v>
      </c>
      <c r="G37" s="27" t="inlineStr">
        <is>
          <t>Occasional</t>
        </is>
      </c>
      <c r="H37" s="27">
        <f>FALSE()</f>
        <v/>
      </c>
    </row>
    <row r="38" ht="15" customHeight="1" s="24">
      <c r="A38" s="27" t="n">
        <v>88465</v>
      </c>
      <c r="B38" s="27" t="inlineStr">
        <is>
          <t>Johan Khumalo</t>
        </is>
      </c>
      <c r="C38" s="27" t="inlineStr">
        <is>
          <t>+27477854377</t>
        </is>
      </c>
      <c r="D38" s="27" t="inlineStr">
        <is>
          <t>Limpopo</t>
        </is>
      </c>
      <c r="E38" s="27" t="inlineStr">
        <is>
          <t>Mokopane</t>
        </is>
      </c>
      <c r="F38" s="41" t="n">
        <v>44643</v>
      </c>
      <c r="G38" s="27" t="inlineStr">
        <is>
          <t>Dormant</t>
        </is>
      </c>
      <c r="H38" s="27">
        <f>TRUE()</f>
        <v/>
      </c>
    </row>
    <row r="39" ht="15" customHeight="1" s="24">
      <c r="A39" s="27" t="n">
        <v>135261</v>
      </c>
      <c r="B39" s="27" t="inlineStr">
        <is>
          <t>Mandla Adams</t>
        </is>
      </c>
      <c r="C39" s="27" t="inlineStr">
        <is>
          <t>+27477706434</t>
        </is>
      </c>
      <c r="D39" s="27" t="inlineStr">
        <is>
          <t>KwaZulu-Natal</t>
        </is>
      </c>
      <c r="E39" s="27" t="inlineStr">
        <is>
          <t>Richards Bay</t>
        </is>
      </c>
      <c r="F39" s="41" t="n">
        <v>45519</v>
      </c>
      <c r="G39" s="27" t="inlineStr">
        <is>
          <t>Occasional</t>
        </is>
      </c>
      <c r="H39" s="27">
        <f>TRUE()</f>
        <v/>
      </c>
    </row>
    <row r="40" ht="15" customHeight="1" s="24">
      <c r="A40" s="27" t="n">
        <v>175273</v>
      </c>
      <c r="B40" s="27" t="inlineStr">
        <is>
          <t>Megan Zulu</t>
        </is>
      </c>
      <c r="C40" s="27" t="inlineStr">
        <is>
          <t>+27477656488</t>
        </is>
      </c>
      <c r="D40" s="27" t="inlineStr">
        <is>
          <t>KwaZulu-Natal</t>
        </is>
      </c>
      <c r="E40" s="27" t="inlineStr">
        <is>
          <t>Umhlanga</t>
        </is>
      </c>
      <c r="F40" s="41" t="n">
        <v>44594</v>
      </c>
      <c r="G40" s="27" t="inlineStr">
        <is>
          <t>Occasional</t>
        </is>
      </c>
      <c r="H40" s="27">
        <f>TRUE()</f>
        <v/>
      </c>
    </row>
    <row r="41" ht="15" customHeight="1" s="24">
      <c r="A41" s="27" t="n">
        <v>136537</v>
      </c>
      <c r="B41" s="27" t="inlineStr">
        <is>
          <t>Sipho Nkosi</t>
        </is>
      </c>
      <c r="C41" s="27" t="inlineStr">
        <is>
          <t>+27478279462</t>
        </is>
      </c>
      <c r="D41" s="27" t="inlineStr">
        <is>
          <t>Gauteng</t>
        </is>
      </c>
      <c r="E41" s="27" t="inlineStr">
        <is>
          <t>Sandton</t>
        </is>
      </c>
      <c r="F41" s="41" t="n">
        <v>44365</v>
      </c>
      <c r="G41" s="27" t="inlineStr">
        <is>
          <t>Dormant</t>
        </is>
      </c>
      <c r="H41" s="27">
        <f>TRUE()</f>
        <v/>
      </c>
    </row>
    <row r="42" ht="15" customHeight="1" s="24">
      <c r="A42" s="27" t="n">
        <v>177146</v>
      </c>
      <c r="B42" s="27" t="inlineStr">
        <is>
          <t>Johan Tshabalala</t>
        </is>
      </c>
      <c r="C42" s="27" t="inlineStr">
        <is>
          <t>+27479602965</t>
        </is>
      </c>
      <c r="D42" s="27" t="inlineStr">
        <is>
          <t>KwaZulu-Natal</t>
        </is>
      </c>
      <c r="E42" s="27" t="inlineStr">
        <is>
          <t>Umhlanga</t>
        </is>
      </c>
      <c r="F42" s="41" t="n">
        <v>45261</v>
      </c>
      <c r="G42" s="27" t="inlineStr">
        <is>
          <t>Dormant</t>
        </is>
      </c>
      <c r="H42" s="27">
        <f>TRUE()</f>
        <v/>
      </c>
    </row>
    <row r="43" ht="15" customHeight="1" s="24">
      <c r="A43" s="27" t="n">
        <v>154653</v>
      </c>
      <c r="B43" s="27" t="inlineStr">
        <is>
          <t>Naledi Petersen</t>
        </is>
      </c>
      <c r="C43" s="27" t="inlineStr">
        <is>
          <t>+27479744969</t>
        </is>
      </c>
      <c r="D43" s="27" t="inlineStr">
        <is>
          <t>Eastern Cape</t>
        </is>
      </c>
      <c r="E43" s="27" t="inlineStr">
        <is>
          <t>East London</t>
        </is>
      </c>
      <c r="F43" s="41" t="n">
        <v>44237</v>
      </c>
      <c r="G43" s="27" t="inlineStr">
        <is>
          <t>Regular</t>
        </is>
      </c>
      <c r="H43" s="27">
        <f>TRUE()</f>
        <v/>
      </c>
    </row>
    <row r="44" ht="15" customHeight="1" s="24">
      <c r="A44" s="27" t="n">
        <v>42593</v>
      </c>
      <c r="B44" s="27" t="inlineStr">
        <is>
          <t>Daniel Daniels</t>
        </is>
      </c>
      <c r="C44" s="27" t="inlineStr">
        <is>
          <t>+27476530498</t>
        </is>
      </c>
      <c r="D44" s="27" t="inlineStr">
        <is>
          <t>Mpumalanga</t>
        </is>
      </c>
      <c r="E44" s="27" t="inlineStr">
        <is>
          <t>Middelburg</t>
        </is>
      </c>
      <c r="F44" s="41" t="n">
        <v>45645</v>
      </c>
      <c r="G44" s="27" t="inlineStr">
        <is>
          <t>Dormant</t>
        </is>
      </c>
      <c r="H44" s="27">
        <f>TRUE()</f>
        <v/>
      </c>
    </row>
    <row r="45" ht="15" customHeight="1" s="24">
      <c r="A45" s="27" t="n">
        <v>217333</v>
      </c>
      <c r="B45" s="27" t="inlineStr">
        <is>
          <t>Pieter Khumalo</t>
        </is>
      </c>
      <c r="C45" s="27" t="inlineStr">
        <is>
          <t>+27473512155</t>
        </is>
      </c>
      <c r="D45" s="27" t="inlineStr">
        <is>
          <t>Limpopo</t>
        </is>
      </c>
      <c r="E45" s="27" t="inlineStr">
        <is>
          <t>Mokopane</t>
        </is>
      </c>
      <c r="F45" s="41" t="n">
        <v>45784</v>
      </c>
      <c r="G45" s="27" t="inlineStr">
        <is>
          <t>Regular</t>
        </is>
      </c>
      <c r="H45" s="27">
        <f>TRUE()</f>
        <v/>
      </c>
    </row>
    <row r="46" ht="15" customHeight="1" s="24">
      <c r="A46" s="27" t="n">
        <v>298065</v>
      </c>
      <c r="B46" s="27" t="inlineStr">
        <is>
          <t>Nomvula Molefe</t>
        </is>
      </c>
      <c r="C46" s="27" t="inlineStr">
        <is>
          <t>+27472995586</t>
        </is>
      </c>
      <c r="D46" s="27" t="inlineStr">
        <is>
          <t>KwaZulu-Natal</t>
        </is>
      </c>
      <c r="E46" s="27" t="inlineStr">
        <is>
          <t>Umhlanga</t>
        </is>
      </c>
      <c r="F46" s="41" t="n">
        <v>44869</v>
      </c>
      <c r="G46" s="27" t="inlineStr">
        <is>
          <t>Occasional</t>
        </is>
      </c>
      <c r="H46" s="27">
        <f>TRUE()</f>
        <v/>
      </c>
    </row>
    <row r="47" ht="15" customHeight="1" s="24">
      <c r="A47" s="27" t="n">
        <v>297466</v>
      </c>
      <c r="B47" s="27" t="inlineStr">
        <is>
          <t>Anika Venter</t>
        </is>
      </c>
      <c r="C47" s="27" t="inlineStr">
        <is>
          <t>+27477111466</t>
        </is>
      </c>
      <c r="D47" s="27" t="inlineStr">
        <is>
          <t>Western Cape</t>
        </is>
      </c>
      <c r="E47" s="27" t="inlineStr">
        <is>
          <t>Bellville</t>
        </is>
      </c>
      <c r="F47" s="41" t="n">
        <v>46050</v>
      </c>
      <c r="G47" s="27" t="inlineStr">
        <is>
          <t>Dormant</t>
        </is>
      </c>
      <c r="H47" s="27">
        <f>TRUE()</f>
        <v/>
      </c>
    </row>
    <row r="48" ht="15" customHeight="1" s="24">
      <c r="A48" s="27" t="n">
        <v>217463</v>
      </c>
      <c r="B48" s="27" t="inlineStr">
        <is>
          <t>Liam Mahlangu</t>
        </is>
      </c>
      <c r="C48" s="27" t="inlineStr">
        <is>
          <t>+27478856883</t>
        </is>
      </c>
      <c r="D48" s="27" t="inlineStr">
        <is>
          <t>Gauteng</t>
        </is>
      </c>
      <c r="E48" s="27" t="inlineStr">
        <is>
          <t>Sandton</t>
        </is>
      </c>
      <c r="F48" s="41" t="n">
        <v>44557</v>
      </c>
      <c r="G48" s="27" t="inlineStr">
        <is>
          <t>Dormant</t>
        </is>
      </c>
      <c r="H48" s="27">
        <f>FALSE()</f>
        <v/>
      </c>
    </row>
    <row r="49" ht="15" customHeight="1" s="24">
      <c r="A49" s="27" t="n">
        <v>362902</v>
      </c>
      <c r="B49" s="27" t="inlineStr">
        <is>
          <t>Megan Steyn</t>
        </is>
      </c>
      <c r="C49" s="27" t="inlineStr">
        <is>
          <t>+27472232773</t>
        </is>
      </c>
      <c r="D49" s="27" t="inlineStr">
        <is>
          <t>Mpumalanga</t>
        </is>
      </c>
      <c r="E49" s="27" t="inlineStr">
        <is>
          <t>Secunda</t>
        </is>
      </c>
      <c r="F49" s="41" t="n">
        <v>44248</v>
      </c>
      <c r="G49" s="27" t="inlineStr">
        <is>
          <t>Occasional</t>
        </is>
      </c>
      <c r="H49" s="27">
        <f>TRUE()</f>
        <v/>
      </c>
    </row>
    <row r="50" ht="15" customHeight="1" s="24">
      <c r="A50" s="27" t="n">
        <v>62081</v>
      </c>
      <c r="B50" s="27" t="inlineStr">
        <is>
          <t>Zanele Adams</t>
        </is>
      </c>
      <c r="C50" s="27" t="inlineStr">
        <is>
          <t>+27472681293</t>
        </is>
      </c>
      <c r="D50" s="27" t="inlineStr">
        <is>
          <t>Gauteng</t>
        </is>
      </c>
      <c r="E50" s="27" t="inlineStr">
        <is>
          <t>Roodepoort</t>
        </is>
      </c>
      <c r="F50" s="41" t="n">
        <v>44518</v>
      </c>
      <c r="G50" s="27" t="inlineStr">
        <is>
          <t>Regular</t>
        </is>
      </c>
      <c r="H50" s="27">
        <f>FALSE()</f>
        <v/>
      </c>
    </row>
    <row r="51" ht="15" customHeight="1" s="24">
      <c r="A51" s="27" t="n">
        <v>130822</v>
      </c>
      <c r="B51" s="27" t="inlineStr">
        <is>
          <t>Daniel Tshabalala</t>
        </is>
      </c>
      <c r="C51" s="27" t="inlineStr">
        <is>
          <t>+27474921821</t>
        </is>
      </c>
      <c r="D51" s="27" t="inlineStr">
        <is>
          <t>KwaZulu-Natal</t>
        </is>
      </c>
      <c r="E51" s="27" t="inlineStr">
        <is>
          <t>Newcastle</t>
        </is>
      </c>
      <c r="F51" s="41" t="n">
        <v>45282</v>
      </c>
      <c r="G51" s="27" t="inlineStr">
        <is>
          <t>Dormant</t>
        </is>
      </c>
      <c r="H51" s="27">
        <f>TRUE()</f>
        <v/>
      </c>
    </row>
    <row r="52" ht="15" customHeight="1" s="24">
      <c r="A52" s="27" t="n">
        <v>98791</v>
      </c>
      <c r="B52" s="27" t="inlineStr">
        <is>
          <t>Naledi Fourie</t>
        </is>
      </c>
      <c r="C52" s="27" t="inlineStr">
        <is>
          <t>+27474381793</t>
        </is>
      </c>
      <c r="D52" s="27" t="inlineStr">
        <is>
          <t>KwaZulu-Natal</t>
        </is>
      </c>
      <c r="E52" s="27" t="inlineStr">
        <is>
          <t>Newcastle</t>
        </is>
      </c>
      <c r="F52" s="41" t="n">
        <v>44509</v>
      </c>
      <c r="G52" s="27" t="inlineStr">
        <is>
          <t>Dormant</t>
        </is>
      </c>
      <c r="H52" s="27">
        <f>TRUE()</f>
        <v/>
      </c>
    </row>
    <row r="53" ht="15" customHeight="1" s="24">
      <c r="A53" s="27" t="n">
        <v>232722</v>
      </c>
      <c r="B53" s="27" t="inlineStr">
        <is>
          <t>Nomvula Sithole</t>
        </is>
      </c>
      <c r="C53" s="27" t="inlineStr">
        <is>
          <t>+27476496743</t>
        </is>
      </c>
      <c r="D53" s="27" t="inlineStr">
        <is>
          <t>Mpumalanga</t>
        </is>
      </c>
      <c r="E53" s="27" t="inlineStr">
        <is>
          <t>Secunda</t>
        </is>
      </c>
      <c r="F53" s="41" t="n">
        <v>45110</v>
      </c>
      <c r="G53" s="27" t="inlineStr">
        <is>
          <t>Occasional</t>
        </is>
      </c>
      <c r="H53" s="27">
        <f>TRUE()</f>
        <v/>
      </c>
    </row>
    <row r="54" ht="15" customHeight="1" s="24">
      <c r="A54" s="27" t="n">
        <v>83598</v>
      </c>
      <c r="B54" s="27" t="inlineStr">
        <is>
          <t>Ayanda Jacobs</t>
        </is>
      </c>
      <c r="C54" s="27" t="inlineStr">
        <is>
          <t>+27473581718</t>
        </is>
      </c>
      <c r="D54" s="27" t="inlineStr">
        <is>
          <t>KwaZulu-Natal</t>
        </is>
      </c>
      <c r="E54" s="27" t="inlineStr">
        <is>
          <t>Umhlanga</t>
        </is>
      </c>
      <c r="F54" s="41" t="n">
        <v>44790</v>
      </c>
      <c r="G54" s="27" t="inlineStr">
        <is>
          <t>Occasional</t>
        </is>
      </c>
      <c r="H54" s="27">
        <f>TRUE()</f>
        <v/>
      </c>
    </row>
    <row r="55" ht="15" customHeight="1" s="24">
      <c r="A55" s="27" t="n">
        <v>67900</v>
      </c>
      <c r="B55" s="27" t="inlineStr">
        <is>
          <t>Megan Mokoena</t>
        </is>
      </c>
      <c r="C55" s="27" t="inlineStr">
        <is>
          <t>+27474300324</t>
        </is>
      </c>
      <c r="D55" s="27" t="inlineStr">
        <is>
          <t>Limpopo</t>
        </is>
      </c>
      <c r="E55" s="27" t="inlineStr">
        <is>
          <t>Mokopane</t>
        </is>
      </c>
      <c r="F55" s="41" t="n">
        <v>45029</v>
      </c>
      <c r="G55" s="27" t="inlineStr">
        <is>
          <t>Occasional</t>
        </is>
      </c>
      <c r="H55" s="27">
        <f>TRUE()</f>
        <v/>
      </c>
    </row>
    <row r="56" ht="15" customHeight="1" s="24">
      <c r="A56" s="27" t="n">
        <v>391413</v>
      </c>
      <c r="B56" s="27" t="inlineStr">
        <is>
          <t>Sipho Pillay</t>
        </is>
      </c>
      <c r="C56" s="27" t="inlineStr">
        <is>
          <t>+27472409728</t>
        </is>
      </c>
      <c r="D56" s="27" t="inlineStr">
        <is>
          <t>Gauteng</t>
        </is>
      </c>
      <c r="E56" s="27" t="inlineStr">
        <is>
          <t>Johannesburg</t>
        </is>
      </c>
      <c r="F56" s="41" t="n">
        <v>44458</v>
      </c>
      <c r="G56" s="27" t="inlineStr">
        <is>
          <t>Occasional</t>
        </is>
      </c>
      <c r="H56" s="27">
        <f>TRUE()</f>
        <v/>
      </c>
    </row>
    <row r="57" ht="15" customHeight="1" s="24">
      <c r="A57" s="27" t="n">
        <v>297583</v>
      </c>
      <c r="B57" s="27" t="inlineStr">
        <is>
          <t>Werner Jacobs</t>
        </is>
      </c>
      <c r="C57" s="27" t="inlineStr">
        <is>
          <t>+27479163342</t>
        </is>
      </c>
      <c r="D57" s="27" t="inlineStr">
        <is>
          <t>Gauteng</t>
        </is>
      </c>
      <c r="E57" s="27" t="inlineStr">
        <is>
          <t>Midrand</t>
        </is>
      </c>
      <c r="F57" s="41" t="n">
        <v>44449</v>
      </c>
      <c r="G57" s="27" t="inlineStr">
        <is>
          <t>Occasional</t>
        </is>
      </c>
      <c r="H57" s="27">
        <f>TRUE()</f>
        <v/>
      </c>
    </row>
    <row r="58" ht="15" customHeight="1" s="24">
      <c r="A58" s="27" t="n">
        <v>122901</v>
      </c>
      <c r="B58" s="27" t="inlineStr">
        <is>
          <t>Kagiso Khumalo</t>
        </is>
      </c>
      <c r="C58" s="27" t="inlineStr">
        <is>
          <t>+27477711948</t>
        </is>
      </c>
      <c r="D58" s="27" t="inlineStr">
        <is>
          <t>Limpopo</t>
        </is>
      </c>
      <c r="E58" s="27" t="inlineStr">
        <is>
          <t>Polokwane</t>
        </is>
      </c>
      <c r="F58" s="41" t="n">
        <v>44462</v>
      </c>
      <c r="G58" s="27" t="inlineStr">
        <is>
          <t>Occasional</t>
        </is>
      </c>
      <c r="H58" s="27">
        <f>TRUE()</f>
        <v/>
      </c>
    </row>
    <row r="59" ht="15" customHeight="1" s="24">
      <c r="A59" s="27" t="n">
        <v>150380</v>
      </c>
      <c r="B59" s="27" t="inlineStr">
        <is>
          <t>Lwazi Smith</t>
        </is>
      </c>
      <c r="C59" s="27" t="inlineStr">
        <is>
          <t>+27477063141</t>
        </is>
      </c>
      <c r="D59" s="27" t="inlineStr">
        <is>
          <t>Western Cape</t>
        </is>
      </c>
      <c r="E59" s="27" t="inlineStr">
        <is>
          <t>Paarl</t>
        </is>
      </c>
      <c r="F59" s="41" t="n">
        <v>45250</v>
      </c>
      <c r="G59" s="27" t="inlineStr">
        <is>
          <t>Regular</t>
        </is>
      </c>
      <c r="H59" s="27">
        <f>TRUE()</f>
        <v/>
      </c>
    </row>
    <row r="60" ht="15" customHeight="1" s="24">
      <c r="A60" s="27" t="n">
        <v>112345</v>
      </c>
      <c r="B60" s="27" t="inlineStr">
        <is>
          <t>Lerato Maluleke</t>
        </is>
      </c>
      <c r="C60" s="27" t="inlineStr">
        <is>
          <t>+27473017411</t>
        </is>
      </c>
      <c r="D60" s="27" t="inlineStr">
        <is>
          <t>North West</t>
        </is>
      </c>
      <c r="E60" s="27" t="inlineStr">
        <is>
          <t>Potchefstroom</t>
        </is>
      </c>
      <c r="F60" s="41" t="n">
        <v>45283</v>
      </c>
      <c r="G60" s="27" t="inlineStr">
        <is>
          <t>Dormant</t>
        </is>
      </c>
      <c r="H60" s="27">
        <f>TRUE()</f>
        <v/>
      </c>
    </row>
    <row r="61" ht="15" customHeight="1" s="24">
      <c r="A61" s="27" t="n">
        <v>324066</v>
      </c>
      <c r="B61" s="27" t="inlineStr">
        <is>
          <t>Kagiso Mthembu</t>
        </is>
      </c>
      <c r="C61" s="27" t="inlineStr">
        <is>
          <t>+27478698196</t>
        </is>
      </c>
      <c r="D61" s="27" t="inlineStr">
        <is>
          <t>KwaZulu-Natal</t>
        </is>
      </c>
      <c r="E61" s="27" t="inlineStr">
        <is>
          <t>Richards Bay</t>
        </is>
      </c>
      <c r="F61" s="41" t="n">
        <v>45412</v>
      </c>
      <c r="G61" s="27" t="inlineStr">
        <is>
          <t>Occasional</t>
        </is>
      </c>
      <c r="H61" s="27">
        <f>TRUE()</f>
        <v/>
      </c>
    </row>
    <row r="62" ht="15" customHeight="1" s="24">
      <c r="A62" s="27" t="n">
        <v>363209</v>
      </c>
      <c r="B62" s="27" t="inlineStr">
        <is>
          <t>Sarah Steyn</t>
        </is>
      </c>
      <c r="C62" s="27" t="inlineStr">
        <is>
          <t>+27473138928</t>
        </is>
      </c>
      <c r="D62" s="27" t="inlineStr">
        <is>
          <t>Western Cape</t>
        </is>
      </c>
      <c r="E62" s="27" t="inlineStr">
        <is>
          <t>Somerset West</t>
        </is>
      </c>
      <c r="F62" s="41" t="n">
        <v>44760</v>
      </c>
      <c r="G62" s="27" t="inlineStr">
        <is>
          <t>Dormant</t>
        </is>
      </c>
      <c r="H62" s="27">
        <f>TRUE()</f>
        <v/>
      </c>
    </row>
    <row r="63" ht="15" customHeight="1" s="24">
      <c r="A63" s="27" t="n">
        <v>71161</v>
      </c>
      <c r="B63" s="27" t="inlineStr">
        <is>
          <t>Anika Sithole</t>
        </is>
      </c>
      <c r="C63" s="27" t="inlineStr">
        <is>
          <t>+27474735269</t>
        </is>
      </c>
      <c r="D63" s="27" t="inlineStr">
        <is>
          <t>Gauteng</t>
        </is>
      </c>
      <c r="E63" s="27" t="inlineStr">
        <is>
          <t>Midrand</t>
        </is>
      </c>
      <c r="F63" s="41" t="n">
        <v>44455</v>
      </c>
      <c r="G63" s="27" t="inlineStr">
        <is>
          <t>Occasional</t>
        </is>
      </c>
      <c r="H63" s="27">
        <f>FALSE()</f>
        <v/>
      </c>
    </row>
    <row r="64" ht="15" customHeight="1" s="24">
      <c r="A64" s="27" t="n">
        <v>31684</v>
      </c>
      <c r="B64" s="27" t="inlineStr">
        <is>
          <t>Johan Adams</t>
        </is>
      </c>
      <c r="C64" s="27" t="inlineStr">
        <is>
          <t>+27471402381</t>
        </is>
      </c>
      <c r="D64" s="27" t="inlineStr">
        <is>
          <t>Gauteng</t>
        </is>
      </c>
      <c r="E64" s="27" t="inlineStr">
        <is>
          <t>Sandton</t>
        </is>
      </c>
      <c r="F64" s="41" t="n">
        <v>44397</v>
      </c>
      <c r="G64" s="27" t="inlineStr">
        <is>
          <t>Occasional</t>
        </is>
      </c>
      <c r="H64" s="27">
        <f>TRUE()</f>
        <v/>
      </c>
    </row>
    <row r="65" ht="15" customHeight="1" s="24">
      <c r="A65" s="27" t="n">
        <v>76656</v>
      </c>
      <c r="B65" s="27" t="inlineStr">
        <is>
          <t>Megan Smith</t>
        </is>
      </c>
      <c r="C65" s="27" t="inlineStr">
        <is>
          <t>+27472237099</t>
        </is>
      </c>
      <c r="D65" s="27" t="inlineStr">
        <is>
          <t>KwaZulu-Natal</t>
        </is>
      </c>
      <c r="E65" s="27" t="inlineStr">
        <is>
          <t>Umhlanga</t>
        </is>
      </c>
      <c r="F65" s="41" t="n">
        <v>45585</v>
      </c>
      <c r="G65" s="27" t="inlineStr">
        <is>
          <t>Regular</t>
        </is>
      </c>
      <c r="H65" s="27">
        <f>FALSE()</f>
        <v/>
      </c>
    </row>
    <row r="66" ht="15" customHeight="1" s="24">
      <c r="A66" s="27" t="n">
        <v>83649</v>
      </c>
      <c r="B66" s="27" t="inlineStr">
        <is>
          <t>Sipho Hendricks</t>
        </is>
      </c>
      <c r="C66" s="27" t="inlineStr">
        <is>
          <t>+27473444667</t>
        </is>
      </c>
      <c r="D66" s="27" t="inlineStr">
        <is>
          <t>Western Cape</t>
        </is>
      </c>
      <c r="E66" s="27" t="inlineStr">
        <is>
          <t>Somerset West</t>
        </is>
      </c>
      <c r="F66" s="41" t="n">
        <v>44545</v>
      </c>
      <c r="G66" s="27" t="inlineStr">
        <is>
          <t>Dormant</t>
        </is>
      </c>
      <c r="H66" s="27">
        <f>TRUE()</f>
        <v/>
      </c>
    </row>
    <row r="67" ht="15" customHeight="1" s="24">
      <c r="A67" s="27" t="n">
        <v>340672</v>
      </c>
      <c r="B67" s="27" t="inlineStr">
        <is>
          <t>Refilwe Adams</t>
        </is>
      </c>
      <c r="C67" s="27" t="inlineStr">
        <is>
          <t>+27473182275</t>
        </is>
      </c>
      <c r="D67" s="27" t="inlineStr">
        <is>
          <t>Mpumalanga</t>
        </is>
      </c>
      <c r="E67" s="27" t="inlineStr">
        <is>
          <t>Mbombela</t>
        </is>
      </c>
      <c r="F67" s="41" t="n">
        <v>45723</v>
      </c>
      <c r="G67" s="27" t="inlineStr">
        <is>
          <t>Dormant</t>
        </is>
      </c>
      <c r="H67" s="27">
        <f>FALSE()</f>
        <v/>
      </c>
    </row>
    <row r="68" ht="15" customHeight="1" s="24">
      <c r="A68" s="27" t="n">
        <v>170656</v>
      </c>
      <c r="B68" s="27" t="inlineStr">
        <is>
          <t>Chloe Smith</t>
        </is>
      </c>
      <c r="C68" s="27" t="inlineStr">
        <is>
          <t>+27477504646</t>
        </is>
      </c>
      <c r="D68" s="27" t="inlineStr">
        <is>
          <t>Western Cape</t>
        </is>
      </c>
      <c r="E68" s="27" t="inlineStr">
        <is>
          <t>Cape Town</t>
        </is>
      </c>
      <c r="F68" s="41" t="n">
        <v>45896</v>
      </c>
      <c r="G68" s="27" t="inlineStr">
        <is>
          <t>Occasional</t>
        </is>
      </c>
      <c r="H68" s="27">
        <f>TRUE()</f>
        <v/>
      </c>
    </row>
    <row r="69" ht="15" customHeight="1" s="24">
      <c r="A69" s="27" t="n">
        <v>114823</v>
      </c>
      <c r="B69" s="27" t="inlineStr">
        <is>
          <t>Zanele van der Merwe</t>
        </is>
      </c>
      <c r="C69" s="27" t="inlineStr">
        <is>
          <t>+27476522337</t>
        </is>
      </c>
      <c r="D69" s="27" t="inlineStr">
        <is>
          <t>Gauteng</t>
        </is>
      </c>
      <c r="E69" s="27" t="inlineStr">
        <is>
          <t>Sandton</t>
        </is>
      </c>
      <c r="F69" s="41" t="n">
        <v>44848</v>
      </c>
      <c r="G69" s="27" t="inlineStr">
        <is>
          <t>Frequent</t>
        </is>
      </c>
      <c r="H69" s="27">
        <f>TRUE()</f>
        <v/>
      </c>
    </row>
    <row r="70" ht="15" customHeight="1" s="24">
      <c r="A70" s="27" t="n">
        <v>341991</v>
      </c>
      <c r="B70" s="27" t="inlineStr">
        <is>
          <t>Jaco Ngcobo</t>
        </is>
      </c>
      <c r="C70" s="27" t="inlineStr">
        <is>
          <t>+27473078407</t>
        </is>
      </c>
      <c r="D70" s="27" t="inlineStr">
        <is>
          <t>Eastern Cape</t>
        </is>
      </c>
      <c r="E70" s="27" t="inlineStr">
        <is>
          <t>Uitenhage</t>
        </is>
      </c>
      <c r="F70" s="41" t="n">
        <v>44727</v>
      </c>
      <c r="G70" s="27" t="inlineStr">
        <is>
          <t>Occasional</t>
        </is>
      </c>
      <c r="H70" s="27">
        <f>TRUE()</f>
        <v/>
      </c>
    </row>
    <row r="71" ht="15" customHeight="1" s="24">
      <c r="A71" s="27" t="n">
        <v>397537</v>
      </c>
      <c r="B71" s="27" t="inlineStr">
        <is>
          <t>Sipho Mahlangu</t>
        </is>
      </c>
      <c r="C71" s="27" t="inlineStr">
        <is>
          <t>+27473790202</t>
        </is>
      </c>
      <c r="D71" s="27" t="inlineStr">
        <is>
          <t>Mpumalanga</t>
        </is>
      </c>
      <c r="E71" s="27" t="inlineStr">
        <is>
          <t>Secunda</t>
        </is>
      </c>
      <c r="F71" s="41" t="n">
        <v>45049</v>
      </c>
      <c r="G71" s="27" t="inlineStr">
        <is>
          <t>Occasional</t>
        </is>
      </c>
      <c r="H71" s="27">
        <f>TRUE()</f>
        <v/>
      </c>
    </row>
    <row r="72" ht="15" customHeight="1" s="24">
      <c r="A72" s="27" t="n">
        <v>376963</v>
      </c>
      <c r="B72" s="27" t="inlineStr">
        <is>
          <t>Megan van der Merwe</t>
        </is>
      </c>
      <c r="C72" s="27" t="inlineStr">
        <is>
          <t>+27476557682</t>
        </is>
      </c>
      <c r="D72" s="27" t="inlineStr">
        <is>
          <t>Western Cape</t>
        </is>
      </c>
      <c r="E72" s="27" t="inlineStr">
        <is>
          <t>Somerset West</t>
        </is>
      </c>
      <c r="F72" s="41" t="n">
        <v>45785</v>
      </c>
      <c r="G72" s="27" t="inlineStr">
        <is>
          <t>Dormant</t>
        </is>
      </c>
      <c r="H72" s="27">
        <f>TRUE()</f>
        <v/>
      </c>
    </row>
    <row r="73" ht="15" customHeight="1" s="24">
      <c r="A73" s="27" t="n">
        <v>191733</v>
      </c>
      <c r="B73" s="27" t="inlineStr">
        <is>
          <t>Tshepo Nkosi</t>
        </is>
      </c>
      <c r="C73" s="27" t="inlineStr">
        <is>
          <t>+27471186679</t>
        </is>
      </c>
      <c r="D73" s="27" t="inlineStr">
        <is>
          <t>Eastern Cape</t>
        </is>
      </c>
      <c r="E73" s="27" t="inlineStr">
        <is>
          <t>Mthatha</t>
        </is>
      </c>
      <c r="F73" s="41" t="n">
        <v>45995</v>
      </c>
      <c r="G73" s="27" t="inlineStr">
        <is>
          <t>Regular</t>
        </is>
      </c>
      <c r="H73" s="27">
        <f>TRUE()</f>
        <v/>
      </c>
    </row>
    <row r="74" ht="15" customHeight="1" s="24">
      <c r="A74" s="27" t="n">
        <v>277803</v>
      </c>
      <c r="B74" s="27" t="inlineStr">
        <is>
          <t>Fatima Sithole</t>
        </is>
      </c>
      <c r="C74" s="27" t="inlineStr">
        <is>
          <t>+27471973091</t>
        </is>
      </c>
      <c r="D74" s="27" t="inlineStr">
        <is>
          <t>Limpopo</t>
        </is>
      </c>
      <c r="E74" s="27" t="inlineStr">
        <is>
          <t>Thohoyandou</t>
        </is>
      </c>
      <c r="F74" s="41" t="n">
        <v>44547</v>
      </c>
      <c r="G74" s="27" t="inlineStr">
        <is>
          <t>Occasional</t>
        </is>
      </c>
      <c r="H74" s="27">
        <f>FALSE()</f>
        <v/>
      </c>
    </row>
    <row r="75" ht="15" customHeight="1" s="24">
      <c r="A75" s="27" t="n">
        <v>275876</v>
      </c>
      <c r="B75" s="27" t="inlineStr">
        <is>
          <t>Khanyi Zulu</t>
        </is>
      </c>
      <c r="C75" s="27" t="inlineStr">
        <is>
          <t>+27472505453</t>
        </is>
      </c>
      <c r="D75" s="27" t="inlineStr">
        <is>
          <t>Western Cape</t>
        </is>
      </c>
      <c r="E75" s="27" t="inlineStr">
        <is>
          <t>Cape Town</t>
        </is>
      </c>
      <c r="F75" s="41" t="n">
        <v>44273</v>
      </c>
      <c r="G75" s="27" t="inlineStr">
        <is>
          <t>Dormant</t>
        </is>
      </c>
      <c r="H75" s="27">
        <f>FALSE()</f>
        <v/>
      </c>
    </row>
    <row r="76" ht="15" customHeight="1" s="24">
      <c r="A76" s="27" t="n">
        <v>197371</v>
      </c>
      <c r="B76" s="27" t="inlineStr">
        <is>
          <t>Riaan Pretorius</t>
        </is>
      </c>
      <c r="C76" s="27" t="inlineStr">
        <is>
          <t>+27472109478</t>
        </is>
      </c>
      <c r="D76" s="27" t="inlineStr">
        <is>
          <t>Northern Cape</t>
        </is>
      </c>
      <c r="E76" s="27" t="inlineStr">
        <is>
          <t>Springbok</t>
        </is>
      </c>
      <c r="F76" s="41" t="n">
        <v>45312</v>
      </c>
      <c r="G76" s="27" t="inlineStr">
        <is>
          <t>Regular</t>
        </is>
      </c>
      <c r="H76" s="27">
        <f>TRUE()</f>
        <v/>
      </c>
    </row>
    <row r="77" ht="15" customHeight="1" s="24">
      <c r="A77" s="27" t="n">
        <v>344919</v>
      </c>
      <c r="B77" s="27" t="inlineStr">
        <is>
          <t>Mandla Daniels</t>
        </is>
      </c>
      <c r="C77" s="27" t="inlineStr">
        <is>
          <t>+27473861069</t>
        </is>
      </c>
      <c r="D77" s="27" t="inlineStr">
        <is>
          <t>KwaZulu-Natal</t>
        </is>
      </c>
      <c r="E77" s="27" t="inlineStr">
        <is>
          <t>Umhlanga</t>
        </is>
      </c>
      <c r="F77" s="41" t="n">
        <v>44241</v>
      </c>
      <c r="G77" s="27" t="inlineStr">
        <is>
          <t>Dormant</t>
        </is>
      </c>
      <c r="H77" s="27">
        <f>TRUE()</f>
        <v/>
      </c>
    </row>
    <row r="78" ht="15" customHeight="1" s="24">
      <c r="A78" s="27" t="n">
        <v>22833</v>
      </c>
      <c r="B78" s="27" t="inlineStr">
        <is>
          <t>Anika Botha</t>
        </is>
      </c>
      <c r="C78" s="27" t="inlineStr">
        <is>
          <t>+27471506437</t>
        </is>
      </c>
      <c r="D78" s="27" t="inlineStr">
        <is>
          <t>Eastern Cape</t>
        </is>
      </c>
      <c r="E78" s="27" t="inlineStr">
        <is>
          <t>Mthatha</t>
        </is>
      </c>
      <c r="F78" s="41" t="n">
        <v>46110</v>
      </c>
      <c r="G78" s="27" t="inlineStr">
        <is>
          <t>Occasional</t>
        </is>
      </c>
      <c r="H78" s="27">
        <f>TRUE()</f>
        <v/>
      </c>
    </row>
    <row r="79" ht="15" customHeight="1" s="24">
      <c r="A79" s="27" t="n">
        <v>183383</v>
      </c>
      <c r="B79" s="27" t="inlineStr">
        <is>
          <t>Thabo Khumalo</t>
        </is>
      </c>
      <c r="C79" s="27" t="inlineStr">
        <is>
          <t>+27476682559</t>
        </is>
      </c>
      <c r="D79" s="27" t="inlineStr">
        <is>
          <t>Limpopo</t>
        </is>
      </c>
      <c r="E79" s="27" t="inlineStr">
        <is>
          <t>Mokopane</t>
        </is>
      </c>
      <c r="F79" s="41" t="n">
        <v>44816</v>
      </c>
      <c r="G79" s="27" t="inlineStr">
        <is>
          <t>Occasional</t>
        </is>
      </c>
      <c r="H79" s="27">
        <f>TRUE()</f>
        <v/>
      </c>
    </row>
    <row r="80" ht="15" customHeight="1" s="24">
      <c r="A80" s="27" t="n">
        <v>177747</v>
      </c>
      <c r="B80" s="27" t="inlineStr">
        <is>
          <t>Liam Molefe</t>
        </is>
      </c>
      <c r="C80" s="27" t="inlineStr">
        <is>
          <t>+27471324910</t>
        </is>
      </c>
      <c r="D80" s="27" t="inlineStr">
        <is>
          <t>KwaZulu-Natal</t>
        </is>
      </c>
      <c r="E80" s="27" t="inlineStr">
        <is>
          <t>Newcastle</t>
        </is>
      </c>
      <c r="F80" s="41" t="n">
        <v>45532</v>
      </c>
      <c r="G80" s="27" t="inlineStr">
        <is>
          <t>Occasional</t>
        </is>
      </c>
      <c r="H80" s="27">
        <f>TRUE()</f>
        <v/>
      </c>
    </row>
    <row r="81" ht="15" customHeight="1" s="24">
      <c r="A81" s="27" t="n">
        <v>301488</v>
      </c>
      <c r="B81" s="27" t="inlineStr">
        <is>
          <t>Precious Fourie</t>
        </is>
      </c>
      <c r="C81" s="27" t="inlineStr">
        <is>
          <t>+27472775202</t>
        </is>
      </c>
      <c r="D81" s="27" t="inlineStr">
        <is>
          <t>Eastern Cape</t>
        </is>
      </c>
      <c r="E81" s="27" t="inlineStr">
        <is>
          <t>Gqeberha</t>
        </is>
      </c>
      <c r="F81" s="41" t="n">
        <v>44662</v>
      </c>
      <c r="G81" s="27" t="inlineStr">
        <is>
          <t>Occasional</t>
        </is>
      </c>
      <c r="H81" s="27">
        <f>TRUE()</f>
        <v/>
      </c>
    </row>
    <row r="82" ht="15" customHeight="1" s="24">
      <c r="A82" s="27" t="n">
        <v>85422</v>
      </c>
      <c r="B82" s="27" t="inlineStr">
        <is>
          <t>Fatima Hendricks</t>
        </is>
      </c>
      <c r="C82" s="27" t="inlineStr">
        <is>
          <t>+27479998355</t>
        </is>
      </c>
      <c r="D82" s="27" t="inlineStr">
        <is>
          <t>KwaZulu-Natal</t>
        </is>
      </c>
      <c r="E82" s="27" t="inlineStr">
        <is>
          <t>Pinetown</t>
        </is>
      </c>
      <c r="F82" s="41" t="n">
        <v>46131</v>
      </c>
      <c r="G82" s="27" t="inlineStr">
        <is>
          <t>Frequent</t>
        </is>
      </c>
      <c r="H82" s="27">
        <f>FALSE()</f>
        <v/>
      </c>
    </row>
    <row r="83" ht="15" customHeight="1" s="24">
      <c r="A83" s="27" t="n">
        <v>174231</v>
      </c>
      <c r="B83" s="27" t="inlineStr">
        <is>
          <t>Ayanda Pretorius</t>
        </is>
      </c>
      <c r="C83" s="27" t="inlineStr">
        <is>
          <t>+27476805868</t>
        </is>
      </c>
      <c r="D83" s="27" t="inlineStr">
        <is>
          <t>KwaZulu-Natal</t>
        </is>
      </c>
      <c r="E83" s="27" t="inlineStr">
        <is>
          <t>Pinetown</t>
        </is>
      </c>
      <c r="F83" s="41" t="n">
        <v>45173</v>
      </c>
      <c r="G83" s="27" t="inlineStr">
        <is>
          <t>Regular</t>
        </is>
      </c>
      <c r="H83" s="27">
        <f>TRUE()</f>
        <v/>
      </c>
    </row>
    <row r="84" ht="15" customHeight="1" s="24">
      <c r="A84" s="27" t="n">
        <v>347416</v>
      </c>
      <c r="B84" s="27" t="inlineStr">
        <is>
          <t>Naledi Dlamini</t>
        </is>
      </c>
      <c r="C84" s="27" t="inlineStr">
        <is>
          <t>+27471159876</t>
        </is>
      </c>
      <c r="D84" s="27" t="inlineStr">
        <is>
          <t>Gauteng</t>
        </is>
      </c>
      <c r="E84" s="27" t="inlineStr">
        <is>
          <t>Benoni</t>
        </is>
      </c>
      <c r="F84" s="41" t="n">
        <v>45900</v>
      </c>
      <c r="G84" s="27" t="inlineStr">
        <is>
          <t>Occasional</t>
        </is>
      </c>
      <c r="H84" s="27">
        <f>TRUE()</f>
        <v/>
      </c>
    </row>
    <row r="85" ht="15" customHeight="1" s="24">
      <c r="A85" s="27" t="n">
        <v>94293</v>
      </c>
      <c r="B85" s="27" t="inlineStr">
        <is>
          <t>Chloe Tshabalala</t>
        </is>
      </c>
      <c r="C85" s="27" t="inlineStr">
        <is>
          <t>+27472117768</t>
        </is>
      </c>
      <c r="D85" s="27" t="inlineStr">
        <is>
          <t>Mpumalanga</t>
        </is>
      </c>
      <c r="E85" s="27" t="inlineStr">
        <is>
          <t>Mbombela</t>
        </is>
      </c>
      <c r="F85" s="41" t="n">
        <v>46099</v>
      </c>
      <c r="G85" s="27" t="inlineStr">
        <is>
          <t>Occasional</t>
        </is>
      </c>
      <c r="H85" s="27">
        <f>TRUE()</f>
        <v/>
      </c>
    </row>
    <row r="86" ht="15" customHeight="1" s="24">
      <c r="A86" s="27" t="n">
        <v>338272</v>
      </c>
      <c r="B86" s="27" t="inlineStr">
        <is>
          <t>Fatima Mokoena</t>
        </is>
      </c>
      <c r="C86" s="27" t="inlineStr">
        <is>
          <t>+27479930930</t>
        </is>
      </c>
      <c r="D86" s="27" t="inlineStr">
        <is>
          <t>Eastern Cape</t>
        </is>
      </c>
      <c r="E86" s="27" t="inlineStr">
        <is>
          <t>East London</t>
        </is>
      </c>
      <c r="F86" s="41" t="n">
        <v>45845</v>
      </c>
      <c r="G86" s="27" t="inlineStr">
        <is>
          <t>Occasional</t>
        </is>
      </c>
      <c r="H86" s="27">
        <f>TRUE()</f>
        <v/>
      </c>
    </row>
    <row r="87" ht="15" customHeight="1" s="24">
      <c r="A87" s="27" t="n">
        <v>128253</v>
      </c>
      <c r="B87" s="27" t="inlineStr">
        <is>
          <t>Sarah Smith</t>
        </is>
      </c>
      <c r="C87" s="27" t="inlineStr">
        <is>
          <t>+27474884424</t>
        </is>
      </c>
      <c r="D87" s="27" t="inlineStr">
        <is>
          <t>Eastern Cape</t>
        </is>
      </c>
      <c r="E87" s="27" t="inlineStr">
        <is>
          <t>Uitenhage</t>
        </is>
      </c>
      <c r="F87" s="41" t="n">
        <v>46103</v>
      </c>
      <c r="G87" s="27" t="inlineStr">
        <is>
          <t>Dormant</t>
        </is>
      </c>
      <c r="H87" s="27">
        <f>TRUE()</f>
        <v/>
      </c>
    </row>
    <row r="88" ht="15" customHeight="1" s="24">
      <c r="A88" s="27" t="n">
        <v>266382</v>
      </c>
      <c r="B88" s="27" t="inlineStr">
        <is>
          <t>Werner Dlamini</t>
        </is>
      </c>
      <c r="C88" s="27" t="inlineStr">
        <is>
          <t>+27474991238</t>
        </is>
      </c>
      <c r="D88" s="27" t="inlineStr">
        <is>
          <t>Gauteng</t>
        </is>
      </c>
      <c r="E88" s="27" t="inlineStr">
        <is>
          <t>Pretoria</t>
        </is>
      </c>
      <c r="F88" s="41" t="n">
        <v>45138</v>
      </c>
      <c r="G88" s="27" t="inlineStr">
        <is>
          <t>Occasional</t>
        </is>
      </c>
      <c r="H88" s="27">
        <f>TRUE()</f>
        <v/>
      </c>
    </row>
    <row r="89" ht="15" customHeight="1" s="24">
      <c r="A89" s="27" t="n">
        <v>265537</v>
      </c>
      <c r="B89" s="27" t="inlineStr">
        <is>
          <t>Daniel Ngcobo</t>
        </is>
      </c>
      <c r="C89" s="27" t="inlineStr">
        <is>
          <t>+27473356786</t>
        </is>
      </c>
      <c r="D89" s="27" t="inlineStr">
        <is>
          <t>Eastern Cape</t>
        </is>
      </c>
      <c r="E89" s="27" t="inlineStr">
        <is>
          <t>East London</t>
        </is>
      </c>
      <c r="F89" s="41" t="n">
        <v>44921</v>
      </c>
      <c r="G89" s="27" t="inlineStr">
        <is>
          <t>Occasional</t>
        </is>
      </c>
      <c r="H89" s="27">
        <f>TRUE()</f>
        <v/>
      </c>
    </row>
    <row r="90" ht="15" customHeight="1" s="24">
      <c r="A90" s="27" t="n">
        <v>167761</v>
      </c>
      <c r="B90" s="27" t="inlineStr">
        <is>
          <t>Lerato Venter</t>
        </is>
      </c>
      <c r="C90" s="27" t="inlineStr">
        <is>
          <t>+27475703407</t>
        </is>
      </c>
      <c r="D90" s="27" t="inlineStr">
        <is>
          <t>Western Cape</t>
        </is>
      </c>
      <c r="E90" s="27" t="inlineStr">
        <is>
          <t>Somerset West</t>
        </is>
      </c>
      <c r="F90" s="41" t="n">
        <v>45364</v>
      </c>
      <c r="G90" s="27" t="inlineStr">
        <is>
          <t>Occasional</t>
        </is>
      </c>
      <c r="H90" s="27">
        <f>TRUE()</f>
        <v/>
      </c>
    </row>
    <row r="91" ht="15" customHeight="1" s="24">
      <c r="A91" s="27" t="n">
        <v>149203</v>
      </c>
      <c r="B91" s="27" t="inlineStr">
        <is>
          <t>Lwazi Sithole</t>
        </is>
      </c>
      <c r="C91" s="27" t="inlineStr">
        <is>
          <t>+27471366096</t>
        </is>
      </c>
      <c r="D91" s="27" t="inlineStr">
        <is>
          <t>Gauteng</t>
        </is>
      </c>
      <c r="E91" s="27" t="inlineStr">
        <is>
          <t>Soweto</t>
        </is>
      </c>
      <c r="F91" s="41" t="n">
        <v>45838</v>
      </c>
      <c r="G91" s="27" t="inlineStr">
        <is>
          <t>Occasional</t>
        </is>
      </c>
      <c r="H91" s="27">
        <f>TRUE()</f>
        <v/>
      </c>
    </row>
    <row r="92" ht="15" customHeight="1" s="24">
      <c r="A92" s="27" t="n">
        <v>298947</v>
      </c>
      <c r="B92" s="27" t="inlineStr">
        <is>
          <t>Liam Steyn</t>
        </is>
      </c>
      <c r="C92" s="27" t="inlineStr">
        <is>
          <t>+27474393923</t>
        </is>
      </c>
      <c r="D92" s="27" t="inlineStr">
        <is>
          <t>KwaZulu-Natal</t>
        </is>
      </c>
      <c r="E92" s="27" t="inlineStr">
        <is>
          <t>Pietermaritzburg</t>
        </is>
      </c>
      <c r="F92" s="41" t="n">
        <v>45870</v>
      </c>
      <c r="G92" s="27" t="inlineStr">
        <is>
          <t>Occasional</t>
        </is>
      </c>
      <c r="H92" s="27">
        <f>FALSE()</f>
        <v/>
      </c>
    </row>
    <row r="93" ht="15" customHeight="1" s="24">
      <c r="A93" s="27" t="n">
        <v>30943</v>
      </c>
      <c r="B93" s="27" t="inlineStr">
        <is>
          <t>Lerato Petersen</t>
        </is>
      </c>
      <c r="C93" s="27" t="inlineStr">
        <is>
          <t>+27478266975</t>
        </is>
      </c>
      <c r="D93" s="27" t="inlineStr">
        <is>
          <t>North West</t>
        </is>
      </c>
      <c r="E93" s="27" t="inlineStr">
        <is>
          <t>Potchefstroom</t>
        </is>
      </c>
      <c r="F93" s="41" t="n">
        <v>44840</v>
      </c>
      <c r="G93" s="27" t="inlineStr">
        <is>
          <t>Dormant</t>
        </is>
      </c>
      <c r="H93" s="27">
        <f>TRUE()</f>
        <v/>
      </c>
    </row>
    <row r="94" ht="15" customHeight="1" s="24">
      <c r="A94" s="27" t="n">
        <v>7309</v>
      </c>
      <c r="B94" s="27" t="inlineStr">
        <is>
          <t>Zanele Petersen</t>
        </is>
      </c>
      <c r="C94" s="27" t="inlineStr">
        <is>
          <t>+27478394362</t>
        </is>
      </c>
      <c r="D94" s="27" t="inlineStr">
        <is>
          <t>Western Cape</t>
        </is>
      </c>
      <c r="E94" s="27" t="inlineStr">
        <is>
          <t>George</t>
        </is>
      </c>
      <c r="F94" s="41" t="n">
        <v>45153</v>
      </c>
      <c r="G94" s="27" t="inlineStr">
        <is>
          <t>Occasional</t>
        </is>
      </c>
      <c r="H94" s="27">
        <f>TRUE()</f>
        <v/>
      </c>
    </row>
    <row r="95" ht="15" customHeight="1" s="24">
      <c r="A95" s="27" t="n">
        <v>91847</v>
      </c>
      <c r="B95" s="27" t="inlineStr">
        <is>
          <t>Aisha Mahlangu</t>
        </is>
      </c>
      <c r="C95" s="27" t="inlineStr">
        <is>
          <t>+27475348570</t>
        </is>
      </c>
      <c r="D95" s="27" t="inlineStr">
        <is>
          <t>Limpopo</t>
        </is>
      </c>
      <c r="E95" s="27" t="inlineStr">
        <is>
          <t>Thohoyandou</t>
        </is>
      </c>
      <c r="F95" s="41" t="n">
        <v>45866</v>
      </c>
      <c r="G95" s="27" t="inlineStr">
        <is>
          <t>Dormant</t>
        </is>
      </c>
      <c r="H95" s="27">
        <f>TRUE()</f>
        <v/>
      </c>
    </row>
    <row r="96" ht="15" customHeight="1" s="24">
      <c r="A96" s="27" t="n">
        <v>363404</v>
      </c>
      <c r="B96" s="27" t="inlineStr">
        <is>
          <t>Thabo Naidoo</t>
        </is>
      </c>
      <c r="C96" s="27" t="inlineStr">
        <is>
          <t>+27472206804</t>
        </is>
      </c>
      <c r="D96" s="27" t="inlineStr">
        <is>
          <t>Western Cape</t>
        </is>
      </c>
      <c r="E96" s="27" t="inlineStr">
        <is>
          <t>Paarl</t>
        </is>
      </c>
      <c r="F96" s="41" t="n">
        <v>45917</v>
      </c>
      <c r="G96" s="27" t="inlineStr">
        <is>
          <t>Regular</t>
        </is>
      </c>
      <c r="H96" s="27">
        <f>TRUE()</f>
        <v/>
      </c>
    </row>
    <row r="97" ht="15" customHeight="1" s="24">
      <c r="A97" s="27" t="n">
        <v>4865</v>
      </c>
      <c r="B97" s="27" t="inlineStr">
        <is>
          <t>Liam Smith</t>
        </is>
      </c>
      <c r="C97" s="27" t="inlineStr">
        <is>
          <t>+27475211919</t>
        </is>
      </c>
      <c r="D97" s="27" t="inlineStr">
        <is>
          <t>Limpopo</t>
        </is>
      </c>
      <c r="E97" s="27" t="inlineStr">
        <is>
          <t>Mokopane</t>
        </is>
      </c>
      <c r="F97" s="41" t="n">
        <v>44475</v>
      </c>
      <c r="G97" s="27" t="inlineStr">
        <is>
          <t>Dormant</t>
        </is>
      </c>
      <c r="H97" s="27">
        <f>TRUE()</f>
        <v/>
      </c>
    </row>
    <row r="98" ht="15" customHeight="1" s="24">
      <c r="A98" s="27" t="n">
        <v>252765</v>
      </c>
      <c r="B98" s="27" t="inlineStr">
        <is>
          <t>Liam Ngcobo</t>
        </is>
      </c>
      <c r="C98" s="27" t="inlineStr">
        <is>
          <t>+27471186927</t>
        </is>
      </c>
      <c r="D98" s="27" t="inlineStr">
        <is>
          <t>Free State</t>
        </is>
      </c>
      <c r="E98" s="27" t="inlineStr">
        <is>
          <t>Bethlehem</t>
        </is>
      </c>
      <c r="F98" s="41" t="n">
        <v>44231</v>
      </c>
      <c r="G98" s="27" t="inlineStr">
        <is>
          <t>Occasional</t>
        </is>
      </c>
      <c r="H98" s="27">
        <f>TRUE()</f>
        <v/>
      </c>
    </row>
    <row r="99" ht="15" customHeight="1" s="24">
      <c r="A99" s="27" t="n">
        <v>45710</v>
      </c>
      <c r="B99" s="27" t="inlineStr">
        <is>
          <t>Mandla Molefe</t>
        </is>
      </c>
      <c r="C99" s="27" t="inlineStr">
        <is>
          <t>+27478566422</t>
        </is>
      </c>
      <c r="D99" s="27" t="inlineStr">
        <is>
          <t>KwaZulu-Natal</t>
        </is>
      </c>
      <c r="E99" s="27" t="inlineStr">
        <is>
          <t>Pietermaritzburg</t>
        </is>
      </c>
      <c r="F99" s="41" t="n">
        <v>45095</v>
      </c>
      <c r="G99" s="27" t="inlineStr">
        <is>
          <t>Occasional</t>
        </is>
      </c>
      <c r="H99" s="27">
        <f>TRUE()</f>
        <v/>
      </c>
    </row>
    <row r="100" ht="15" customHeight="1" s="24">
      <c r="A100" s="27" t="n">
        <v>81749</v>
      </c>
      <c r="B100" s="27" t="inlineStr">
        <is>
          <t>Dineo Maluleke</t>
        </is>
      </c>
      <c r="C100" s="27" t="inlineStr">
        <is>
          <t>+27479158624</t>
        </is>
      </c>
      <c r="D100" s="27" t="inlineStr">
        <is>
          <t>Northern Cape</t>
        </is>
      </c>
      <c r="E100" s="27" t="inlineStr">
        <is>
          <t>Upington</t>
        </is>
      </c>
      <c r="F100" s="41" t="n">
        <v>45263</v>
      </c>
      <c r="G100" s="27" t="inlineStr">
        <is>
          <t>Regular</t>
        </is>
      </c>
      <c r="H100" s="27">
        <f>TRUE()</f>
        <v/>
      </c>
    </row>
    <row r="101" ht="15" customHeight="1" s="24">
      <c r="A101" s="27" t="n">
        <v>204373</v>
      </c>
      <c r="B101" s="27" t="inlineStr">
        <is>
          <t>Zanele Hendricks</t>
        </is>
      </c>
      <c r="C101" s="27" t="inlineStr">
        <is>
          <t>+27476151550</t>
        </is>
      </c>
      <c r="D101" s="27" t="inlineStr">
        <is>
          <t>Gauteng</t>
        </is>
      </c>
      <c r="E101" s="27" t="inlineStr">
        <is>
          <t>Roodepoort</t>
        </is>
      </c>
      <c r="F101" s="41" t="n">
        <v>45259</v>
      </c>
      <c r="G101" s="27" t="inlineStr">
        <is>
          <t>Regular</t>
        </is>
      </c>
      <c r="H101" s="27">
        <f>TRUE()</f>
        <v/>
      </c>
    </row>
    <row r="102" ht="15" customHeight="1" s="24">
      <c r="A102" s="27" t="n">
        <v>51692</v>
      </c>
      <c r="B102" s="27" t="inlineStr">
        <is>
          <t>Kagiso Smith</t>
        </is>
      </c>
      <c r="C102" s="27" t="inlineStr">
        <is>
          <t>+27473167531</t>
        </is>
      </c>
      <c r="D102" s="27" t="inlineStr">
        <is>
          <t>Limpopo</t>
        </is>
      </c>
      <c r="E102" s="27" t="inlineStr">
        <is>
          <t>Thohoyandou</t>
        </is>
      </c>
      <c r="F102" s="41" t="n">
        <v>44612</v>
      </c>
      <c r="G102" s="27" t="inlineStr">
        <is>
          <t>Dormant</t>
        </is>
      </c>
      <c r="H102" s="27">
        <f>TRUE()</f>
        <v/>
      </c>
    </row>
    <row r="103" ht="15" customHeight="1" s="24">
      <c r="A103" s="27" t="n">
        <v>343175</v>
      </c>
      <c r="B103" s="27" t="inlineStr">
        <is>
          <t>Chloe Pillay</t>
        </is>
      </c>
      <c r="C103" s="27" t="inlineStr">
        <is>
          <t>+27475074497</t>
        </is>
      </c>
      <c r="D103" s="27" t="inlineStr">
        <is>
          <t>Mpumalanga</t>
        </is>
      </c>
      <c r="E103" s="27" t="inlineStr">
        <is>
          <t>Mbombela</t>
        </is>
      </c>
      <c r="F103" s="41" t="n">
        <v>45479</v>
      </c>
      <c r="G103" s="27" t="inlineStr">
        <is>
          <t>Dormant</t>
        </is>
      </c>
      <c r="H103" s="27">
        <f>TRUE()</f>
        <v/>
      </c>
    </row>
    <row r="104" ht="15" customHeight="1" s="24">
      <c r="A104" s="27" t="n">
        <v>66290</v>
      </c>
      <c r="B104" s="27" t="inlineStr">
        <is>
          <t>Mandla Petersen</t>
        </is>
      </c>
      <c r="C104" s="27" t="inlineStr">
        <is>
          <t>+27472718075</t>
        </is>
      </c>
      <c r="D104" s="27" t="inlineStr">
        <is>
          <t>Gauteng</t>
        </is>
      </c>
      <c r="E104" s="27" t="inlineStr">
        <is>
          <t>Benoni</t>
        </is>
      </c>
      <c r="F104" s="41" t="n">
        <v>44258</v>
      </c>
      <c r="G104" s="27" t="inlineStr">
        <is>
          <t>Occasional</t>
        </is>
      </c>
      <c r="H104" s="27">
        <f>TRUE()</f>
        <v/>
      </c>
    </row>
    <row r="105" ht="15" customHeight="1" s="24">
      <c r="A105" s="27" t="n">
        <v>359393</v>
      </c>
      <c r="B105" s="27" t="inlineStr">
        <is>
          <t>Nomvula Petersen</t>
        </is>
      </c>
      <c r="C105" s="27" t="inlineStr">
        <is>
          <t>+27478554273</t>
        </is>
      </c>
      <c r="D105" s="27" t="inlineStr">
        <is>
          <t>KwaZulu-Natal</t>
        </is>
      </c>
      <c r="E105" s="27" t="inlineStr">
        <is>
          <t>Pinetown</t>
        </is>
      </c>
      <c r="F105" s="41" t="n">
        <v>44612</v>
      </c>
      <c r="G105" s="27" t="inlineStr">
        <is>
          <t>Occasional</t>
        </is>
      </c>
      <c r="H105" s="27">
        <f>TRUE()</f>
        <v/>
      </c>
    </row>
    <row r="106" ht="15" customHeight="1" s="24">
      <c r="A106" s="27" t="n">
        <v>300659</v>
      </c>
      <c r="B106" s="27" t="inlineStr">
        <is>
          <t>Pieter Tshabalala</t>
        </is>
      </c>
      <c r="C106" s="27" t="inlineStr">
        <is>
          <t>+27475405717</t>
        </is>
      </c>
      <c r="D106" s="27" t="inlineStr">
        <is>
          <t>Gauteng</t>
        </is>
      </c>
      <c r="E106" s="27" t="inlineStr">
        <is>
          <t>Sandton</t>
        </is>
      </c>
      <c r="F106" s="41" t="n">
        <v>45260</v>
      </c>
      <c r="G106" s="27" t="inlineStr">
        <is>
          <t>Regular</t>
        </is>
      </c>
      <c r="H106" s="27">
        <f>TRUE()</f>
        <v/>
      </c>
    </row>
    <row r="107" ht="15" customHeight="1" s="24">
      <c r="A107" s="27" t="n">
        <v>259824</v>
      </c>
      <c r="B107" s="27" t="inlineStr">
        <is>
          <t>Anika Adams</t>
        </is>
      </c>
      <c r="C107" s="27" t="inlineStr">
        <is>
          <t>+27475622926</t>
        </is>
      </c>
      <c r="D107" s="27" t="inlineStr">
        <is>
          <t>KwaZulu-Natal</t>
        </is>
      </c>
      <c r="E107" s="27" t="inlineStr">
        <is>
          <t>Pinetown</t>
        </is>
      </c>
      <c r="F107" s="41" t="n">
        <v>45199</v>
      </c>
      <c r="G107" s="27" t="inlineStr">
        <is>
          <t>Occasional</t>
        </is>
      </c>
      <c r="H107" s="27">
        <f>TRUE()</f>
        <v/>
      </c>
    </row>
    <row r="108" ht="15" customHeight="1" s="24">
      <c r="A108" s="27" t="n">
        <v>141663</v>
      </c>
      <c r="B108" s="27" t="inlineStr">
        <is>
          <t>Refilwe Smith</t>
        </is>
      </c>
      <c r="C108" s="27" t="inlineStr">
        <is>
          <t>+27474555306</t>
        </is>
      </c>
      <c r="D108" s="27" t="inlineStr">
        <is>
          <t>North West</t>
        </is>
      </c>
      <c r="E108" s="27" t="inlineStr">
        <is>
          <t>Potchefstroom</t>
        </is>
      </c>
      <c r="F108" s="41" t="n">
        <v>45840</v>
      </c>
      <c r="G108" s="27" t="inlineStr">
        <is>
          <t>Regular</t>
        </is>
      </c>
      <c r="H108" s="27">
        <f>TRUE()</f>
        <v/>
      </c>
    </row>
    <row r="109" ht="15" customHeight="1" s="24">
      <c r="A109" s="27" t="n">
        <v>268432</v>
      </c>
      <c r="B109" s="27" t="inlineStr">
        <is>
          <t>Tshepo Pretorius</t>
        </is>
      </c>
      <c r="C109" s="27" t="inlineStr">
        <is>
          <t>+27477348364</t>
        </is>
      </c>
      <c r="D109" s="27" t="inlineStr">
        <is>
          <t>Western Cape</t>
        </is>
      </c>
      <c r="E109" s="27" t="inlineStr">
        <is>
          <t>Somerset West</t>
        </is>
      </c>
      <c r="F109" s="41" t="n">
        <v>45484</v>
      </c>
      <c r="G109" s="27" t="inlineStr">
        <is>
          <t>Occasional</t>
        </is>
      </c>
      <c r="H109" s="27">
        <f>TRUE()</f>
        <v/>
      </c>
    </row>
    <row r="110" ht="15" customHeight="1" s="24">
      <c r="A110" s="27" t="n">
        <v>188684</v>
      </c>
      <c r="B110" s="27" t="inlineStr">
        <is>
          <t>Sarah Jacobs</t>
        </is>
      </c>
      <c r="C110" s="27" t="inlineStr">
        <is>
          <t>+27479491899</t>
        </is>
      </c>
      <c r="D110" s="27" t="inlineStr">
        <is>
          <t>Gauteng</t>
        </is>
      </c>
      <c r="E110" s="27" t="inlineStr">
        <is>
          <t>Benoni</t>
        </is>
      </c>
      <c r="F110" s="41" t="n">
        <v>44782</v>
      </c>
      <c r="G110" s="27" t="inlineStr">
        <is>
          <t>Dormant</t>
        </is>
      </c>
      <c r="H110" s="27">
        <f>TRUE()</f>
        <v/>
      </c>
    </row>
    <row r="111" ht="15" customHeight="1" s="24">
      <c r="A111" s="27" t="n">
        <v>194907</v>
      </c>
      <c r="B111" s="27" t="inlineStr">
        <is>
          <t>Emma Daniels</t>
        </is>
      </c>
      <c r="C111" s="27" t="inlineStr">
        <is>
          <t>+27471260005</t>
        </is>
      </c>
      <c r="D111" s="27" t="inlineStr">
        <is>
          <t>KwaZulu-Natal</t>
        </is>
      </c>
      <c r="E111" s="27" t="inlineStr">
        <is>
          <t>Umhlanga</t>
        </is>
      </c>
      <c r="F111" s="41" t="n">
        <v>45159</v>
      </c>
      <c r="G111" s="27" t="inlineStr">
        <is>
          <t>Regular</t>
        </is>
      </c>
      <c r="H111" s="27">
        <f>FALSE()</f>
        <v/>
      </c>
    </row>
    <row r="112" ht="15" customHeight="1" s="24">
      <c r="A112" s="27" t="n">
        <v>341147</v>
      </c>
      <c r="B112" s="27" t="inlineStr">
        <is>
          <t>Thabo Smith</t>
        </is>
      </c>
      <c r="C112" s="27" t="inlineStr">
        <is>
          <t>+27477961728</t>
        </is>
      </c>
      <c r="D112" s="27" t="inlineStr">
        <is>
          <t>Eastern Cape</t>
        </is>
      </c>
      <c r="E112" s="27" t="inlineStr">
        <is>
          <t>East London</t>
        </is>
      </c>
      <c r="F112" s="41" t="n">
        <v>45442</v>
      </c>
      <c r="G112" s="27" t="inlineStr">
        <is>
          <t>Occasional</t>
        </is>
      </c>
      <c r="H112" s="27">
        <f>TRUE()</f>
        <v/>
      </c>
    </row>
    <row r="113" ht="15" customHeight="1" s="24">
      <c r="A113" s="27" t="n">
        <v>149219</v>
      </c>
      <c r="B113" s="27" t="inlineStr">
        <is>
          <t>Mandla Hendricks</t>
        </is>
      </c>
      <c r="C113" s="27" t="inlineStr">
        <is>
          <t>+27476470304</t>
        </is>
      </c>
      <c r="D113" s="27" t="inlineStr">
        <is>
          <t>Western Cape</t>
        </is>
      </c>
      <c r="E113" s="27" t="inlineStr">
        <is>
          <t>Paarl</t>
        </is>
      </c>
      <c r="F113" s="41" t="n">
        <v>45014</v>
      </c>
      <c r="G113" s="27" t="inlineStr">
        <is>
          <t>Occasional</t>
        </is>
      </c>
      <c r="H113" s="27">
        <f>TRUE()</f>
        <v/>
      </c>
    </row>
    <row r="114" ht="15" customHeight="1" s="24">
      <c r="A114" s="27" t="n">
        <v>331520</v>
      </c>
      <c r="B114" s="27" t="inlineStr">
        <is>
          <t>Ayanda Adams</t>
        </is>
      </c>
      <c r="C114" s="27" t="inlineStr">
        <is>
          <t>+27478622531</t>
        </is>
      </c>
      <c r="D114" s="27" t="inlineStr">
        <is>
          <t>Gauteng</t>
        </is>
      </c>
      <c r="E114" s="27" t="inlineStr">
        <is>
          <t>Roodepoort</t>
        </is>
      </c>
      <c r="F114" s="41" t="n">
        <v>44837</v>
      </c>
      <c r="G114" s="27" t="inlineStr">
        <is>
          <t>Dormant</t>
        </is>
      </c>
      <c r="H114" s="27">
        <f>TRUE()</f>
        <v/>
      </c>
    </row>
    <row r="115" ht="15" customHeight="1" s="24">
      <c r="A115" s="27" t="n">
        <v>295331</v>
      </c>
      <c r="B115" s="27" t="inlineStr">
        <is>
          <t>Precious Jacobs</t>
        </is>
      </c>
      <c r="C115" s="27" t="inlineStr">
        <is>
          <t>+27473287798</t>
        </is>
      </c>
      <c r="D115" s="27" t="inlineStr">
        <is>
          <t>Gauteng</t>
        </is>
      </c>
      <c r="E115" s="27" t="inlineStr">
        <is>
          <t>Midrand</t>
        </is>
      </c>
      <c r="F115" s="41" t="n">
        <v>44797</v>
      </c>
      <c r="G115" s="27" t="inlineStr">
        <is>
          <t>Occasional</t>
        </is>
      </c>
      <c r="H115" s="27">
        <f>TRUE()</f>
        <v/>
      </c>
    </row>
    <row r="116" ht="15" customHeight="1" s="24">
      <c r="A116" s="27" t="n">
        <v>287629</v>
      </c>
      <c r="B116" s="27" t="inlineStr">
        <is>
          <t>Khanyi Pretorius</t>
        </is>
      </c>
      <c r="C116" s="27" t="inlineStr">
        <is>
          <t>+27474008275</t>
        </is>
      </c>
      <c r="D116" s="27" t="inlineStr">
        <is>
          <t>Gauteng</t>
        </is>
      </c>
      <c r="E116" s="27" t="inlineStr">
        <is>
          <t>Sandton</t>
        </is>
      </c>
      <c r="F116" s="41" t="n">
        <v>45823</v>
      </c>
      <c r="G116" s="27" t="inlineStr">
        <is>
          <t>Occasional</t>
        </is>
      </c>
      <c r="H116" s="27">
        <f>TRUE()</f>
        <v/>
      </c>
    </row>
    <row r="117" ht="15" customHeight="1" s="24">
      <c r="A117" s="27" t="n">
        <v>305631</v>
      </c>
      <c r="B117" s="27" t="inlineStr">
        <is>
          <t>Liam Tshabalala</t>
        </is>
      </c>
      <c r="C117" s="27" t="inlineStr">
        <is>
          <t>+27472035976</t>
        </is>
      </c>
      <c r="D117" s="27" t="inlineStr">
        <is>
          <t>Gauteng</t>
        </is>
      </c>
      <c r="E117" s="27" t="inlineStr">
        <is>
          <t>Centurion</t>
        </is>
      </c>
      <c r="F117" s="41" t="n">
        <v>44659</v>
      </c>
      <c r="G117" s="27" t="inlineStr">
        <is>
          <t>Occasional</t>
        </is>
      </c>
      <c r="H117" s="27">
        <f>TRUE()</f>
        <v/>
      </c>
    </row>
    <row r="118" ht="15" customHeight="1" s="24">
      <c r="A118" s="27" t="n">
        <v>24436</v>
      </c>
      <c r="B118" s="27" t="inlineStr">
        <is>
          <t>Johan Pillay</t>
        </is>
      </c>
      <c r="C118" s="27" t="inlineStr">
        <is>
          <t>+27476411225</t>
        </is>
      </c>
      <c r="D118" s="27" t="inlineStr">
        <is>
          <t>Limpopo</t>
        </is>
      </c>
      <c r="E118" s="27" t="inlineStr">
        <is>
          <t>Tzaneen</t>
        </is>
      </c>
      <c r="F118" s="41" t="n">
        <v>45424</v>
      </c>
      <c r="G118" s="27" t="inlineStr">
        <is>
          <t>Occasional</t>
        </is>
      </c>
      <c r="H118" s="27">
        <f>TRUE()</f>
        <v/>
      </c>
    </row>
    <row r="119" ht="15" customHeight="1" s="24">
      <c r="A119" s="27" t="n">
        <v>382646</v>
      </c>
      <c r="B119" s="27" t="inlineStr">
        <is>
          <t>Zanele Dlamini</t>
        </is>
      </c>
      <c r="C119" s="27" t="inlineStr">
        <is>
          <t>+27477869167</t>
        </is>
      </c>
      <c r="D119" s="27" t="inlineStr">
        <is>
          <t>North West</t>
        </is>
      </c>
      <c r="E119" s="27" t="inlineStr">
        <is>
          <t>Mahikeng</t>
        </is>
      </c>
      <c r="F119" s="41" t="n">
        <v>45530</v>
      </c>
      <c r="G119" s="27" t="inlineStr">
        <is>
          <t>Occasional</t>
        </is>
      </c>
      <c r="H119" s="27">
        <f>TRUE()</f>
        <v/>
      </c>
    </row>
    <row r="120" ht="15" customHeight="1" s="24">
      <c r="A120" s="27" t="n">
        <v>325902</v>
      </c>
      <c r="B120" s="27" t="inlineStr">
        <is>
          <t>Sarah Naidoo</t>
        </is>
      </c>
      <c r="C120" s="27" t="inlineStr">
        <is>
          <t>+27478148442</t>
        </is>
      </c>
      <c r="D120" s="27" t="inlineStr">
        <is>
          <t>Limpopo</t>
        </is>
      </c>
      <c r="E120" s="27" t="inlineStr">
        <is>
          <t>Thohoyandou</t>
        </is>
      </c>
      <c r="F120" s="41" t="n">
        <v>44838</v>
      </c>
      <c r="G120" s="27" t="inlineStr">
        <is>
          <t>Regular</t>
        </is>
      </c>
      <c r="H120" s="27">
        <f>TRUE()</f>
        <v/>
      </c>
    </row>
    <row r="121" ht="15" customHeight="1" s="24">
      <c r="A121" s="27" t="n">
        <v>110555</v>
      </c>
      <c r="B121" s="27" t="inlineStr">
        <is>
          <t>Lerato Adams</t>
        </is>
      </c>
      <c r="C121" s="27" t="inlineStr">
        <is>
          <t>+27478908412</t>
        </is>
      </c>
      <c r="D121" s="27" t="inlineStr">
        <is>
          <t>Eastern Cape</t>
        </is>
      </c>
      <c r="E121" s="27" t="inlineStr">
        <is>
          <t>Mthatha</t>
        </is>
      </c>
      <c r="F121" s="41" t="n">
        <v>45985</v>
      </c>
      <c r="G121" s="27" t="inlineStr">
        <is>
          <t>Regular</t>
        </is>
      </c>
      <c r="H121" s="27">
        <f>TRUE()</f>
        <v/>
      </c>
    </row>
    <row r="122" ht="15" customHeight="1" s="24">
      <c r="A122" s="27" t="n">
        <v>381030</v>
      </c>
      <c r="B122" s="27" t="inlineStr">
        <is>
          <t>Jaco Adams</t>
        </is>
      </c>
      <c r="C122" s="27" t="inlineStr">
        <is>
          <t>+27478637082</t>
        </is>
      </c>
      <c r="D122" s="27" t="inlineStr">
        <is>
          <t>Eastern Cape</t>
        </is>
      </c>
      <c r="E122" s="27" t="inlineStr">
        <is>
          <t>Mthatha</t>
        </is>
      </c>
      <c r="F122" s="41" t="n">
        <v>45822</v>
      </c>
      <c r="G122" s="27" t="inlineStr">
        <is>
          <t>Regular</t>
        </is>
      </c>
      <c r="H122" s="27">
        <f>TRUE()</f>
        <v/>
      </c>
    </row>
    <row r="123" ht="15" customHeight="1" s="24">
      <c r="A123" s="27" t="n">
        <v>95685</v>
      </c>
      <c r="B123" s="27" t="inlineStr">
        <is>
          <t>Mandla Nkosi</t>
        </is>
      </c>
      <c r="C123" s="27" t="inlineStr">
        <is>
          <t>+27474469234</t>
        </is>
      </c>
      <c r="D123" s="27" t="inlineStr">
        <is>
          <t>Free State</t>
        </is>
      </c>
      <c r="E123" s="27" t="inlineStr">
        <is>
          <t>Kroonstad</t>
        </is>
      </c>
      <c r="F123" s="41" t="n">
        <v>44436</v>
      </c>
      <c r="G123" s="27" t="inlineStr">
        <is>
          <t>Dormant</t>
        </is>
      </c>
      <c r="H123" s="27">
        <f>TRUE()</f>
        <v/>
      </c>
    </row>
    <row r="124" ht="15" customHeight="1" s="24">
      <c r="A124" s="27" t="n">
        <v>137794</v>
      </c>
      <c r="B124" s="27" t="inlineStr">
        <is>
          <t>Anika Sithole</t>
        </is>
      </c>
      <c r="C124" s="27" t="inlineStr">
        <is>
          <t>+27476143708</t>
        </is>
      </c>
      <c r="D124" s="27" t="inlineStr">
        <is>
          <t>Western Cape</t>
        </is>
      </c>
      <c r="E124" s="27" t="inlineStr">
        <is>
          <t>Somerset West</t>
        </is>
      </c>
      <c r="F124" s="41" t="n">
        <v>44699</v>
      </c>
      <c r="G124" s="27" t="inlineStr">
        <is>
          <t>Dormant</t>
        </is>
      </c>
      <c r="H124" s="27">
        <f>TRUE()</f>
        <v/>
      </c>
    </row>
    <row r="125" ht="15" customHeight="1" s="24">
      <c r="A125" s="27" t="n">
        <v>391966</v>
      </c>
      <c r="B125" s="27" t="inlineStr">
        <is>
          <t>Daniel Ngcobo</t>
        </is>
      </c>
      <c r="C125" s="27" t="inlineStr">
        <is>
          <t>+27478924816</t>
        </is>
      </c>
      <c r="D125" s="27" t="inlineStr">
        <is>
          <t>Western Cape</t>
        </is>
      </c>
      <c r="E125" s="27" t="inlineStr">
        <is>
          <t>Stellenbosch</t>
        </is>
      </c>
      <c r="F125" s="41" t="n">
        <v>45014</v>
      </c>
      <c r="G125" s="27" t="inlineStr">
        <is>
          <t>Dormant</t>
        </is>
      </c>
      <c r="H125" s="27">
        <f>TRUE()</f>
        <v/>
      </c>
    </row>
    <row r="126" ht="15" customHeight="1" s="24">
      <c r="A126" s="27" t="n">
        <v>87948</v>
      </c>
      <c r="B126" s="27" t="inlineStr">
        <is>
          <t>Nomvula Mahlangu</t>
        </is>
      </c>
      <c r="C126" s="27" t="inlineStr">
        <is>
          <t>+27473196635</t>
        </is>
      </c>
      <c r="D126" s="27" t="inlineStr">
        <is>
          <t>KwaZulu-Natal</t>
        </is>
      </c>
      <c r="E126" s="27" t="inlineStr">
        <is>
          <t>Richards Bay</t>
        </is>
      </c>
      <c r="F126" s="41" t="n">
        <v>45854</v>
      </c>
      <c r="G126" s="27" t="inlineStr">
        <is>
          <t>Occasional</t>
        </is>
      </c>
      <c r="H126" s="27">
        <f>TRUE()</f>
        <v/>
      </c>
    </row>
    <row r="127" ht="15" customHeight="1" s="24">
      <c r="A127" s="27" t="n">
        <v>134692</v>
      </c>
      <c r="B127" s="27" t="inlineStr">
        <is>
          <t>Sipho Zulu</t>
        </is>
      </c>
      <c r="C127" s="27" t="inlineStr">
        <is>
          <t>+27475080547</t>
        </is>
      </c>
      <c r="D127" s="27" t="inlineStr">
        <is>
          <t>Western Cape</t>
        </is>
      </c>
      <c r="E127" s="27" t="inlineStr">
        <is>
          <t>Table View</t>
        </is>
      </c>
      <c r="F127" s="41" t="n">
        <v>45336</v>
      </c>
      <c r="G127" s="27" t="inlineStr">
        <is>
          <t>Dormant</t>
        </is>
      </c>
      <c r="H127" s="27">
        <f>TRUE()</f>
        <v/>
      </c>
    </row>
    <row r="128" ht="15" customHeight="1" s="24">
      <c r="A128" s="27" t="n">
        <v>285993</v>
      </c>
      <c r="B128" s="27" t="inlineStr">
        <is>
          <t>Precious Khumalo</t>
        </is>
      </c>
      <c r="C128" s="27" t="inlineStr">
        <is>
          <t>+27478348001</t>
        </is>
      </c>
      <c r="D128" s="27" t="inlineStr">
        <is>
          <t>Western Cape</t>
        </is>
      </c>
      <c r="E128" s="27" t="inlineStr">
        <is>
          <t>George</t>
        </is>
      </c>
      <c r="F128" s="41" t="n">
        <v>44863</v>
      </c>
      <c r="G128" s="27" t="inlineStr">
        <is>
          <t>Occasional</t>
        </is>
      </c>
      <c r="H128" s="27">
        <f>FALSE()</f>
        <v/>
      </c>
    </row>
    <row r="129" ht="15" customHeight="1" s="24">
      <c r="A129" s="27" t="n">
        <v>55772</v>
      </c>
      <c r="B129" s="27" t="inlineStr">
        <is>
          <t>Emma Pillay</t>
        </is>
      </c>
      <c r="C129" s="27" t="inlineStr">
        <is>
          <t>+27479736125</t>
        </is>
      </c>
      <c r="D129" s="27" t="inlineStr">
        <is>
          <t>KwaZulu-Natal</t>
        </is>
      </c>
      <c r="E129" s="27" t="inlineStr">
        <is>
          <t>Durban</t>
        </is>
      </c>
      <c r="F129" s="41" t="n">
        <v>44210</v>
      </c>
      <c r="G129" s="27" t="inlineStr">
        <is>
          <t>Occasional</t>
        </is>
      </c>
      <c r="H129" s="27">
        <f>FALSE()</f>
        <v/>
      </c>
    </row>
    <row r="130" ht="15" customHeight="1" s="24">
      <c r="A130" s="27" t="n">
        <v>70841</v>
      </c>
      <c r="B130" s="27" t="inlineStr">
        <is>
          <t>Riaan Petersen</t>
        </is>
      </c>
      <c r="C130" s="27" t="inlineStr">
        <is>
          <t>+27476756693</t>
        </is>
      </c>
      <c r="D130" s="27" t="inlineStr">
        <is>
          <t>KwaZulu-Natal</t>
        </is>
      </c>
      <c r="E130" s="27" t="inlineStr">
        <is>
          <t>Richards Bay</t>
        </is>
      </c>
      <c r="F130" s="41" t="n">
        <v>44921</v>
      </c>
      <c r="G130" s="27" t="inlineStr">
        <is>
          <t>Occasional</t>
        </is>
      </c>
      <c r="H130" s="27">
        <f>TRUE()</f>
        <v/>
      </c>
    </row>
    <row r="131" ht="15" customHeight="1" s="24">
      <c r="A131" s="27" t="n">
        <v>359360</v>
      </c>
      <c r="B131" s="27" t="inlineStr">
        <is>
          <t>Khanyi van der Merwe</t>
        </is>
      </c>
      <c r="C131" s="27" t="inlineStr">
        <is>
          <t>+27471267841</t>
        </is>
      </c>
      <c r="D131" s="27" t="inlineStr">
        <is>
          <t>Gauteng</t>
        </is>
      </c>
      <c r="E131" s="27" t="inlineStr">
        <is>
          <t>Johannesburg</t>
        </is>
      </c>
      <c r="F131" s="41" t="n">
        <v>45802</v>
      </c>
      <c r="G131" s="27" t="inlineStr">
        <is>
          <t>Occasional</t>
        </is>
      </c>
      <c r="H131" s="27">
        <f>FALSE()</f>
        <v/>
      </c>
    </row>
    <row r="132" ht="15" customHeight="1" s="24">
      <c r="A132" s="27" t="n">
        <v>30481</v>
      </c>
      <c r="B132" s="27" t="inlineStr">
        <is>
          <t>Riaan Zulu</t>
        </is>
      </c>
      <c r="C132" s="27" t="inlineStr">
        <is>
          <t>+27479124284</t>
        </is>
      </c>
      <c r="D132" s="27" t="inlineStr">
        <is>
          <t>North West</t>
        </is>
      </c>
      <c r="E132" s="27" t="inlineStr">
        <is>
          <t>Mahikeng</t>
        </is>
      </c>
      <c r="F132" s="41" t="n">
        <v>44478</v>
      </c>
      <c r="G132" s="27" t="inlineStr">
        <is>
          <t>Occasional</t>
        </is>
      </c>
      <c r="H132" s="27">
        <f>TRUE()</f>
        <v/>
      </c>
    </row>
    <row r="133" ht="15" customHeight="1" s="24">
      <c r="A133" s="27" t="n">
        <v>12267</v>
      </c>
      <c r="B133" s="27" t="inlineStr">
        <is>
          <t>Fatima Tshabalala</t>
        </is>
      </c>
      <c r="C133" s="27" t="inlineStr">
        <is>
          <t>+27475420423</t>
        </is>
      </c>
      <c r="D133" s="27" t="inlineStr">
        <is>
          <t>Gauteng</t>
        </is>
      </c>
      <c r="E133" s="27" t="inlineStr">
        <is>
          <t>Roodepoort</t>
        </is>
      </c>
      <c r="F133" s="41" t="n">
        <v>45141</v>
      </c>
      <c r="G133" s="27" t="inlineStr">
        <is>
          <t>Dormant</t>
        </is>
      </c>
      <c r="H133" s="27">
        <f>TRUE()</f>
        <v/>
      </c>
    </row>
    <row r="134" ht="15" customHeight="1" s="24">
      <c r="A134" s="27" t="n">
        <v>224242</v>
      </c>
      <c r="B134" s="27" t="inlineStr">
        <is>
          <t>Dineo Fourie</t>
        </is>
      </c>
      <c r="C134" s="27" t="inlineStr">
        <is>
          <t>+27472880611</t>
        </is>
      </c>
      <c r="D134" s="27" t="inlineStr">
        <is>
          <t>Eastern Cape</t>
        </is>
      </c>
      <c r="E134" s="27" t="inlineStr">
        <is>
          <t>East London</t>
        </is>
      </c>
      <c r="F134" s="41" t="n">
        <v>45629</v>
      </c>
      <c r="G134" s="27" t="inlineStr">
        <is>
          <t>Frequent</t>
        </is>
      </c>
      <c r="H134" s="27">
        <f>TRUE()</f>
        <v/>
      </c>
    </row>
    <row r="135" ht="15" customHeight="1" s="24">
      <c r="A135" s="27" t="n">
        <v>64218</v>
      </c>
      <c r="B135" s="27" t="inlineStr">
        <is>
          <t>Liam Smith</t>
        </is>
      </c>
      <c r="C135" s="27" t="inlineStr">
        <is>
          <t>+27471667730</t>
        </is>
      </c>
      <c r="D135" s="27" t="inlineStr">
        <is>
          <t>Gauteng</t>
        </is>
      </c>
      <c r="E135" s="27" t="inlineStr">
        <is>
          <t>Midrand</t>
        </is>
      </c>
      <c r="F135" s="41" t="n">
        <v>45339</v>
      </c>
      <c r="G135" s="27" t="inlineStr">
        <is>
          <t>Occasional</t>
        </is>
      </c>
      <c r="H135" s="27">
        <f>TRUE()</f>
        <v/>
      </c>
    </row>
    <row r="136" ht="15" customHeight="1" s="24">
      <c r="A136" s="27" t="n">
        <v>79990</v>
      </c>
      <c r="B136" s="27" t="inlineStr">
        <is>
          <t>Lerato Steyn</t>
        </is>
      </c>
      <c r="C136" s="27" t="inlineStr">
        <is>
          <t>+27474607104</t>
        </is>
      </c>
      <c r="D136" s="27" t="inlineStr">
        <is>
          <t>Gauteng</t>
        </is>
      </c>
      <c r="E136" s="27" t="inlineStr">
        <is>
          <t>Benoni</t>
        </is>
      </c>
      <c r="F136" s="41" t="n">
        <v>44886</v>
      </c>
      <c r="G136" s="27" t="inlineStr">
        <is>
          <t>Regular</t>
        </is>
      </c>
      <c r="H136" s="27">
        <f>FALSE()</f>
        <v/>
      </c>
    </row>
    <row r="137" ht="15" customHeight="1" s="24">
      <c r="A137" s="27" t="n">
        <v>128318</v>
      </c>
      <c r="B137" s="27" t="inlineStr">
        <is>
          <t>Sipho Mthembu</t>
        </is>
      </c>
      <c r="C137" s="27" t="inlineStr">
        <is>
          <t>+27479639184</t>
        </is>
      </c>
      <c r="D137" s="27" t="inlineStr">
        <is>
          <t>North West</t>
        </is>
      </c>
      <c r="E137" s="27" t="inlineStr">
        <is>
          <t>Potchefstroom</t>
        </is>
      </c>
      <c r="F137" s="41" t="n">
        <v>45451</v>
      </c>
      <c r="G137" s="27" t="inlineStr">
        <is>
          <t>Regular</t>
        </is>
      </c>
      <c r="H137" s="27">
        <f>TRUE()</f>
        <v/>
      </c>
    </row>
    <row r="138" ht="15" customHeight="1" s="24">
      <c r="A138" s="27" t="n">
        <v>255456</v>
      </c>
      <c r="B138" s="27" t="inlineStr">
        <is>
          <t>Jaco Mahlangu</t>
        </is>
      </c>
      <c r="C138" s="27" t="inlineStr">
        <is>
          <t>+27477855748</t>
        </is>
      </c>
      <c r="D138" s="27" t="inlineStr">
        <is>
          <t>Mpumalanga</t>
        </is>
      </c>
      <c r="E138" s="27" t="inlineStr">
        <is>
          <t>Secunda</t>
        </is>
      </c>
      <c r="F138" s="41" t="n">
        <v>44582</v>
      </c>
      <c r="G138" s="27" t="inlineStr">
        <is>
          <t>Regular</t>
        </is>
      </c>
      <c r="H138" s="27">
        <f>TRUE()</f>
        <v/>
      </c>
    </row>
    <row r="139" ht="15" customHeight="1" s="24">
      <c r="A139" s="27" t="n">
        <v>86651</v>
      </c>
      <c r="B139" s="27" t="inlineStr">
        <is>
          <t>Khanyi Khumalo</t>
        </is>
      </c>
      <c r="C139" s="27" t="inlineStr">
        <is>
          <t>+27473917241</t>
        </is>
      </c>
      <c r="D139" s="27" t="inlineStr">
        <is>
          <t>Limpopo</t>
        </is>
      </c>
      <c r="E139" s="27" t="inlineStr">
        <is>
          <t>Mokopane</t>
        </is>
      </c>
      <c r="F139" s="41" t="n">
        <v>46093</v>
      </c>
      <c r="G139" s="27" t="inlineStr">
        <is>
          <t>Occasional</t>
        </is>
      </c>
      <c r="H139" s="27">
        <f>FALSE()</f>
        <v/>
      </c>
    </row>
    <row r="140" ht="15" customHeight="1" s="24">
      <c r="A140" s="27" t="n">
        <v>98411</v>
      </c>
      <c r="B140" s="27" t="inlineStr">
        <is>
          <t>Mandla Fourie</t>
        </is>
      </c>
      <c r="C140" s="27" t="inlineStr">
        <is>
          <t>+27471133664</t>
        </is>
      </c>
      <c r="D140" s="27" t="inlineStr">
        <is>
          <t>Western Cape</t>
        </is>
      </c>
      <c r="E140" s="27" t="inlineStr">
        <is>
          <t>Paarl</t>
        </is>
      </c>
      <c r="F140" s="41" t="n">
        <v>44524</v>
      </c>
      <c r="G140" s="27" t="inlineStr">
        <is>
          <t>Regular</t>
        </is>
      </c>
      <c r="H140" s="27">
        <f>TRUE()</f>
        <v/>
      </c>
    </row>
    <row r="141" ht="15" customHeight="1" s="24">
      <c r="A141" s="27" t="n">
        <v>247175</v>
      </c>
      <c r="B141" s="27" t="inlineStr">
        <is>
          <t>Dineo Adams</t>
        </is>
      </c>
      <c r="C141" s="27" t="inlineStr">
        <is>
          <t>+27475776760</t>
        </is>
      </c>
      <c r="D141" s="27" t="inlineStr">
        <is>
          <t>KwaZulu-Natal</t>
        </is>
      </c>
      <c r="E141" s="27" t="inlineStr">
        <is>
          <t>Richards Bay</t>
        </is>
      </c>
      <c r="F141" s="41" t="n">
        <v>45900</v>
      </c>
      <c r="G141" s="27" t="inlineStr">
        <is>
          <t>Dormant</t>
        </is>
      </c>
      <c r="H141" s="27">
        <f>FALSE()</f>
        <v/>
      </c>
    </row>
    <row r="142" ht="15" customHeight="1" s="24">
      <c r="A142" s="27" t="n">
        <v>280933</v>
      </c>
      <c r="B142" s="27" t="inlineStr">
        <is>
          <t>Pieter Daniels</t>
        </is>
      </c>
      <c r="C142" s="27" t="inlineStr">
        <is>
          <t>+27471841785</t>
        </is>
      </c>
      <c r="D142" s="27" t="inlineStr">
        <is>
          <t>Eastern Cape</t>
        </is>
      </c>
      <c r="E142" s="27" t="inlineStr">
        <is>
          <t>Mthatha</t>
        </is>
      </c>
      <c r="F142" s="41" t="n">
        <v>45820</v>
      </c>
      <c r="G142" s="27" t="inlineStr">
        <is>
          <t>Occasional</t>
        </is>
      </c>
      <c r="H142" s="27">
        <f>TRUE()</f>
        <v/>
      </c>
    </row>
    <row r="143" ht="15" customHeight="1" s="24">
      <c r="A143" s="27" t="n">
        <v>173197</v>
      </c>
      <c r="B143" s="27" t="inlineStr">
        <is>
          <t>Liam Smith</t>
        </is>
      </c>
      <c r="C143" s="27" t="inlineStr">
        <is>
          <t>+27473020485</t>
        </is>
      </c>
      <c r="D143" s="27" t="inlineStr">
        <is>
          <t>Limpopo</t>
        </is>
      </c>
      <c r="E143" s="27" t="inlineStr">
        <is>
          <t>Tzaneen</t>
        </is>
      </c>
      <c r="F143" s="41" t="n">
        <v>44366</v>
      </c>
      <c r="G143" s="27" t="inlineStr">
        <is>
          <t>Regular</t>
        </is>
      </c>
      <c r="H143" s="27">
        <f>TRUE()</f>
        <v/>
      </c>
    </row>
    <row r="144" ht="15" customHeight="1" s="24">
      <c r="A144" s="27" t="n">
        <v>292616</v>
      </c>
      <c r="B144" s="27" t="inlineStr">
        <is>
          <t>Pieter Mabaso</t>
        </is>
      </c>
      <c r="C144" s="27" t="inlineStr">
        <is>
          <t>+27476781271</t>
        </is>
      </c>
      <c r="D144" s="27" t="inlineStr">
        <is>
          <t>Western Cape</t>
        </is>
      </c>
      <c r="E144" s="27" t="inlineStr">
        <is>
          <t>George</t>
        </is>
      </c>
      <c r="F144" s="41" t="n">
        <v>44741</v>
      </c>
      <c r="G144" s="27" t="inlineStr">
        <is>
          <t>Regular</t>
        </is>
      </c>
      <c r="H144" s="27">
        <f>TRUE()</f>
        <v/>
      </c>
    </row>
    <row r="145" ht="15" customHeight="1" s="24">
      <c r="A145" s="27" t="n">
        <v>50431</v>
      </c>
      <c r="B145" s="27" t="inlineStr">
        <is>
          <t>Johan Mahlangu</t>
        </is>
      </c>
      <c r="C145" s="27" t="inlineStr">
        <is>
          <t>+27473657283</t>
        </is>
      </c>
      <c r="D145" s="27" t="inlineStr">
        <is>
          <t>Gauteng</t>
        </is>
      </c>
      <c r="E145" s="27" t="inlineStr">
        <is>
          <t>Johannesburg</t>
        </is>
      </c>
      <c r="F145" s="41" t="n">
        <v>46108</v>
      </c>
      <c r="G145" s="27" t="inlineStr">
        <is>
          <t>Occasional</t>
        </is>
      </c>
      <c r="H145" s="27">
        <f>TRUE()</f>
        <v/>
      </c>
    </row>
    <row r="146" ht="15" customHeight="1" s="24">
      <c r="A146" s="27" t="n">
        <v>244051</v>
      </c>
      <c r="B146" s="27" t="inlineStr">
        <is>
          <t>Sipho Mabaso</t>
        </is>
      </c>
      <c r="C146" s="27" t="inlineStr">
        <is>
          <t>+27474132151</t>
        </is>
      </c>
      <c r="D146" s="27" t="inlineStr">
        <is>
          <t>North West</t>
        </is>
      </c>
      <c r="E146" s="27" t="inlineStr">
        <is>
          <t>Potchefstroom</t>
        </is>
      </c>
      <c r="F146" s="41" t="n">
        <v>46123</v>
      </c>
      <c r="G146" s="27" t="inlineStr">
        <is>
          <t>Occasional</t>
        </is>
      </c>
      <c r="H146" s="27">
        <f>TRUE()</f>
        <v/>
      </c>
    </row>
    <row r="147" ht="15" customHeight="1" s="24">
      <c r="A147" s="27" t="n">
        <v>140820</v>
      </c>
      <c r="B147" s="27" t="inlineStr">
        <is>
          <t>Sipho Ngcobo</t>
        </is>
      </c>
      <c r="C147" s="27" t="inlineStr">
        <is>
          <t>+27478895487</t>
        </is>
      </c>
      <c r="D147" s="27" t="inlineStr">
        <is>
          <t>KwaZulu-Natal</t>
        </is>
      </c>
      <c r="E147" s="27" t="inlineStr">
        <is>
          <t>Newcastle</t>
        </is>
      </c>
      <c r="F147" s="41" t="n">
        <v>45811</v>
      </c>
      <c r="G147" s="27" t="inlineStr">
        <is>
          <t>Regular</t>
        </is>
      </c>
      <c r="H147" s="27">
        <f>TRUE()</f>
        <v/>
      </c>
    </row>
    <row r="148" ht="15" customHeight="1" s="24">
      <c r="A148" s="27" t="n">
        <v>92770</v>
      </c>
      <c r="B148" s="27" t="inlineStr">
        <is>
          <t>Naledi van der Merwe</t>
        </is>
      </c>
      <c r="C148" s="27" t="inlineStr">
        <is>
          <t>+27479658901</t>
        </is>
      </c>
      <c r="D148" s="27" t="inlineStr">
        <is>
          <t>Limpopo</t>
        </is>
      </c>
      <c r="E148" s="27" t="inlineStr">
        <is>
          <t>Thohoyandou</t>
        </is>
      </c>
      <c r="F148" s="41" t="n">
        <v>45394</v>
      </c>
      <c r="G148" s="27" t="inlineStr">
        <is>
          <t>Occasional</t>
        </is>
      </c>
      <c r="H148" s="27">
        <f>TRUE()</f>
        <v/>
      </c>
    </row>
    <row r="149" ht="15" customHeight="1" s="24">
      <c r="A149" s="27" t="n">
        <v>40976</v>
      </c>
      <c r="B149" s="27" t="inlineStr">
        <is>
          <t>Kagiso Botha</t>
        </is>
      </c>
      <c r="C149" s="27" t="inlineStr">
        <is>
          <t>+27478715700</t>
        </is>
      </c>
      <c r="D149" s="27" t="inlineStr">
        <is>
          <t>Gauteng</t>
        </is>
      </c>
      <c r="E149" s="27" t="inlineStr">
        <is>
          <t>Benoni</t>
        </is>
      </c>
      <c r="F149" s="41" t="n">
        <v>45692</v>
      </c>
      <c r="G149" s="27" t="inlineStr">
        <is>
          <t>Regular</t>
        </is>
      </c>
      <c r="H149" s="27">
        <f>TRUE()</f>
        <v/>
      </c>
    </row>
    <row r="150" ht="15" customHeight="1" s="24">
      <c r="A150" s="27" t="n">
        <v>203074</v>
      </c>
      <c r="B150" s="27" t="inlineStr">
        <is>
          <t>Kagiso Hendricks</t>
        </is>
      </c>
      <c r="C150" s="27" t="inlineStr">
        <is>
          <t>+27475483685</t>
        </is>
      </c>
      <c r="D150" s="27" t="inlineStr">
        <is>
          <t>KwaZulu-Natal</t>
        </is>
      </c>
      <c r="E150" s="27" t="inlineStr">
        <is>
          <t>Umhlanga</t>
        </is>
      </c>
      <c r="F150" s="41" t="n">
        <v>45073</v>
      </c>
      <c r="G150" s="27" t="inlineStr">
        <is>
          <t>Occasional</t>
        </is>
      </c>
      <c r="H150" s="27">
        <f>TRUE()</f>
        <v/>
      </c>
    </row>
    <row r="151" ht="15" customHeight="1" s="24">
      <c r="A151" s="27" t="n">
        <v>330954</v>
      </c>
      <c r="B151" s="27" t="inlineStr">
        <is>
          <t>Kagiso Jacobs</t>
        </is>
      </c>
      <c r="C151" s="27" t="inlineStr">
        <is>
          <t>+27471321621</t>
        </is>
      </c>
      <c r="D151" s="27" t="inlineStr">
        <is>
          <t>Western Cape</t>
        </is>
      </c>
      <c r="E151" s="27" t="inlineStr">
        <is>
          <t>Paarl</t>
        </is>
      </c>
      <c r="F151" s="41" t="n">
        <v>45283</v>
      </c>
      <c r="G151" s="27" t="inlineStr">
        <is>
          <t>Occasional</t>
        </is>
      </c>
      <c r="H151" s="27">
        <f>TRUE()</f>
        <v/>
      </c>
    </row>
    <row r="152" ht="15" customHeight="1" s="24">
      <c r="A152" s="27" t="n">
        <v>296225</v>
      </c>
      <c r="B152" s="27" t="inlineStr">
        <is>
          <t>Kagiso Nkosi</t>
        </is>
      </c>
      <c r="C152" s="27" t="inlineStr">
        <is>
          <t>+27474914576</t>
        </is>
      </c>
      <c r="D152" s="27" t="inlineStr">
        <is>
          <t>Mpumalanga</t>
        </is>
      </c>
      <c r="E152" s="27" t="inlineStr">
        <is>
          <t>Secunda</t>
        </is>
      </c>
      <c r="F152" s="41" t="n">
        <v>44295</v>
      </c>
      <c r="G152" s="27" t="inlineStr">
        <is>
          <t>Occasional</t>
        </is>
      </c>
      <c r="H152" s="27">
        <f>TRUE()</f>
        <v/>
      </c>
    </row>
    <row r="153" ht="15" customHeight="1" s="24">
      <c r="A153" s="27" t="n">
        <v>333259</v>
      </c>
      <c r="B153" s="27" t="inlineStr">
        <is>
          <t>Precious Mthembu</t>
        </is>
      </c>
      <c r="C153" s="27" t="inlineStr">
        <is>
          <t>+27473882031</t>
        </is>
      </c>
      <c r="D153" s="27" t="inlineStr">
        <is>
          <t>Western Cape</t>
        </is>
      </c>
      <c r="E153" s="27" t="inlineStr">
        <is>
          <t>Cape Town</t>
        </is>
      </c>
      <c r="F153" s="41" t="n">
        <v>44846</v>
      </c>
      <c r="G153" s="27" t="inlineStr">
        <is>
          <t>Occasional</t>
        </is>
      </c>
      <c r="H153" s="27">
        <f>TRUE()</f>
        <v/>
      </c>
    </row>
    <row r="154" ht="15" customHeight="1" s="24">
      <c r="A154" s="27" t="n">
        <v>175075</v>
      </c>
      <c r="B154" s="27" t="inlineStr">
        <is>
          <t>Kagiso Mabaso</t>
        </is>
      </c>
      <c r="C154" s="27" t="inlineStr">
        <is>
          <t>+27477069779</t>
        </is>
      </c>
      <c r="D154" s="27" t="inlineStr">
        <is>
          <t>Mpumalanga</t>
        </is>
      </c>
      <c r="E154" s="27" t="inlineStr">
        <is>
          <t>Secunda</t>
        </is>
      </c>
      <c r="F154" s="41" t="n">
        <v>45016</v>
      </c>
      <c r="G154" s="27" t="inlineStr">
        <is>
          <t>Occasional</t>
        </is>
      </c>
      <c r="H154" s="27">
        <f>TRUE()</f>
        <v/>
      </c>
    </row>
    <row r="155" ht="15" customHeight="1" s="24">
      <c r="A155" s="27" t="n">
        <v>227555</v>
      </c>
      <c r="B155" s="27" t="inlineStr">
        <is>
          <t>Khanyi Mokoena</t>
        </is>
      </c>
      <c r="C155" s="27" t="inlineStr">
        <is>
          <t>+27476148871</t>
        </is>
      </c>
      <c r="D155" s="27" t="inlineStr">
        <is>
          <t>KwaZulu-Natal</t>
        </is>
      </c>
      <c r="E155" s="27" t="inlineStr">
        <is>
          <t>Richards Bay</t>
        </is>
      </c>
      <c r="F155" s="41" t="n">
        <v>44516</v>
      </c>
      <c r="G155" s="27" t="inlineStr">
        <is>
          <t>Dormant</t>
        </is>
      </c>
      <c r="H155" s="27">
        <f>TRUE()</f>
        <v/>
      </c>
    </row>
    <row r="156" ht="15" customHeight="1" s="24">
      <c r="A156" s="27" t="n">
        <v>106329</v>
      </c>
      <c r="B156" s="27" t="inlineStr">
        <is>
          <t>Khanyi Steyn</t>
        </is>
      </c>
      <c r="C156" s="27" t="inlineStr">
        <is>
          <t>+27471914280</t>
        </is>
      </c>
      <c r="D156" s="27" t="inlineStr">
        <is>
          <t>Gauteng</t>
        </is>
      </c>
      <c r="E156" s="27" t="inlineStr">
        <is>
          <t>Soweto</t>
        </is>
      </c>
      <c r="F156" s="41" t="n">
        <v>45070</v>
      </c>
      <c r="G156" s="27" t="inlineStr">
        <is>
          <t>Occasional</t>
        </is>
      </c>
      <c r="H156" s="27">
        <f>TRUE()</f>
        <v/>
      </c>
    </row>
    <row r="157" ht="15" customHeight="1" s="24">
      <c r="A157" s="27" t="n">
        <v>126545</v>
      </c>
      <c r="B157" s="27" t="inlineStr">
        <is>
          <t>Tshepo Khumalo</t>
        </is>
      </c>
      <c r="C157" s="27" t="inlineStr">
        <is>
          <t>+27472966500</t>
        </is>
      </c>
      <c r="D157" s="27" t="inlineStr">
        <is>
          <t>Mpumalanga</t>
        </is>
      </c>
      <c r="E157" s="27" t="inlineStr">
        <is>
          <t>Witbank</t>
        </is>
      </c>
      <c r="F157" s="41" t="n">
        <v>45710</v>
      </c>
      <c r="G157" s="27" t="inlineStr">
        <is>
          <t>Occasional</t>
        </is>
      </c>
      <c r="H157" s="27">
        <f>TRUE()</f>
        <v/>
      </c>
    </row>
    <row r="158" ht="15" customHeight="1" s="24">
      <c r="A158" s="27" t="n">
        <v>37427</v>
      </c>
      <c r="B158" s="27" t="inlineStr">
        <is>
          <t>Chloe Mabaso</t>
        </is>
      </c>
      <c r="C158" s="27" t="inlineStr">
        <is>
          <t>+27472313958</t>
        </is>
      </c>
      <c r="D158" s="27" t="inlineStr">
        <is>
          <t>KwaZulu-Natal</t>
        </is>
      </c>
      <c r="E158" s="27" t="inlineStr">
        <is>
          <t>Umhlanga</t>
        </is>
      </c>
      <c r="F158" s="41" t="n">
        <v>45388</v>
      </c>
      <c r="G158" s="27" t="inlineStr">
        <is>
          <t>Frequent</t>
        </is>
      </c>
      <c r="H158" s="27">
        <f>TRUE()</f>
        <v/>
      </c>
    </row>
    <row r="159" ht="15" customHeight="1" s="24">
      <c r="A159" s="27" t="n">
        <v>43755</v>
      </c>
      <c r="B159" s="27" t="inlineStr">
        <is>
          <t>Lwazi Botha</t>
        </is>
      </c>
      <c r="C159" s="27" t="inlineStr">
        <is>
          <t>+27476439497</t>
        </is>
      </c>
      <c r="D159" s="27" t="inlineStr">
        <is>
          <t>KwaZulu-Natal</t>
        </is>
      </c>
      <c r="E159" s="27" t="inlineStr">
        <is>
          <t>Newcastle</t>
        </is>
      </c>
      <c r="F159" s="41" t="n">
        <v>44235</v>
      </c>
      <c r="G159" s="27" t="inlineStr">
        <is>
          <t>Occasional</t>
        </is>
      </c>
      <c r="H159" s="27">
        <f>TRUE()</f>
        <v/>
      </c>
    </row>
    <row r="160" ht="15" customHeight="1" s="24">
      <c r="A160" s="27" t="n">
        <v>34338</v>
      </c>
      <c r="B160" s="27" t="inlineStr">
        <is>
          <t>Aisha Molefe</t>
        </is>
      </c>
      <c r="C160" s="27" t="inlineStr">
        <is>
          <t>+27473310012</t>
        </is>
      </c>
      <c r="D160" s="27" t="inlineStr">
        <is>
          <t>Gauteng</t>
        </is>
      </c>
      <c r="E160" s="27" t="inlineStr">
        <is>
          <t>Midrand</t>
        </is>
      </c>
      <c r="F160" s="41" t="n">
        <v>44702</v>
      </c>
      <c r="G160" s="27" t="inlineStr">
        <is>
          <t>Regular</t>
        </is>
      </c>
      <c r="H160" s="27">
        <f>FALSE()</f>
        <v/>
      </c>
    </row>
    <row r="161" ht="15" customHeight="1" s="24">
      <c r="A161" s="27" t="n">
        <v>139051</v>
      </c>
      <c r="B161" s="27" t="inlineStr">
        <is>
          <t>Pieter Fourie</t>
        </is>
      </c>
      <c r="C161" s="27" t="inlineStr">
        <is>
          <t>+27477518581</t>
        </is>
      </c>
      <c r="D161" s="27" t="inlineStr">
        <is>
          <t>KwaZulu-Natal</t>
        </is>
      </c>
      <c r="E161" s="27" t="inlineStr">
        <is>
          <t>Pietermaritzburg</t>
        </is>
      </c>
      <c r="F161" s="41" t="n">
        <v>45798</v>
      </c>
      <c r="G161" s="27" t="inlineStr">
        <is>
          <t>Occasional</t>
        </is>
      </c>
      <c r="H161" s="27">
        <f>TRUE()</f>
        <v/>
      </c>
    </row>
    <row r="162" ht="15" customHeight="1" s="24">
      <c r="A162" s="27" t="n">
        <v>236855</v>
      </c>
      <c r="B162" s="27" t="inlineStr">
        <is>
          <t>Khanyi Maluleke</t>
        </is>
      </c>
      <c r="C162" s="27" t="inlineStr">
        <is>
          <t>+27474355594</t>
        </is>
      </c>
      <c r="D162" s="27" t="inlineStr">
        <is>
          <t>Free State</t>
        </is>
      </c>
      <c r="E162" s="27" t="inlineStr">
        <is>
          <t>Welkom</t>
        </is>
      </c>
      <c r="F162" s="41" t="n">
        <v>44577</v>
      </c>
      <c r="G162" s="27" t="inlineStr">
        <is>
          <t>Regular</t>
        </is>
      </c>
      <c r="H162" s="27">
        <f>TRUE()</f>
        <v/>
      </c>
    </row>
    <row r="163" ht="15" customHeight="1" s="24">
      <c r="A163" s="27" t="n">
        <v>200951</v>
      </c>
      <c r="B163" s="27" t="inlineStr">
        <is>
          <t>Lerato Dlamini</t>
        </is>
      </c>
      <c r="C163" s="27" t="inlineStr">
        <is>
          <t>+27472260933</t>
        </is>
      </c>
      <c r="D163" s="27" t="inlineStr">
        <is>
          <t>KwaZulu-Natal</t>
        </is>
      </c>
      <c r="E163" s="27" t="inlineStr">
        <is>
          <t>Umhlanga</t>
        </is>
      </c>
      <c r="F163" s="41" t="n">
        <v>45101</v>
      </c>
      <c r="G163" s="27" t="inlineStr">
        <is>
          <t>Occasional</t>
        </is>
      </c>
      <c r="H163" s="27">
        <f>TRUE()</f>
        <v/>
      </c>
    </row>
    <row r="164" ht="15" customHeight="1" s="24">
      <c r="A164" s="27" t="n">
        <v>5461</v>
      </c>
      <c r="B164" s="27" t="inlineStr">
        <is>
          <t>Johan Adams</t>
        </is>
      </c>
      <c r="C164" s="27" t="inlineStr">
        <is>
          <t>+27478240062</t>
        </is>
      </c>
      <c r="D164" s="27" t="inlineStr">
        <is>
          <t>Free State</t>
        </is>
      </c>
      <c r="E164" s="27" t="inlineStr">
        <is>
          <t>Bloemfontein</t>
        </is>
      </c>
      <c r="F164" s="41" t="n">
        <v>44275</v>
      </c>
      <c r="G164" s="27" t="inlineStr">
        <is>
          <t>Regular</t>
        </is>
      </c>
      <c r="H164" s="27">
        <f>TRUE()</f>
        <v/>
      </c>
    </row>
    <row r="165" ht="15" customHeight="1" s="24">
      <c r="A165" s="27" t="n">
        <v>89206</v>
      </c>
      <c r="B165" s="27" t="inlineStr">
        <is>
          <t>Daniel Daniels</t>
        </is>
      </c>
      <c r="C165" s="27" t="inlineStr">
        <is>
          <t>+27472063019</t>
        </is>
      </c>
      <c r="D165" s="27" t="inlineStr">
        <is>
          <t>Eastern Cape</t>
        </is>
      </c>
      <c r="E165" s="27" t="inlineStr">
        <is>
          <t>Gqeberha</t>
        </is>
      </c>
      <c r="F165" s="41" t="n">
        <v>44364</v>
      </c>
      <c r="G165" s="27" t="inlineStr">
        <is>
          <t>Dormant</t>
        </is>
      </c>
      <c r="H165" s="27">
        <f>TRUE()</f>
        <v/>
      </c>
    </row>
    <row r="166" ht="15" customHeight="1" s="24">
      <c r="A166" s="27" t="n">
        <v>164175</v>
      </c>
      <c r="B166" s="27" t="inlineStr">
        <is>
          <t>Mandla Naidoo</t>
        </is>
      </c>
      <c r="C166" s="27" t="inlineStr">
        <is>
          <t>+27476722551</t>
        </is>
      </c>
      <c r="D166" s="27" t="inlineStr">
        <is>
          <t>KwaZulu-Natal</t>
        </is>
      </c>
      <c r="E166" s="27" t="inlineStr">
        <is>
          <t>Pinetown</t>
        </is>
      </c>
      <c r="F166" s="41" t="n">
        <v>44606</v>
      </c>
      <c r="G166" s="27" t="inlineStr">
        <is>
          <t>Regular</t>
        </is>
      </c>
      <c r="H166" s="27">
        <f>TRUE()</f>
        <v/>
      </c>
    </row>
    <row r="167" ht="15" customHeight="1" s="24">
      <c r="A167" s="27" t="n">
        <v>161540</v>
      </c>
      <c r="B167" s="27" t="inlineStr">
        <is>
          <t>Nomvula Mabaso</t>
        </is>
      </c>
      <c r="C167" s="27" t="inlineStr">
        <is>
          <t>+27475565510</t>
        </is>
      </c>
      <c r="D167" s="27" t="inlineStr">
        <is>
          <t>Eastern Cape</t>
        </is>
      </c>
      <c r="E167" s="27" t="inlineStr">
        <is>
          <t>Uitenhage</t>
        </is>
      </c>
      <c r="F167" s="41" t="n">
        <v>46126</v>
      </c>
      <c r="G167" s="27" t="inlineStr">
        <is>
          <t>Regular</t>
        </is>
      </c>
      <c r="H167" s="27">
        <f>TRUE()</f>
        <v/>
      </c>
    </row>
    <row r="168" ht="15" customHeight="1" s="24">
      <c r="A168" s="27" t="n">
        <v>385246</v>
      </c>
      <c r="B168" s="27" t="inlineStr">
        <is>
          <t>Chloe Nkosi</t>
        </is>
      </c>
      <c r="C168" s="27" t="inlineStr">
        <is>
          <t>+27473354000</t>
        </is>
      </c>
      <c r="D168" s="27" t="inlineStr">
        <is>
          <t>Eastern Cape</t>
        </is>
      </c>
      <c r="E168" s="27" t="inlineStr">
        <is>
          <t>Gqeberha</t>
        </is>
      </c>
      <c r="F168" s="41" t="n">
        <v>45769</v>
      </c>
      <c r="G168" s="27" t="inlineStr">
        <is>
          <t>Occasional</t>
        </is>
      </c>
      <c r="H168" s="27">
        <f>TRUE()</f>
        <v/>
      </c>
    </row>
    <row r="169" ht="15" customHeight="1" s="24">
      <c r="A169" s="27" t="n">
        <v>60551</v>
      </c>
      <c r="B169" s="27" t="inlineStr">
        <is>
          <t>Werner van der Merwe</t>
        </is>
      </c>
      <c r="C169" s="27" t="inlineStr">
        <is>
          <t>+27472371889</t>
        </is>
      </c>
      <c r="D169" s="27" t="inlineStr">
        <is>
          <t>KwaZulu-Natal</t>
        </is>
      </c>
      <c r="E169" s="27" t="inlineStr">
        <is>
          <t>Richards Bay</t>
        </is>
      </c>
      <c r="F169" s="41" t="n">
        <v>44629</v>
      </c>
      <c r="G169" s="27" t="inlineStr">
        <is>
          <t>Dormant</t>
        </is>
      </c>
      <c r="H169" s="27">
        <f>TRUE()</f>
        <v/>
      </c>
    </row>
    <row r="170" ht="15" customHeight="1" s="24">
      <c r="A170" s="27" t="n">
        <v>147459</v>
      </c>
      <c r="B170" s="27" t="inlineStr">
        <is>
          <t>Precious van der Merwe</t>
        </is>
      </c>
      <c r="C170" s="27" t="inlineStr">
        <is>
          <t>+27473697653</t>
        </is>
      </c>
      <c r="D170" s="27" t="inlineStr">
        <is>
          <t>Gauteng</t>
        </is>
      </c>
      <c r="E170" s="27" t="inlineStr">
        <is>
          <t>Sandton</t>
        </is>
      </c>
      <c r="F170" s="41" t="n">
        <v>45473</v>
      </c>
      <c r="G170" s="27" t="inlineStr">
        <is>
          <t>Occasional</t>
        </is>
      </c>
      <c r="H170" s="27">
        <f>TRUE()</f>
        <v/>
      </c>
    </row>
    <row r="171" ht="15" customHeight="1" s="24">
      <c r="A171" s="27" t="n">
        <v>189162</v>
      </c>
      <c r="B171" s="27" t="inlineStr">
        <is>
          <t>Chloe Maluleke</t>
        </is>
      </c>
      <c r="C171" s="27" t="inlineStr">
        <is>
          <t>+27472464500</t>
        </is>
      </c>
      <c r="D171" s="27" t="inlineStr">
        <is>
          <t>Eastern Cape</t>
        </is>
      </c>
      <c r="E171" s="27" t="inlineStr">
        <is>
          <t>Uitenhage</t>
        </is>
      </c>
      <c r="F171" s="41" t="n">
        <v>45902</v>
      </c>
      <c r="G171" s="27" t="inlineStr">
        <is>
          <t>Occasional</t>
        </is>
      </c>
      <c r="H171" s="27">
        <f>TRUE()</f>
        <v/>
      </c>
    </row>
    <row r="172" ht="15" customHeight="1" s="24">
      <c r="A172" s="27" t="n">
        <v>368565</v>
      </c>
      <c r="B172" s="27" t="inlineStr">
        <is>
          <t>Anika van der Merwe</t>
        </is>
      </c>
      <c r="C172" s="27" t="inlineStr">
        <is>
          <t>+27471404986</t>
        </is>
      </c>
      <c r="D172" s="27" t="inlineStr">
        <is>
          <t>North West</t>
        </is>
      </c>
      <c r="E172" s="27" t="inlineStr">
        <is>
          <t>Rustenburg</t>
        </is>
      </c>
      <c r="F172" s="41" t="n">
        <v>45564</v>
      </c>
      <c r="G172" s="27" t="inlineStr">
        <is>
          <t>Regular</t>
        </is>
      </c>
      <c r="H172" s="27">
        <f>TRUE()</f>
        <v/>
      </c>
    </row>
    <row r="173" ht="15" customHeight="1" s="24">
      <c r="A173" s="27" t="n">
        <v>142750</v>
      </c>
      <c r="B173" s="27" t="inlineStr">
        <is>
          <t>Precious Pillay</t>
        </is>
      </c>
      <c r="C173" s="27" t="inlineStr">
        <is>
          <t>+27479827874</t>
        </is>
      </c>
      <c r="D173" s="27" t="inlineStr">
        <is>
          <t>Gauteng</t>
        </is>
      </c>
      <c r="E173" s="27" t="inlineStr">
        <is>
          <t>Centurion</t>
        </is>
      </c>
      <c r="F173" s="41" t="n">
        <v>44454</v>
      </c>
      <c r="G173" s="27" t="inlineStr">
        <is>
          <t>Dormant</t>
        </is>
      </c>
      <c r="H173" s="27">
        <f>TRUE()</f>
        <v/>
      </c>
    </row>
    <row r="174" ht="15" customHeight="1" s="24">
      <c r="A174" s="27" t="n">
        <v>189653</v>
      </c>
      <c r="B174" s="27" t="inlineStr">
        <is>
          <t>Aisha Naidoo</t>
        </is>
      </c>
      <c r="C174" s="27" t="inlineStr">
        <is>
          <t>+27471665925</t>
        </is>
      </c>
      <c r="D174" s="27" t="inlineStr">
        <is>
          <t>North West</t>
        </is>
      </c>
      <c r="E174" s="27" t="inlineStr">
        <is>
          <t>Mahikeng</t>
        </is>
      </c>
      <c r="F174" s="41" t="n">
        <v>45731</v>
      </c>
      <c r="G174" s="27" t="inlineStr">
        <is>
          <t>Frequent</t>
        </is>
      </c>
      <c r="H174" s="27">
        <f>FALSE()</f>
        <v/>
      </c>
    </row>
    <row r="175" ht="15" customHeight="1" s="24">
      <c r="A175" s="27" t="n">
        <v>268675</v>
      </c>
      <c r="B175" s="27" t="inlineStr">
        <is>
          <t>Ayanda Hendricks</t>
        </is>
      </c>
      <c r="C175" s="27" t="inlineStr">
        <is>
          <t>+27479611910</t>
        </is>
      </c>
      <c r="D175" s="27" t="inlineStr">
        <is>
          <t>KwaZulu-Natal</t>
        </is>
      </c>
      <c r="E175" s="27" t="inlineStr">
        <is>
          <t>Richards Bay</t>
        </is>
      </c>
      <c r="F175" s="41" t="n">
        <v>45410</v>
      </c>
      <c r="G175" s="27" t="inlineStr">
        <is>
          <t>Occasional</t>
        </is>
      </c>
      <c r="H175" s="27">
        <f>TRUE()</f>
        <v/>
      </c>
    </row>
    <row r="176" ht="15" customHeight="1" s="24">
      <c r="A176" s="27" t="n">
        <v>144071</v>
      </c>
      <c r="B176" s="27" t="inlineStr">
        <is>
          <t>Pieter Molefe</t>
        </is>
      </c>
      <c r="C176" s="27" t="inlineStr">
        <is>
          <t>+27479838761</t>
        </is>
      </c>
      <c r="D176" s="27" t="inlineStr">
        <is>
          <t>Western Cape</t>
        </is>
      </c>
      <c r="E176" s="27" t="inlineStr">
        <is>
          <t>Somerset West</t>
        </is>
      </c>
      <c r="F176" s="41" t="n">
        <v>44736</v>
      </c>
      <c r="G176" s="27" t="inlineStr">
        <is>
          <t>Occasional</t>
        </is>
      </c>
      <c r="H176" s="27">
        <f>TRUE()</f>
        <v/>
      </c>
    </row>
    <row r="177" ht="15" customHeight="1" s="24">
      <c r="A177" s="27" t="n">
        <v>180209</v>
      </c>
      <c r="B177" s="27" t="inlineStr">
        <is>
          <t>Naledi Jacobs</t>
        </is>
      </c>
      <c r="C177" s="27" t="inlineStr">
        <is>
          <t>+27472996551</t>
        </is>
      </c>
      <c r="D177" s="27" t="inlineStr">
        <is>
          <t>Northern Cape</t>
        </is>
      </c>
      <c r="E177" s="27" t="inlineStr">
        <is>
          <t>Upington</t>
        </is>
      </c>
      <c r="F177" s="41" t="n">
        <v>45023</v>
      </c>
      <c r="G177" s="27" t="inlineStr">
        <is>
          <t>Frequent</t>
        </is>
      </c>
      <c r="H177" s="27">
        <f>TRUE()</f>
        <v/>
      </c>
    </row>
    <row r="178" ht="15" customHeight="1" s="24">
      <c r="A178" s="27" t="n">
        <v>66092</v>
      </c>
      <c r="B178" s="27" t="inlineStr">
        <is>
          <t>Thabo Fourie</t>
        </is>
      </c>
      <c r="C178" s="27" t="inlineStr">
        <is>
          <t>+27473059013</t>
        </is>
      </c>
      <c r="D178" s="27" t="inlineStr">
        <is>
          <t>Mpumalanga</t>
        </is>
      </c>
      <c r="E178" s="27" t="inlineStr">
        <is>
          <t>Witbank</t>
        </is>
      </c>
      <c r="F178" s="41" t="n">
        <v>44303</v>
      </c>
      <c r="G178" s="27" t="inlineStr">
        <is>
          <t>Occasional</t>
        </is>
      </c>
      <c r="H178" s="27">
        <f>TRUE()</f>
        <v/>
      </c>
    </row>
    <row r="179" ht="15" customHeight="1" s="24">
      <c r="A179" s="27" t="n">
        <v>32498</v>
      </c>
      <c r="B179" s="27" t="inlineStr">
        <is>
          <t>Khanyi Jacobs</t>
        </is>
      </c>
      <c r="C179" s="27" t="inlineStr">
        <is>
          <t>+27477798320</t>
        </is>
      </c>
      <c r="D179" s="27" t="inlineStr">
        <is>
          <t>Gauteng</t>
        </is>
      </c>
      <c r="E179" s="27" t="inlineStr">
        <is>
          <t>Midrand</t>
        </is>
      </c>
      <c r="F179" s="41" t="n">
        <v>45069</v>
      </c>
      <c r="G179" s="27" t="inlineStr">
        <is>
          <t>Occasional</t>
        </is>
      </c>
      <c r="H179" s="27">
        <f>TRUE()</f>
        <v/>
      </c>
    </row>
    <row r="180" ht="15" customHeight="1" s="24">
      <c r="A180" s="27" t="n">
        <v>377572</v>
      </c>
      <c r="B180" s="27" t="inlineStr">
        <is>
          <t>Johan Adams</t>
        </is>
      </c>
      <c r="C180" s="27" t="inlineStr">
        <is>
          <t>+27479008995</t>
        </is>
      </c>
      <c r="D180" s="27" t="inlineStr">
        <is>
          <t>Western Cape</t>
        </is>
      </c>
      <c r="E180" s="27" t="inlineStr">
        <is>
          <t>Bellville</t>
        </is>
      </c>
      <c r="F180" s="41" t="n">
        <v>44806</v>
      </c>
      <c r="G180" s="27" t="inlineStr">
        <is>
          <t>Occasional</t>
        </is>
      </c>
      <c r="H180" s="27">
        <f>TRUE()</f>
        <v/>
      </c>
    </row>
    <row r="181" ht="15" customHeight="1" s="24">
      <c r="A181" s="27" t="n">
        <v>355706</v>
      </c>
      <c r="B181" s="27" t="inlineStr">
        <is>
          <t>Dineo Adams</t>
        </is>
      </c>
      <c r="C181" s="27" t="inlineStr">
        <is>
          <t>+27474828470</t>
        </is>
      </c>
      <c r="D181" s="27" t="inlineStr">
        <is>
          <t>KwaZulu-Natal</t>
        </is>
      </c>
      <c r="E181" s="27" t="inlineStr">
        <is>
          <t>Newcastle</t>
        </is>
      </c>
      <c r="F181" s="41" t="n">
        <v>45856</v>
      </c>
      <c r="G181" s="27" t="inlineStr">
        <is>
          <t>Regular</t>
        </is>
      </c>
      <c r="H181" s="27">
        <f>TRUE()</f>
        <v/>
      </c>
    </row>
    <row r="182" ht="15" customHeight="1" s="24">
      <c r="A182" s="27" t="n">
        <v>213731</v>
      </c>
      <c r="B182" s="27" t="inlineStr">
        <is>
          <t>Ayanda Smith</t>
        </is>
      </c>
      <c r="C182" s="27" t="inlineStr">
        <is>
          <t>+27474115415</t>
        </is>
      </c>
      <c r="D182" s="27" t="inlineStr">
        <is>
          <t>Limpopo</t>
        </is>
      </c>
      <c r="E182" s="27" t="inlineStr">
        <is>
          <t>Tzaneen</t>
        </is>
      </c>
      <c r="F182" s="41" t="n">
        <v>44972</v>
      </c>
      <c r="G182" s="27" t="inlineStr">
        <is>
          <t>Occasional</t>
        </is>
      </c>
      <c r="H182" s="27">
        <f>TRUE()</f>
        <v/>
      </c>
    </row>
    <row r="183" ht="15" customHeight="1" s="24">
      <c r="A183" s="27" t="n">
        <v>270279</v>
      </c>
      <c r="B183" s="27" t="inlineStr">
        <is>
          <t>Bongani van der Merwe</t>
        </is>
      </c>
      <c r="C183" s="27" t="inlineStr">
        <is>
          <t>+27471790931</t>
        </is>
      </c>
      <c r="D183" s="27" t="inlineStr">
        <is>
          <t>Western Cape</t>
        </is>
      </c>
      <c r="E183" s="27" t="inlineStr">
        <is>
          <t>Bellville</t>
        </is>
      </c>
      <c r="F183" s="41" t="n">
        <v>44234</v>
      </c>
      <c r="G183" s="27" t="inlineStr">
        <is>
          <t>Occasional</t>
        </is>
      </c>
      <c r="H183" s="27">
        <f>TRUE()</f>
        <v/>
      </c>
    </row>
    <row r="184" ht="15" customHeight="1" s="24">
      <c r="A184" s="27" t="n">
        <v>126476</v>
      </c>
      <c r="B184" s="27" t="inlineStr">
        <is>
          <t>Werner Tshabalala</t>
        </is>
      </c>
      <c r="C184" s="27" t="inlineStr">
        <is>
          <t>+27474663798</t>
        </is>
      </c>
      <c r="D184" s="27" t="inlineStr">
        <is>
          <t>Gauteng</t>
        </is>
      </c>
      <c r="E184" s="27" t="inlineStr">
        <is>
          <t>Johannesburg</t>
        </is>
      </c>
      <c r="F184" s="41" t="n">
        <v>44230</v>
      </c>
      <c r="G184" s="27" t="inlineStr">
        <is>
          <t>Occasional</t>
        </is>
      </c>
      <c r="H184" s="27">
        <f>TRUE()</f>
        <v/>
      </c>
    </row>
    <row r="185" ht="15" customHeight="1" s="24">
      <c r="A185" s="27" t="n">
        <v>43936</v>
      </c>
      <c r="B185" s="27" t="inlineStr">
        <is>
          <t>Riaan Botha</t>
        </is>
      </c>
      <c r="C185" s="27" t="inlineStr">
        <is>
          <t>+27471530071</t>
        </is>
      </c>
      <c r="D185" s="27" t="inlineStr">
        <is>
          <t>Mpumalanga</t>
        </is>
      </c>
      <c r="E185" s="27" t="inlineStr">
        <is>
          <t>Secunda</t>
        </is>
      </c>
      <c r="F185" s="41" t="n">
        <v>44399</v>
      </c>
      <c r="G185" s="27" t="inlineStr">
        <is>
          <t>Dormant</t>
        </is>
      </c>
      <c r="H185" s="27">
        <f>TRUE()</f>
        <v/>
      </c>
    </row>
    <row r="186" ht="15" customHeight="1" s="24">
      <c r="A186" s="27" t="n">
        <v>280524</v>
      </c>
      <c r="B186" s="27" t="inlineStr">
        <is>
          <t>Megan Fourie</t>
        </is>
      </c>
      <c r="C186" s="27" t="inlineStr">
        <is>
          <t>+27472369569</t>
        </is>
      </c>
      <c r="D186" s="27" t="inlineStr">
        <is>
          <t>North West</t>
        </is>
      </c>
      <c r="E186" s="27" t="inlineStr">
        <is>
          <t>Potchefstroom</t>
        </is>
      </c>
      <c r="F186" s="41" t="n">
        <v>45258</v>
      </c>
      <c r="G186" s="27" t="inlineStr">
        <is>
          <t>Dormant</t>
        </is>
      </c>
      <c r="H186" s="27">
        <f>TRUE()</f>
        <v/>
      </c>
    </row>
    <row r="187" ht="15" customHeight="1" s="24">
      <c r="A187" s="27" t="n">
        <v>310182</v>
      </c>
      <c r="B187" s="27" t="inlineStr">
        <is>
          <t>Riaan van der Merwe</t>
        </is>
      </c>
      <c r="C187" s="27" t="inlineStr">
        <is>
          <t>+27478839025</t>
        </is>
      </c>
      <c r="D187" s="27" t="inlineStr">
        <is>
          <t>Gauteng</t>
        </is>
      </c>
      <c r="E187" s="27" t="inlineStr">
        <is>
          <t>Sandton</t>
        </is>
      </c>
      <c r="F187" s="41" t="n">
        <v>45183</v>
      </c>
      <c r="G187" s="27" t="inlineStr">
        <is>
          <t>Occasional</t>
        </is>
      </c>
      <c r="H187" s="27">
        <f>FALSE()</f>
        <v/>
      </c>
    </row>
    <row r="188" ht="15" customHeight="1" s="24">
      <c r="A188" s="27" t="n">
        <v>156318</v>
      </c>
      <c r="B188" s="27" t="inlineStr">
        <is>
          <t>Khanyi Botha</t>
        </is>
      </c>
      <c r="C188" s="27" t="inlineStr">
        <is>
          <t>+27477408034</t>
        </is>
      </c>
      <c r="D188" s="27" t="inlineStr">
        <is>
          <t>Limpopo</t>
        </is>
      </c>
      <c r="E188" s="27" t="inlineStr">
        <is>
          <t>Thohoyandou</t>
        </is>
      </c>
      <c r="F188" s="41" t="n">
        <v>45830</v>
      </c>
      <c r="G188" s="27" t="inlineStr">
        <is>
          <t>Occasional</t>
        </is>
      </c>
      <c r="H188" s="27">
        <f>TRUE()</f>
        <v/>
      </c>
    </row>
    <row r="189" ht="15" customHeight="1" s="24">
      <c r="A189" s="27" t="n">
        <v>38058</v>
      </c>
      <c r="B189" s="27" t="inlineStr">
        <is>
          <t>Bongani Maluleke</t>
        </is>
      </c>
      <c r="C189" s="27" t="inlineStr">
        <is>
          <t>+27473313495</t>
        </is>
      </c>
      <c r="D189" s="27" t="inlineStr">
        <is>
          <t>North West</t>
        </is>
      </c>
      <c r="E189" s="27" t="inlineStr">
        <is>
          <t>Mahikeng</t>
        </is>
      </c>
      <c r="F189" s="41" t="n">
        <v>44963</v>
      </c>
      <c r="G189" s="27" t="inlineStr">
        <is>
          <t>Occasional</t>
        </is>
      </c>
      <c r="H189" s="27">
        <f>TRUE()</f>
        <v/>
      </c>
    </row>
    <row r="190" ht="15" customHeight="1" s="24">
      <c r="A190" s="27" t="n">
        <v>335852</v>
      </c>
      <c r="B190" s="27" t="inlineStr">
        <is>
          <t>Refilwe Smith</t>
        </is>
      </c>
      <c r="C190" s="27" t="inlineStr">
        <is>
          <t>+27476834572</t>
        </is>
      </c>
      <c r="D190" s="27" t="inlineStr">
        <is>
          <t>Gauteng</t>
        </is>
      </c>
      <c r="E190" s="27" t="inlineStr">
        <is>
          <t>Centurion</t>
        </is>
      </c>
      <c r="F190" s="41" t="n">
        <v>46061</v>
      </c>
      <c r="G190" s="27" t="inlineStr">
        <is>
          <t>Regular</t>
        </is>
      </c>
      <c r="H190" s="27">
        <f>FALSE()</f>
        <v/>
      </c>
    </row>
    <row r="191" ht="15" customHeight="1" s="24">
      <c r="A191" s="27" t="n">
        <v>107190</v>
      </c>
      <c r="B191" s="27" t="inlineStr">
        <is>
          <t>Lerato van der Merwe</t>
        </is>
      </c>
      <c r="C191" s="27" t="inlineStr">
        <is>
          <t>+27478270791</t>
        </is>
      </c>
      <c r="D191" s="27" t="inlineStr">
        <is>
          <t>KwaZulu-Natal</t>
        </is>
      </c>
      <c r="E191" s="27" t="inlineStr">
        <is>
          <t>Durban</t>
        </is>
      </c>
      <c r="F191" s="41" t="n">
        <v>45584</v>
      </c>
      <c r="G191" s="27" t="inlineStr">
        <is>
          <t>Dormant</t>
        </is>
      </c>
      <c r="H191" s="27">
        <f>TRUE()</f>
        <v/>
      </c>
    </row>
    <row r="192" ht="15" customHeight="1" s="24">
      <c r="A192" s="27" t="n">
        <v>11768</v>
      </c>
      <c r="B192" s="27" t="inlineStr">
        <is>
          <t>Anika Molefe</t>
        </is>
      </c>
      <c r="C192" s="27" t="inlineStr">
        <is>
          <t>+27478549976</t>
        </is>
      </c>
      <c r="D192" s="27" t="inlineStr">
        <is>
          <t>KwaZulu-Natal</t>
        </is>
      </c>
      <c r="E192" s="27" t="inlineStr">
        <is>
          <t>Durban</t>
        </is>
      </c>
      <c r="F192" s="41" t="n">
        <v>44630</v>
      </c>
      <c r="G192" s="27" t="inlineStr">
        <is>
          <t>Dormant</t>
        </is>
      </c>
      <c r="H192" s="27">
        <f>TRUE()</f>
        <v/>
      </c>
    </row>
    <row r="193" ht="15" customHeight="1" s="24">
      <c r="A193" s="27" t="n">
        <v>65076</v>
      </c>
      <c r="B193" s="27" t="inlineStr">
        <is>
          <t>Riaan Molefe</t>
        </is>
      </c>
      <c r="C193" s="27" t="inlineStr">
        <is>
          <t>+27479099345</t>
        </is>
      </c>
      <c r="D193" s="27" t="inlineStr">
        <is>
          <t>Gauteng</t>
        </is>
      </c>
      <c r="E193" s="27" t="inlineStr">
        <is>
          <t>Sandton</t>
        </is>
      </c>
      <c r="F193" s="41" t="n">
        <v>44814</v>
      </c>
      <c r="G193" s="27" t="inlineStr">
        <is>
          <t>Dormant</t>
        </is>
      </c>
      <c r="H193" s="27">
        <f>TRUE()</f>
        <v/>
      </c>
    </row>
    <row r="194" ht="15" customHeight="1" s="24">
      <c r="A194" s="27" t="n">
        <v>198554</v>
      </c>
      <c r="B194" s="27" t="inlineStr">
        <is>
          <t>Aisha Tshabalala</t>
        </is>
      </c>
      <c r="C194" s="27" t="inlineStr">
        <is>
          <t>+27475446113</t>
        </is>
      </c>
      <c r="D194" s="27" t="inlineStr">
        <is>
          <t>Western Cape</t>
        </is>
      </c>
      <c r="E194" s="27" t="inlineStr">
        <is>
          <t>Bellville</t>
        </is>
      </c>
      <c r="F194" s="41" t="n">
        <v>44274</v>
      </c>
      <c r="G194" s="27" t="inlineStr">
        <is>
          <t>Regular</t>
        </is>
      </c>
      <c r="H194" s="27">
        <f>TRUE()</f>
        <v/>
      </c>
    </row>
    <row r="195" ht="15" customHeight="1" s="24">
      <c r="A195" s="27" t="n">
        <v>48750</v>
      </c>
      <c r="B195" s="27" t="inlineStr">
        <is>
          <t>Fatima Pillay</t>
        </is>
      </c>
      <c r="C195" s="27" t="inlineStr">
        <is>
          <t>+27471169110</t>
        </is>
      </c>
      <c r="D195" s="27" t="inlineStr">
        <is>
          <t>KwaZulu-Natal</t>
        </is>
      </c>
      <c r="E195" s="27" t="inlineStr">
        <is>
          <t>Umhlanga</t>
        </is>
      </c>
      <c r="F195" s="41" t="n">
        <v>44844</v>
      </c>
      <c r="G195" s="27" t="inlineStr">
        <is>
          <t>Regular</t>
        </is>
      </c>
      <c r="H195" s="27">
        <f>TRUE()</f>
        <v/>
      </c>
    </row>
    <row r="196" ht="15" customHeight="1" s="24">
      <c r="A196" s="27" t="n">
        <v>186922</v>
      </c>
      <c r="B196" s="27" t="inlineStr">
        <is>
          <t>Lwazi Mokoena</t>
        </is>
      </c>
      <c r="C196" s="27" t="inlineStr">
        <is>
          <t>+27475825787</t>
        </is>
      </c>
      <c r="D196" s="27" t="inlineStr">
        <is>
          <t>Western Cape</t>
        </is>
      </c>
      <c r="E196" s="27" t="inlineStr">
        <is>
          <t>George</t>
        </is>
      </c>
      <c r="F196" s="41" t="n">
        <v>45951</v>
      </c>
      <c r="G196" s="27" t="inlineStr">
        <is>
          <t>Dormant</t>
        </is>
      </c>
      <c r="H196" s="27">
        <f>FALSE()</f>
        <v/>
      </c>
    </row>
    <row r="197" ht="15" customHeight="1" s="24">
      <c r="A197" s="27" t="n">
        <v>111496</v>
      </c>
      <c r="B197" s="27" t="inlineStr">
        <is>
          <t>Lwazi Adams</t>
        </is>
      </c>
      <c r="C197" s="27" t="inlineStr">
        <is>
          <t>+27475623657</t>
        </is>
      </c>
      <c r="D197" s="27" t="inlineStr">
        <is>
          <t>Free State</t>
        </is>
      </c>
      <c r="E197" s="27" t="inlineStr">
        <is>
          <t>Bethlehem</t>
        </is>
      </c>
      <c r="F197" s="41" t="n">
        <v>46113</v>
      </c>
      <c r="G197" s="27" t="inlineStr">
        <is>
          <t>Occasional</t>
        </is>
      </c>
      <c r="H197" s="27">
        <f>TRUE()</f>
        <v/>
      </c>
    </row>
    <row r="198" ht="15" customHeight="1" s="24">
      <c r="A198" s="27" t="n">
        <v>148391</v>
      </c>
      <c r="B198" s="27" t="inlineStr">
        <is>
          <t>Mandla Sithole</t>
        </is>
      </c>
      <c r="C198" s="27" t="inlineStr">
        <is>
          <t>+27473777198</t>
        </is>
      </c>
      <c r="D198" s="27" t="inlineStr">
        <is>
          <t>KwaZulu-Natal</t>
        </is>
      </c>
      <c r="E198" s="27" t="inlineStr">
        <is>
          <t>Pietermaritzburg</t>
        </is>
      </c>
      <c r="F198" s="41" t="n">
        <v>45453</v>
      </c>
      <c r="G198" s="27" t="inlineStr">
        <is>
          <t>Dormant</t>
        </is>
      </c>
      <c r="H198" s="27">
        <f>TRUE()</f>
        <v/>
      </c>
    </row>
    <row r="199" ht="15" customHeight="1" s="24">
      <c r="A199" s="27" t="n">
        <v>386340</v>
      </c>
      <c r="B199" s="27" t="inlineStr">
        <is>
          <t>Nomvula Pillay</t>
        </is>
      </c>
      <c r="C199" s="27" t="inlineStr">
        <is>
          <t>+27479012818</t>
        </is>
      </c>
      <c r="D199" s="27" t="inlineStr">
        <is>
          <t>Eastern Cape</t>
        </is>
      </c>
      <c r="E199" s="27" t="inlineStr">
        <is>
          <t>Gqeberha</t>
        </is>
      </c>
      <c r="F199" s="41" t="n">
        <v>44517</v>
      </c>
      <c r="G199" s="27" t="inlineStr">
        <is>
          <t>Regular</t>
        </is>
      </c>
      <c r="H199" s="27">
        <f>TRUE()</f>
        <v/>
      </c>
    </row>
    <row r="200" ht="15" customHeight="1" s="24">
      <c r="A200" s="27" t="n">
        <v>296937</v>
      </c>
      <c r="B200" s="27" t="inlineStr">
        <is>
          <t>Kagiso Zulu</t>
        </is>
      </c>
      <c r="C200" s="27" t="inlineStr">
        <is>
          <t>+27472825892</t>
        </is>
      </c>
      <c r="D200" s="27" t="inlineStr">
        <is>
          <t>Western Cape</t>
        </is>
      </c>
      <c r="E200" s="27" t="inlineStr">
        <is>
          <t>Stellenbosch</t>
        </is>
      </c>
      <c r="F200" s="41" t="n">
        <v>44431</v>
      </c>
      <c r="G200" s="27" t="inlineStr">
        <is>
          <t>Dormant</t>
        </is>
      </c>
      <c r="H200" s="27">
        <f>TRUE()</f>
        <v/>
      </c>
    </row>
    <row r="201" ht="15" customHeight="1" s="24">
      <c r="A201" s="27" t="n">
        <v>283827</v>
      </c>
      <c r="B201" s="27" t="inlineStr">
        <is>
          <t>Nomvula Hendricks</t>
        </is>
      </c>
      <c r="C201" s="27" t="inlineStr">
        <is>
          <t>+27473396365</t>
        </is>
      </c>
      <c r="D201" s="27" t="inlineStr">
        <is>
          <t>Eastern Cape</t>
        </is>
      </c>
      <c r="E201" s="27" t="inlineStr">
        <is>
          <t>Gqeberha</t>
        </is>
      </c>
      <c r="F201" s="41" t="n">
        <v>45471</v>
      </c>
      <c r="G201" s="27" t="inlineStr">
        <is>
          <t>Frequent</t>
        </is>
      </c>
      <c r="H201" s="27">
        <f>TRUE()</f>
        <v/>
      </c>
    </row>
    <row r="202" ht="15" customHeight="1" s="24">
      <c r="A202" s="27" t="n">
        <v>366547</v>
      </c>
      <c r="B202" s="27" t="inlineStr">
        <is>
          <t>Nomvula Ngcobo</t>
        </is>
      </c>
      <c r="C202" s="27" t="inlineStr">
        <is>
          <t>+27479218647</t>
        </is>
      </c>
      <c r="D202" s="27" t="inlineStr">
        <is>
          <t>North West</t>
        </is>
      </c>
      <c r="E202" s="27" t="inlineStr">
        <is>
          <t>Potchefstroom</t>
        </is>
      </c>
      <c r="F202" s="41" t="n">
        <v>45344</v>
      </c>
      <c r="G202" s="27" t="inlineStr">
        <is>
          <t>Regular</t>
        </is>
      </c>
      <c r="H202" s="27">
        <f>FALSE()</f>
        <v/>
      </c>
    </row>
    <row r="203" ht="15" customHeight="1" s="24">
      <c r="A203" s="27" t="n">
        <v>199132</v>
      </c>
      <c r="B203" s="27" t="inlineStr">
        <is>
          <t>Kagiso Mahlangu</t>
        </is>
      </c>
      <c r="C203" s="27" t="inlineStr">
        <is>
          <t>+27472351162</t>
        </is>
      </c>
      <c r="D203" s="27" t="inlineStr">
        <is>
          <t>Western Cape</t>
        </is>
      </c>
      <c r="E203" s="27" t="inlineStr">
        <is>
          <t>Stellenbosch</t>
        </is>
      </c>
      <c r="F203" s="41" t="n">
        <v>44437</v>
      </c>
      <c r="G203" s="27" t="inlineStr">
        <is>
          <t>Occasional</t>
        </is>
      </c>
      <c r="H203" s="27">
        <f>TRUE()</f>
        <v/>
      </c>
    </row>
    <row r="204" ht="15" customHeight="1" s="24">
      <c r="A204" s="27" t="n">
        <v>192021</v>
      </c>
      <c r="B204" s="27" t="inlineStr">
        <is>
          <t>Sipho Petersen</t>
        </is>
      </c>
      <c r="C204" s="27" t="inlineStr">
        <is>
          <t>+27471843753</t>
        </is>
      </c>
      <c r="D204" s="27" t="inlineStr">
        <is>
          <t>KwaZulu-Natal</t>
        </is>
      </c>
      <c r="E204" s="27" t="inlineStr">
        <is>
          <t>Pinetown</t>
        </is>
      </c>
      <c r="F204" s="41" t="n">
        <v>45493</v>
      </c>
      <c r="G204" s="27" t="inlineStr">
        <is>
          <t>Regular</t>
        </is>
      </c>
      <c r="H204" s="27">
        <f>TRUE()</f>
        <v/>
      </c>
    </row>
    <row r="205" ht="15" customHeight="1" s="24">
      <c r="A205" s="27" t="n">
        <v>345238</v>
      </c>
      <c r="B205" s="27" t="inlineStr">
        <is>
          <t>Thabo Fourie</t>
        </is>
      </c>
      <c r="C205" s="27" t="inlineStr">
        <is>
          <t>+27472110508</t>
        </is>
      </c>
      <c r="D205" s="27" t="inlineStr">
        <is>
          <t>KwaZulu-Natal</t>
        </is>
      </c>
      <c r="E205" s="27" t="inlineStr">
        <is>
          <t>Richards Bay</t>
        </is>
      </c>
      <c r="F205" s="41" t="n">
        <v>45384</v>
      </c>
      <c r="G205" s="27" t="inlineStr">
        <is>
          <t>Regular</t>
        </is>
      </c>
      <c r="H205" s="27">
        <f>TRUE()</f>
        <v/>
      </c>
    </row>
    <row r="206" ht="15" customHeight="1" s="24">
      <c r="A206" s="27" t="n">
        <v>50846</v>
      </c>
      <c r="B206" s="27" t="inlineStr">
        <is>
          <t>Lwazi Steyn</t>
        </is>
      </c>
      <c r="C206" s="27" t="inlineStr">
        <is>
          <t>+27471138047</t>
        </is>
      </c>
      <c r="D206" s="27" t="inlineStr">
        <is>
          <t>Gauteng</t>
        </is>
      </c>
      <c r="E206" s="27" t="inlineStr">
        <is>
          <t>Centurion</t>
        </is>
      </c>
      <c r="F206" s="41" t="n">
        <v>45430</v>
      </c>
      <c r="G206" s="27" t="inlineStr">
        <is>
          <t>Occasional</t>
        </is>
      </c>
      <c r="H206" s="27">
        <f>TRUE()</f>
        <v/>
      </c>
    </row>
    <row r="207" ht="15" customHeight="1" s="24">
      <c r="A207" s="27" t="n">
        <v>93429</v>
      </c>
      <c r="B207" s="27" t="inlineStr">
        <is>
          <t>Lwazi Mthembu</t>
        </is>
      </c>
      <c r="C207" s="27" t="inlineStr">
        <is>
          <t>+27472652863</t>
        </is>
      </c>
      <c r="D207" s="27" t="inlineStr">
        <is>
          <t>Gauteng</t>
        </is>
      </c>
      <c r="E207" s="27" t="inlineStr">
        <is>
          <t>Soweto</t>
        </is>
      </c>
      <c r="F207" s="41" t="n">
        <v>46124</v>
      </c>
      <c r="G207" s="27" t="inlineStr">
        <is>
          <t>Regular</t>
        </is>
      </c>
      <c r="H207" s="27">
        <f>TRUE()</f>
        <v/>
      </c>
    </row>
    <row r="208" ht="15" customHeight="1" s="24">
      <c r="A208" s="27" t="n">
        <v>356257</v>
      </c>
      <c r="B208" s="27" t="inlineStr">
        <is>
          <t>Liam Smith</t>
        </is>
      </c>
      <c r="C208" s="27" t="inlineStr">
        <is>
          <t>+27476274476</t>
        </is>
      </c>
      <c r="D208" s="27" t="inlineStr">
        <is>
          <t>KwaZulu-Natal</t>
        </is>
      </c>
      <c r="E208" s="27" t="inlineStr">
        <is>
          <t>Newcastle</t>
        </is>
      </c>
      <c r="F208" s="41" t="n">
        <v>45567</v>
      </c>
      <c r="G208" s="27" t="inlineStr">
        <is>
          <t>Occasional</t>
        </is>
      </c>
      <c r="H208" s="27">
        <f>TRUE()</f>
        <v/>
      </c>
    </row>
    <row r="209" ht="15" customHeight="1" s="24">
      <c r="A209" s="27" t="n">
        <v>385495</v>
      </c>
      <c r="B209" s="27" t="inlineStr">
        <is>
          <t>Fatima Mokoena</t>
        </is>
      </c>
      <c r="C209" s="27" t="inlineStr">
        <is>
          <t>+27476968639</t>
        </is>
      </c>
      <c r="D209" s="27" t="inlineStr">
        <is>
          <t>Northern Cape</t>
        </is>
      </c>
      <c r="E209" s="27" t="inlineStr">
        <is>
          <t>Upington</t>
        </is>
      </c>
      <c r="F209" s="41" t="n">
        <v>46048</v>
      </c>
      <c r="G209" s="27" t="inlineStr">
        <is>
          <t>Regular</t>
        </is>
      </c>
      <c r="H209" s="27">
        <f>FALSE()</f>
        <v/>
      </c>
    </row>
    <row r="210" ht="15" customHeight="1" s="24">
      <c r="A210" s="27" t="n">
        <v>144831</v>
      </c>
      <c r="B210" s="27" t="inlineStr">
        <is>
          <t>Riaan Mahlangu</t>
        </is>
      </c>
      <c r="C210" s="27" t="inlineStr">
        <is>
          <t>+27475007051</t>
        </is>
      </c>
      <c r="D210" s="27" t="inlineStr">
        <is>
          <t>Western Cape</t>
        </is>
      </c>
      <c r="E210" s="27" t="inlineStr">
        <is>
          <t>George</t>
        </is>
      </c>
      <c r="F210" s="41" t="n">
        <v>44878</v>
      </c>
      <c r="G210" s="27" t="inlineStr">
        <is>
          <t>Occasional</t>
        </is>
      </c>
      <c r="H210" s="27">
        <f>TRUE()</f>
        <v/>
      </c>
    </row>
    <row r="211" ht="15" customHeight="1" s="24">
      <c r="A211" s="27" t="n">
        <v>202481</v>
      </c>
      <c r="B211" s="27" t="inlineStr">
        <is>
          <t>Tshepo Nkosi</t>
        </is>
      </c>
      <c r="C211" s="27" t="inlineStr">
        <is>
          <t>+27478380474</t>
        </is>
      </c>
      <c r="D211" s="27" t="inlineStr">
        <is>
          <t>Gauteng</t>
        </is>
      </c>
      <c r="E211" s="27" t="inlineStr">
        <is>
          <t>Roodepoort</t>
        </is>
      </c>
      <c r="F211" s="41" t="n">
        <v>45779</v>
      </c>
      <c r="G211" s="27" t="inlineStr">
        <is>
          <t>Occasional</t>
        </is>
      </c>
      <c r="H211" s="27">
        <f>TRUE()</f>
        <v/>
      </c>
    </row>
    <row r="212" ht="15" customHeight="1" s="24">
      <c r="A212" s="27" t="n">
        <v>90786</v>
      </c>
      <c r="B212" s="27" t="inlineStr">
        <is>
          <t>Pieter Molefe</t>
        </is>
      </c>
      <c r="C212" s="27" t="inlineStr">
        <is>
          <t>+27473806610</t>
        </is>
      </c>
      <c r="D212" s="27" t="inlineStr">
        <is>
          <t>Western Cape</t>
        </is>
      </c>
      <c r="E212" s="27" t="inlineStr">
        <is>
          <t>Somerset West</t>
        </is>
      </c>
      <c r="F212" s="41" t="n">
        <v>45937</v>
      </c>
      <c r="G212" s="27" t="inlineStr">
        <is>
          <t>Regular</t>
        </is>
      </c>
      <c r="H212" s="27">
        <f>TRUE()</f>
        <v/>
      </c>
    </row>
    <row r="213" ht="15" customHeight="1" s="24">
      <c r="A213" s="27" t="n">
        <v>136703</v>
      </c>
      <c r="B213" s="27" t="inlineStr">
        <is>
          <t>Riaan van der Merwe</t>
        </is>
      </c>
      <c r="C213" s="27" t="inlineStr">
        <is>
          <t>+27474544541</t>
        </is>
      </c>
      <c r="D213" s="27" t="inlineStr">
        <is>
          <t>Gauteng</t>
        </is>
      </c>
      <c r="E213" s="27" t="inlineStr">
        <is>
          <t>Roodepoort</t>
        </is>
      </c>
      <c r="F213" s="41" t="n">
        <v>45584</v>
      </c>
      <c r="G213" s="27" t="inlineStr">
        <is>
          <t>Occasional</t>
        </is>
      </c>
      <c r="H213" s="27">
        <f>FALSE()</f>
        <v/>
      </c>
    </row>
    <row r="214" ht="15" customHeight="1" s="24">
      <c r="A214" s="27" t="n">
        <v>64080</v>
      </c>
      <c r="B214" s="27" t="inlineStr">
        <is>
          <t>Emma Khumalo</t>
        </is>
      </c>
      <c r="C214" s="27" t="inlineStr">
        <is>
          <t>+27479253621</t>
        </is>
      </c>
      <c r="D214" s="27" t="inlineStr">
        <is>
          <t>KwaZulu-Natal</t>
        </is>
      </c>
      <c r="E214" s="27" t="inlineStr">
        <is>
          <t>Newcastle</t>
        </is>
      </c>
      <c r="F214" s="41" t="n">
        <v>46047</v>
      </c>
      <c r="G214" s="27" t="inlineStr">
        <is>
          <t>Dormant</t>
        </is>
      </c>
      <c r="H214" s="27">
        <f>TRUE()</f>
        <v/>
      </c>
    </row>
    <row r="215" ht="15" customHeight="1" s="24">
      <c r="A215" s="27" t="n">
        <v>215428</v>
      </c>
      <c r="B215" s="27" t="inlineStr">
        <is>
          <t>Zanele Nkosi</t>
        </is>
      </c>
      <c r="C215" s="27" t="inlineStr">
        <is>
          <t>+27472664859</t>
        </is>
      </c>
      <c r="D215" s="27" t="inlineStr">
        <is>
          <t>Gauteng</t>
        </is>
      </c>
      <c r="E215" s="27" t="inlineStr">
        <is>
          <t>Benoni</t>
        </is>
      </c>
      <c r="F215" s="41" t="n">
        <v>44561</v>
      </c>
      <c r="G215" s="27" t="inlineStr">
        <is>
          <t>Dormant</t>
        </is>
      </c>
      <c r="H215" s="27">
        <f>TRUE()</f>
        <v/>
      </c>
    </row>
    <row r="216" ht="15" customHeight="1" s="24">
      <c r="A216" s="27" t="n">
        <v>250307</v>
      </c>
      <c r="B216" s="27" t="inlineStr">
        <is>
          <t>Thabo Jacobs</t>
        </is>
      </c>
      <c r="C216" s="27" t="inlineStr">
        <is>
          <t>+27473936865</t>
        </is>
      </c>
      <c r="D216" s="27" t="inlineStr">
        <is>
          <t>Gauteng</t>
        </is>
      </c>
      <c r="E216" s="27" t="inlineStr">
        <is>
          <t>Johannesburg</t>
        </is>
      </c>
      <c r="F216" s="41" t="n">
        <v>44339</v>
      </c>
      <c r="G216" s="27" t="inlineStr">
        <is>
          <t>Dormant</t>
        </is>
      </c>
      <c r="H216" s="27">
        <f>TRUE()</f>
        <v/>
      </c>
    </row>
    <row r="217" ht="15" customHeight="1" s="24">
      <c r="A217" s="27" t="n">
        <v>291457</v>
      </c>
      <c r="B217" s="27" t="inlineStr">
        <is>
          <t>Precious Nkosi</t>
        </is>
      </c>
      <c r="C217" s="27" t="inlineStr">
        <is>
          <t>+27477514111</t>
        </is>
      </c>
      <c r="D217" s="27" t="inlineStr">
        <is>
          <t>Eastern Cape</t>
        </is>
      </c>
      <c r="E217" s="27" t="inlineStr">
        <is>
          <t>Mthatha</t>
        </is>
      </c>
      <c r="F217" s="41" t="n">
        <v>45562</v>
      </c>
      <c r="G217" s="27" t="inlineStr">
        <is>
          <t>Regular</t>
        </is>
      </c>
      <c r="H217" s="27">
        <f>FALSE()</f>
        <v/>
      </c>
    </row>
    <row r="218" ht="15" customHeight="1" s="24">
      <c r="A218" s="27" t="n">
        <v>103004</v>
      </c>
      <c r="B218" s="27" t="inlineStr">
        <is>
          <t>Dineo Mabaso</t>
        </is>
      </c>
      <c r="C218" s="27" t="inlineStr">
        <is>
          <t>+27475409099</t>
        </is>
      </c>
      <c r="D218" s="27" t="inlineStr">
        <is>
          <t>Free State</t>
        </is>
      </c>
      <c r="E218" s="27" t="inlineStr">
        <is>
          <t>Bethlehem</t>
        </is>
      </c>
      <c r="F218" s="41" t="n">
        <v>46133</v>
      </c>
      <c r="G218" s="27" t="inlineStr">
        <is>
          <t>Regular</t>
        </is>
      </c>
      <c r="H218" s="27">
        <f>TRUE()</f>
        <v/>
      </c>
    </row>
    <row r="219" ht="15" customHeight="1" s="24">
      <c r="A219" s="27" t="n">
        <v>326496</v>
      </c>
      <c r="B219" s="27" t="inlineStr">
        <is>
          <t>Bongani Mabaso</t>
        </is>
      </c>
      <c r="C219" s="27" t="inlineStr">
        <is>
          <t>+27471086246</t>
        </is>
      </c>
      <c r="D219" s="27" t="inlineStr">
        <is>
          <t>Eastern Cape</t>
        </is>
      </c>
      <c r="E219" s="27" t="inlineStr">
        <is>
          <t>Mthatha</t>
        </is>
      </c>
      <c r="F219" s="41" t="n">
        <v>45263</v>
      </c>
      <c r="G219" s="27" t="inlineStr">
        <is>
          <t>Dormant</t>
        </is>
      </c>
      <c r="H219" s="27">
        <f>TRUE()</f>
        <v/>
      </c>
    </row>
    <row r="220" ht="15" customHeight="1" s="24">
      <c r="A220" s="27" t="n">
        <v>194531</v>
      </c>
      <c r="B220" s="27" t="inlineStr">
        <is>
          <t>Aisha Daniels</t>
        </is>
      </c>
      <c r="C220" s="27" t="inlineStr">
        <is>
          <t>+27472001463</t>
        </is>
      </c>
      <c r="D220" s="27" t="inlineStr">
        <is>
          <t>KwaZulu-Natal</t>
        </is>
      </c>
      <c r="E220" s="27" t="inlineStr">
        <is>
          <t>Pietermaritzburg</t>
        </is>
      </c>
      <c r="F220" s="41" t="n">
        <v>44606</v>
      </c>
      <c r="G220" s="27" t="inlineStr">
        <is>
          <t>Occasional</t>
        </is>
      </c>
      <c r="H220" s="27">
        <f>TRUE()</f>
        <v/>
      </c>
    </row>
    <row r="221" ht="15" customHeight="1" s="24">
      <c r="A221" s="27" t="n">
        <v>117208</v>
      </c>
      <c r="B221" s="27" t="inlineStr">
        <is>
          <t>Nomvula Venter</t>
        </is>
      </c>
      <c r="C221" s="27" t="inlineStr">
        <is>
          <t>+27477872055</t>
        </is>
      </c>
      <c r="D221" s="27" t="inlineStr">
        <is>
          <t>Limpopo</t>
        </is>
      </c>
      <c r="E221" s="27" t="inlineStr">
        <is>
          <t>Thohoyandou</t>
        </is>
      </c>
      <c r="F221" s="41" t="n">
        <v>45022</v>
      </c>
      <c r="G221" s="27" t="inlineStr">
        <is>
          <t>Occasional</t>
        </is>
      </c>
      <c r="H221" s="27">
        <f>TRUE()</f>
        <v/>
      </c>
    </row>
    <row r="222" ht="15" customHeight="1" s="24">
      <c r="A222" s="27" t="n">
        <v>349119</v>
      </c>
      <c r="B222" s="27" t="inlineStr">
        <is>
          <t>Liam Petersen</t>
        </is>
      </c>
      <c r="C222" s="27" t="inlineStr">
        <is>
          <t>+27479376241</t>
        </is>
      </c>
      <c r="D222" s="27" t="inlineStr">
        <is>
          <t>Limpopo</t>
        </is>
      </c>
      <c r="E222" s="27" t="inlineStr">
        <is>
          <t>Tzaneen</t>
        </is>
      </c>
      <c r="F222" s="41" t="n">
        <v>44392</v>
      </c>
      <c r="G222" s="27" t="inlineStr">
        <is>
          <t>Dormant</t>
        </is>
      </c>
      <c r="H222" s="27">
        <f>TRUE()</f>
        <v/>
      </c>
    </row>
    <row r="223" ht="15" customHeight="1" s="24">
      <c r="A223" s="27" t="n">
        <v>128261</v>
      </c>
      <c r="B223" s="27" t="inlineStr">
        <is>
          <t>Ayanda Steyn</t>
        </is>
      </c>
      <c r="C223" s="27" t="inlineStr">
        <is>
          <t>+27477666704</t>
        </is>
      </c>
      <c r="D223" s="27" t="inlineStr">
        <is>
          <t>Western Cape</t>
        </is>
      </c>
      <c r="E223" s="27" t="inlineStr">
        <is>
          <t>George</t>
        </is>
      </c>
      <c r="F223" s="41" t="n">
        <v>44401</v>
      </c>
      <c r="G223" s="27" t="inlineStr">
        <is>
          <t>Occasional</t>
        </is>
      </c>
      <c r="H223" s="27">
        <f>TRUE()</f>
        <v/>
      </c>
    </row>
    <row r="224" ht="15" customHeight="1" s="24">
      <c r="A224" s="27" t="n">
        <v>305982</v>
      </c>
      <c r="B224" s="27" t="inlineStr">
        <is>
          <t>Werner Sithole</t>
        </is>
      </c>
      <c r="C224" s="27" t="inlineStr">
        <is>
          <t>+27479526242</t>
        </is>
      </c>
      <c r="D224" s="27" t="inlineStr">
        <is>
          <t>KwaZulu-Natal</t>
        </is>
      </c>
      <c r="E224" s="27" t="inlineStr">
        <is>
          <t>Umhlanga</t>
        </is>
      </c>
      <c r="F224" s="41" t="n">
        <v>45789</v>
      </c>
      <c r="G224" s="27" t="inlineStr">
        <is>
          <t>Dormant</t>
        </is>
      </c>
      <c r="H224" s="27">
        <f>TRUE()</f>
        <v/>
      </c>
    </row>
    <row r="225" ht="15" customHeight="1" s="24">
      <c r="A225" s="27" t="n">
        <v>127435</v>
      </c>
      <c r="B225" s="27" t="inlineStr">
        <is>
          <t>Pieter Zulu</t>
        </is>
      </c>
      <c r="C225" s="27" t="inlineStr">
        <is>
          <t>+27472804927</t>
        </is>
      </c>
      <c r="D225" s="27" t="inlineStr">
        <is>
          <t>Gauteng</t>
        </is>
      </c>
      <c r="E225" s="27" t="inlineStr">
        <is>
          <t>Johannesburg</t>
        </is>
      </c>
      <c r="F225" s="41" t="n">
        <v>45231</v>
      </c>
      <c r="G225" s="27" t="inlineStr">
        <is>
          <t>Occasional</t>
        </is>
      </c>
      <c r="H225" s="27">
        <f>TRUE()</f>
        <v/>
      </c>
    </row>
    <row r="226" ht="15" customHeight="1" s="24">
      <c r="A226" s="27" t="n">
        <v>396589</v>
      </c>
      <c r="B226" s="27" t="inlineStr">
        <is>
          <t>Pieter Fourie</t>
        </is>
      </c>
      <c r="C226" s="27" t="inlineStr">
        <is>
          <t>+27476858452</t>
        </is>
      </c>
      <c r="D226" s="27" t="inlineStr">
        <is>
          <t>Mpumalanga</t>
        </is>
      </c>
      <c r="E226" s="27" t="inlineStr">
        <is>
          <t>Mbombela</t>
        </is>
      </c>
      <c r="F226" s="41" t="n">
        <v>44493</v>
      </c>
      <c r="G226" s="27" t="inlineStr">
        <is>
          <t>Occasional</t>
        </is>
      </c>
      <c r="H226" s="27">
        <f>TRUE()</f>
        <v/>
      </c>
    </row>
    <row r="227" ht="15" customHeight="1" s="24">
      <c r="A227" s="27" t="n">
        <v>121086</v>
      </c>
      <c r="B227" s="27" t="inlineStr">
        <is>
          <t>Mandla Naidoo</t>
        </is>
      </c>
      <c r="C227" s="27" t="inlineStr">
        <is>
          <t>+27473539102</t>
        </is>
      </c>
      <c r="D227" s="27" t="inlineStr">
        <is>
          <t>KwaZulu-Natal</t>
        </is>
      </c>
      <c r="E227" s="27" t="inlineStr">
        <is>
          <t>Pietermaritzburg</t>
        </is>
      </c>
      <c r="F227" s="41" t="n">
        <v>44675</v>
      </c>
      <c r="G227" s="27" t="inlineStr">
        <is>
          <t>Dormant</t>
        </is>
      </c>
      <c r="H227" s="27">
        <f>TRUE()</f>
        <v/>
      </c>
    </row>
    <row r="228" ht="15" customHeight="1" s="24">
      <c r="A228" s="27" t="n">
        <v>126490</v>
      </c>
      <c r="B228" s="27" t="inlineStr">
        <is>
          <t>Pieter Mthembu</t>
        </is>
      </c>
      <c r="C228" s="27" t="inlineStr">
        <is>
          <t>+27473138642</t>
        </is>
      </c>
      <c r="D228" s="27" t="inlineStr">
        <is>
          <t>Free State</t>
        </is>
      </c>
      <c r="E228" s="27" t="inlineStr">
        <is>
          <t>Bethlehem</t>
        </is>
      </c>
      <c r="F228" s="41" t="n">
        <v>45026</v>
      </c>
      <c r="G228" s="27" t="inlineStr">
        <is>
          <t>Dormant</t>
        </is>
      </c>
      <c r="H228" s="27">
        <f>TRUE()</f>
        <v/>
      </c>
    </row>
    <row r="229" ht="15" customHeight="1" s="24">
      <c r="A229" s="27" t="n">
        <v>256842</v>
      </c>
      <c r="B229" s="27" t="inlineStr">
        <is>
          <t>Daniel Sithole</t>
        </is>
      </c>
      <c r="C229" s="27" t="inlineStr">
        <is>
          <t>+27475247867</t>
        </is>
      </c>
      <c r="D229" s="27" t="inlineStr">
        <is>
          <t>Limpopo</t>
        </is>
      </c>
      <c r="E229" s="27" t="inlineStr">
        <is>
          <t>Mokopane</t>
        </is>
      </c>
      <c r="F229" s="41" t="n">
        <v>45145</v>
      </c>
      <c r="G229" s="27" t="inlineStr">
        <is>
          <t>Regular</t>
        </is>
      </c>
      <c r="H229" s="27">
        <f>TRUE()</f>
        <v/>
      </c>
    </row>
    <row r="230" ht="15" customHeight="1" s="24">
      <c r="A230" s="27" t="n">
        <v>34559</v>
      </c>
      <c r="B230" s="27" t="inlineStr">
        <is>
          <t>Chloe Ngcobo</t>
        </is>
      </c>
      <c r="C230" s="27" t="inlineStr">
        <is>
          <t>+27475416546</t>
        </is>
      </c>
      <c r="D230" s="27" t="inlineStr">
        <is>
          <t>Eastern Cape</t>
        </is>
      </c>
      <c r="E230" s="27" t="inlineStr">
        <is>
          <t>Gqeberha</t>
        </is>
      </c>
      <c r="F230" s="41" t="n">
        <v>44848</v>
      </c>
      <c r="G230" s="27" t="inlineStr">
        <is>
          <t>Frequent</t>
        </is>
      </c>
      <c r="H230" s="27">
        <f>FALSE()</f>
        <v/>
      </c>
    </row>
    <row r="231" ht="15" customHeight="1" s="24">
      <c r="A231" s="27" t="n">
        <v>44623</v>
      </c>
      <c r="B231" s="27" t="inlineStr">
        <is>
          <t>Megan van der Merwe</t>
        </is>
      </c>
      <c r="C231" s="27" t="inlineStr">
        <is>
          <t>+27471949429</t>
        </is>
      </c>
      <c r="D231" s="27" t="inlineStr">
        <is>
          <t>Western Cape</t>
        </is>
      </c>
      <c r="E231" s="27" t="inlineStr">
        <is>
          <t>Stellenbosch</t>
        </is>
      </c>
      <c r="F231" s="41" t="n">
        <v>44706</v>
      </c>
      <c r="G231" s="27" t="inlineStr">
        <is>
          <t>Occasional</t>
        </is>
      </c>
      <c r="H231" s="27">
        <f>TRUE()</f>
        <v/>
      </c>
    </row>
    <row r="232" ht="15" customHeight="1" s="24">
      <c r="A232" s="27" t="n">
        <v>25568</v>
      </c>
      <c r="B232" s="27" t="inlineStr">
        <is>
          <t>Pieter Pretorius</t>
        </is>
      </c>
      <c r="C232" s="27" t="inlineStr">
        <is>
          <t>+27471314906</t>
        </is>
      </c>
      <c r="D232" s="27" t="inlineStr">
        <is>
          <t>Western Cape</t>
        </is>
      </c>
      <c r="E232" s="27" t="inlineStr">
        <is>
          <t>Table View</t>
        </is>
      </c>
      <c r="F232" s="41" t="n">
        <v>45410</v>
      </c>
      <c r="G232" s="27" t="inlineStr">
        <is>
          <t>Occasional</t>
        </is>
      </c>
      <c r="H232" s="27">
        <f>TRUE()</f>
        <v/>
      </c>
    </row>
    <row r="233" ht="15" customHeight="1" s="24">
      <c r="A233" s="27" t="n">
        <v>78886</v>
      </c>
      <c r="B233" s="27" t="inlineStr">
        <is>
          <t>Dineo Petersen</t>
        </is>
      </c>
      <c r="C233" s="27" t="inlineStr">
        <is>
          <t>+27472410320</t>
        </is>
      </c>
      <c r="D233" s="27" t="inlineStr">
        <is>
          <t>Northern Cape</t>
        </is>
      </c>
      <c r="E233" s="27" t="inlineStr">
        <is>
          <t>Springbok</t>
        </is>
      </c>
      <c r="F233" s="41" t="n">
        <v>46185</v>
      </c>
      <c r="G233" s="27" t="inlineStr">
        <is>
          <t>Dormant</t>
        </is>
      </c>
      <c r="H233" s="27">
        <f>TRUE()</f>
        <v/>
      </c>
    </row>
    <row r="234" ht="15" customHeight="1" s="24">
      <c r="A234" s="27" t="n">
        <v>112233</v>
      </c>
      <c r="B234" s="27" t="inlineStr">
        <is>
          <t>Refilwe Botha</t>
        </is>
      </c>
      <c r="C234" s="27" t="inlineStr">
        <is>
          <t>+27472668095</t>
        </is>
      </c>
      <c r="D234" s="27" t="inlineStr">
        <is>
          <t>Western Cape</t>
        </is>
      </c>
      <c r="E234" s="27" t="inlineStr">
        <is>
          <t>Somerset West</t>
        </is>
      </c>
      <c r="F234" s="41" t="n">
        <v>44279</v>
      </c>
      <c r="G234" s="27" t="inlineStr">
        <is>
          <t>Regular</t>
        </is>
      </c>
      <c r="H234" s="27">
        <f>TRUE()</f>
        <v/>
      </c>
    </row>
    <row r="235" ht="15" customHeight="1" s="24">
      <c r="A235" s="27" t="n">
        <v>225371</v>
      </c>
      <c r="B235" s="27" t="inlineStr">
        <is>
          <t>Kagiso Venter</t>
        </is>
      </c>
      <c r="C235" s="27" t="inlineStr">
        <is>
          <t>+27478520793</t>
        </is>
      </c>
      <c r="D235" s="27" t="inlineStr">
        <is>
          <t>Mpumalanga</t>
        </is>
      </c>
      <c r="E235" s="27" t="inlineStr">
        <is>
          <t>Mbombela</t>
        </is>
      </c>
      <c r="F235" s="41" t="n">
        <v>45321</v>
      </c>
      <c r="G235" s="27" t="inlineStr">
        <is>
          <t>Frequent</t>
        </is>
      </c>
      <c r="H235" s="27">
        <f>TRUE()</f>
        <v/>
      </c>
    </row>
    <row r="236" ht="15" customHeight="1" s="24">
      <c r="A236" s="27" t="n">
        <v>360066</v>
      </c>
      <c r="B236" s="27" t="inlineStr">
        <is>
          <t>Bongani Maluleke</t>
        </is>
      </c>
      <c r="C236" s="27" t="inlineStr">
        <is>
          <t>+27477454428</t>
        </is>
      </c>
      <c r="D236" s="27" t="inlineStr">
        <is>
          <t>Limpopo</t>
        </is>
      </c>
      <c r="E236" s="27" t="inlineStr">
        <is>
          <t>Tzaneen</t>
        </is>
      </c>
      <c r="F236" s="41" t="n">
        <v>46074</v>
      </c>
      <c r="G236" s="27" t="inlineStr">
        <is>
          <t>Occasional</t>
        </is>
      </c>
      <c r="H236" s="27">
        <f>FALSE()</f>
        <v/>
      </c>
    </row>
    <row r="237" ht="15" customHeight="1" s="24">
      <c r="A237" s="27" t="n">
        <v>137382</v>
      </c>
      <c r="B237" s="27" t="inlineStr">
        <is>
          <t>Riaan Sithole</t>
        </is>
      </c>
      <c r="C237" s="27" t="inlineStr">
        <is>
          <t>+27478236621</t>
        </is>
      </c>
      <c r="D237" s="27" t="inlineStr">
        <is>
          <t>Gauteng</t>
        </is>
      </c>
      <c r="E237" s="27" t="inlineStr">
        <is>
          <t>Johannesburg</t>
        </is>
      </c>
      <c r="F237" s="41" t="n">
        <v>45494</v>
      </c>
      <c r="G237" s="27" t="inlineStr">
        <is>
          <t>Frequent</t>
        </is>
      </c>
      <c r="H237" s="27">
        <f>TRUE()</f>
        <v/>
      </c>
    </row>
    <row r="238" ht="15" customHeight="1" s="24">
      <c r="A238" s="27" t="n">
        <v>361672</v>
      </c>
      <c r="B238" s="27" t="inlineStr">
        <is>
          <t>Emma Tshabalala</t>
        </is>
      </c>
      <c r="C238" s="27" t="inlineStr">
        <is>
          <t>+27474437479</t>
        </is>
      </c>
      <c r="D238" s="27" t="inlineStr">
        <is>
          <t>Gauteng</t>
        </is>
      </c>
      <c r="E238" s="27" t="inlineStr">
        <is>
          <t>Roodepoort</t>
        </is>
      </c>
      <c r="F238" s="41" t="n">
        <v>44363</v>
      </c>
      <c r="G238" s="27" t="inlineStr">
        <is>
          <t>Occasional</t>
        </is>
      </c>
      <c r="H238" s="27">
        <f>TRUE()</f>
        <v/>
      </c>
    </row>
    <row r="239" ht="15" customHeight="1" s="24">
      <c r="A239" s="27" t="n">
        <v>225260</v>
      </c>
      <c r="B239" s="27" t="inlineStr">
        <is>
          <t>Lwazi Steyn</t>
        </is>
      </c>
      <c r="C239" s="27" t="inlineStr">
        <is>
          <t>+27477002472</t>
        </is>
      </c>
      <c r="D239" s="27" t="inlineStr">
        <is>
          <t>Eastern Cape</t>
        </is>
      </c>
      <c r="E239" s="27" t="inlineStr">
        <is>
          <t>East London</t>
        </is>
      </c>
      <c r="F239" s="41" t="n">
        <v>46029</v>
      </c>
      <c r="G239" s="27" t="inlineStr">
        <is>
          <t>Frequent</t>
        </is>
      </c>
      <c r="H239" s="27">
        <f>FALSE()</f>
        <v/>
      </c>
    </row>
    <row r="240" ht="15" customHeight="1" s="24">
      <c r="A240" s="27" t="n">
        <v>152122</v>
      </c>
      <c r="B240" s="27" t="inlineStr">
        <is>
          <t>Daniel Venter</t>
        </is>
      </c>
      <c r="C240" s="27" t="inlineStr">
        <is>
          <t>+27478883058</t>
        </is>
      </c>
      <c r="D240" s="27" t="inlineStr">
        <is>
          <t>KwaZulu-Natal</t>
        </is>
      </c>
      <c r="E240" s="27" t="inlineStr">
        <is>
          <t>Richards Bay</t>
        </is>
      </c>
      <c r="F240" s="41" t="n">
        <v>45008</v>
      </c>
      <c r="G240" s="27" t="inlineStr">
        <is>
          <t>Occasional</t>
        </is>
      </c>
      <c r="H240" s="27">
        <f>TRUE()</f>
        <v/>
      </c>
    </row>
    <row r="241" ht="15" customHeight="1" s="24">
      <c r="A241" s="27" t="n">
        <v>138278</v>
      </c>
      <c r="B241" s="27" t="inlineStr">
        <is>
          <t>Lerato Venter</t>
        </is>
      </c>
      <c r="C241" s="27" t="inlineStr">
        <is>
          <t>+27472874974</t>
        </is>
      </c>
      <c r="D241" s="27" t="inlineStr">
        <is>
          <t>Limpopo</t>
        </is>
      </c>
      <c r="E241" s="27" t="inlineStr">
        <is>
          <t>Tzaneen</t>
        </is>
      </c>
      <c r="F241" s="41" t="n">
        <v>45492</v>
      </c>
      <c r="G241" s="27" t="inlineStr">
        <is>
          <t>Frequent</t>
        </is>
      </c>
      <c r="H241" s="27">
        <f>TRUE()</f>
        <v/>
      </c>
    </row>
    <row r="242" ht="15" customHeight="1" s="24">
      <c r="A242" s="27" t="n">
        <v>116275</v>
      </c>
      <c r="B242" s="27" t="inlineStr">
        <is>
          <t>Khanyi Botha</t>
        </is>
      </c>
      <c r="C242" s="27" t="inlineStr">
        <is>
          <t>+27474377426</t>
        </is>
      </c>
      <c r="D242" s="27" t="inlineStr">
        <is>
          <t>Western Cape</t>
        </is>
      </c>
      <c r="E242" s="27" t="inlineStr">
        <is>
          <t>Paarl</t>
        </is>
      </c>
      <c r="F242" s="41" t="n">
        <v>45797</v>
      </c>
      <c r="G242" s="27" t="inlineStr">
        <is>
          <t>Regular</t>
        </is>
      </c>
      <c r="H242" s="27">
        <f>TRUE()</f>
        <v/>
      </c>
    </row>
    <row r="243" ht="15" customHeight="1" s="24">
      <c r="A243" s="27" t="n">
        <v>195344</v>
      </c>
      <c r="B243" s="27" t="inlineStr">
        <is>
          <t>Daniel Steyn</t>
        </is>
      </c>
      <c r="C243" s="27" t="inlineStr">
        <is>
          <t>+27474043409</t>
        </is>
      </c>
      <c r="D243" s="27" t="inlineStr">
        <is>
          <t>KwaZulu-Natal</t>
        </is>
      </c>
      <c r="E243" s="27" t="inlineStr">
        <is>
          <t>Durban</t>
        </is>
      </c>
      <c r="F243" s="41" t="n">
        <v>45821</v>
      </c>
      <c r="G243" s="27" t="inlineStr">
        <is>
          <t>Dormant</t>
        </is>
      </c>
      <c r="H243" s="27">
        <f>TRUE()</f>
        <v/>
      </c>
    </row>
    <row r="244" ht="15" customHeight="1" s="24">
      <c r="A244" s="27" t="n">
        <v>269775</v>
      </c>
      <c r="B244" s="27" t="inlineStr">
        <is>
          <t>Ayanda Mabaso</t>
        </is>
      </c>
      <c r="C244" s="27" t="inlineStr">
        <is>
          <t>+27478153499</t>
        </is>
      </c>
      <c r="D244" s="27" t="inlineStr">
        <is>
          <t>Gauteng</t>
        </is>
      </c>
      <c r="E244" s="27" t="inlineStr">
        <is>
          <t>Roodepoort</t>
        </is>
      </c>
      <c r="F244" s="41" t="n">
        <v>44323</v>
      </c>
      <c r="G244" s="27" t="inlineStr">
        <is>
          <t>Occasional</t>
        </is>
      </c>
      <c r="H244" s="27">
        <f>TRUE()</f>
        <v/>
      </c>
    </row>
    <row r="245" ht="15" customHeight="1" s="24">
      <c r="A245" s="27" t="n">
        <v>320797</v>
      </c>
      <c r="B245" s="27" t="inlineStr">
        <is>
          <t>Werner Nkosi</t>
        </is>
      </c>
      <c r="C245" s="27" t="inlineStr">
        <is>
          <t>+27479707783</t>
        </is>
      </c>
      <c r="D245" s="27" t="inlineStr">
        <is>
          <t>Western Cape</t>
        </is>
      </c>
      <c r="E245" s="27" t="inlineStr">
        <is>
          <t>George</t>
        </is>
      </c>
      <c r="F245" s="41" t="n">
        <v>46088</v>
      </c>
      <c r="G245" s="27" t="inlineStr">
        <is>
          <t>Regular</t>
        </is>
      </c>
      <c r="H245" s="27">
        <f>TRUE()</f>
        <v/>
      </c>
    </row>
    <row r="246" ht="15" customHeight="1" s="24">
      <c r="A246" s="27" t="n">
        <v>393149</v>
      </c>
      <c r="B246" s="27" t="inlineStr">
        <is>
          <t>Lwazi Botha</t>
        </is>
      </c>
      <c r="C246" s="27" t="inlineStr">
        <is>
          <t>+27479048739</t>
        </is>
      </c>
      <c r="D246" s="27" t="inlineStr">
        <is>
          <t>Mpumalanga</t>
        </is>
      </c>
      <c r="E246" s="27" t="inlineStr">
        <is>
          <t>Mbombela</t>
        </is>
      </c>
      <c r="F246" s="41" t="n">
        <v>44508</v>
      </c>
      <c r="G246" s="27" t="inlineStr">
        <is>
          <t>Frequent</t>
        </is>
      </c>
      <c r="H246" s="27">
        <f>TRUE()</f>
        <v/>
      </c>
    </row>
    <row r="247" ht="15" customHeight="1" s="24">
      <c r="A247" s="27" t="n">
        <v>309340</v>
      </c>
      <c r="B247" s="27" t="inlineStr">
        <is>
          <t>Aisha Venter</t>
        </is>
      </c>
      <c r="C247" s="27" t="inlineStr">
        <is>
          <t>+27471902595</t>
        </is>
      </c>
      <c r="D247" s="27" t="inlineStr">
        <is>
          <t>Eastern Cape</t>
        </is>
      </c>
      <c r="E247" s="27" t="inlineStr">
        <is>
          <t>Mthatha</t>
        </is>
      </c>
      <c r="F247" s="41" t="n">
        <v>45326</v>
      </c>
      <c r="G247" s="27" t="inlineStr">
        <is>
          <t>Regular</t>
        </is>
      </c>
      <c r="H247" s="27">
        <f>TRUE()</f>
        <v/>
      </c>
    </row>
    <row r="248" ht="15" customHeight="1" s="24">
      <c r="A248" s="27" t="n">
        <v>101563</v>
      </c>
      <c r="B248" s="27" t="inlineStr">
        <is>
          <t>Johan Hendricks</t>
        </is>
      </c>
      <c r="C248" s="27" t="inlineStr">
        <is>
          <t>+27474575267</t>
        </is>
      </c>
      <c r="D248" s="27" t="inlineStr">
        <is>
          <t>Western Cape</t>
        </is>
      </c>
      <c r="E248" s="27" t="inlineStr">
        <is>
          <t>Cape Town</t>
        </is>
      </c>
      <c r="F248" s="41" t="n">
        <v>46186</v>
      </c>
      <c r="G248" s="27" t="inlineStr">
        <is>
          <t>Occasional</t>
        </is>
      </c>
      <c r="H248" s="27">
        <f>TRUE()</f>
        <v/>
      </c>
    </row>
    <row r="249" ht="15" customHeight="1" s="24">
      <c r="A249" s="27" t="n">
        <v>170636</v>
      </c>
      <c r="B249" s="27" t="inlineStr">
        <is>
          <t>Pieter Jacobs</t>
        </is>
      </c>
      <c r="C249" s="27" t="inlineStr">
        <is>
          <t>+27473775584</t>
        </is>
      </c>
      <c r="D249" s="27" t="inlineStr">
        <is>
          <t>KwaZulu-Natal</t>
        </is>
      </c>
      <c r="E249" s="27" t="inlineStr">
        <is>
          <t>Umhlanga</t>
        </is>
      </c>
      <c r="F249" s="41" t="n">
        <v>45813</v>
      </c>
      <c r="G249" s="27" t="inlineStr">
        <is>
          <t>Occasional</t>
        </is>
      </c>
      <c r="H249" s="27">
        <f>TRUE()</f>
        <v/>
      </c>
    </row>
    <row r="250" ht="15" customHeight="1" s="24">
      <c r="A250" s="27" t="n">
        <v>173029</v>
      </c>
      <c r="B250" s="27" t="inlineStr">
        <is>
          <t>Lwazi Jacobs</t>
        </is>
      </c>
      <c r="C250" s="27" t="inlineStr">
        <is>
          <t>+27479973670</t>
        </is>
      </c>
      <c r="D250" s="27" t="inlineStr">
        <is>
          <t>KwaZulu-Natal</t>
        </is>
      </c>
      <c r="E250" s="27" t="inlineStr">
        <is>
          <t>Pinetown</t>
        </is>
      </c>
      <c r="F250" s="41" t="n">
        <v>44302</v>
      </c>
      <c r="G250" s="27" t="inlineStr">
        <is>
          <t>Occasional</t>
        </is>
      </c>
      <c r="H250" s="27">
        <f>TRUE()</f>
        <v/>
      </c>
    </row>
    <row r="251" ht="15" customHeight="1" s="24">
      <c r="A251" s="27" t="n">
        <v>319751</v>
      </c>
      <c r="B251" s="27" t="inlineStr">
        <is>
          <t>Khanyi Botha</t>
        </is>
      </c>
      <c r="C251" s="27" t="inlineStr">
        <is>
          <t>+27476333055</t>
        </is>
      </c>
      <c r="D251" s="27" t="inlineStr">
        <is>
          <t>KwaZulu-Natal</t>
        </is>
      </c>
      <c r="E251" s="27" t="inlineStr">
        <is>
          <t>Pinetown</t>
        </is>
      </c>
      <c r="F251" s="41" t="n">
        <v>44291</v>
      </c>
      <c r="G251" s="27" t="inlineStr">
        <is>
          <t>Dormant</t>
        </is>
      </c>
      <c r="H251" s="27">
        <f>TRUE()</f>
        <v/>
      </c>
    </row>
    <row r="252" ht="15" customHeight="1" s="24">
      <c r="A252" s="27" t="n">
        <v>167403</v>
      </c>
      <c r="B252" s="27" t="inlineStr">
        <is>
          <t>Pieter Mabaso</t>
        </is>
      </c>
      <c r="C252" s="27" t="inlineStr">
        <is>
          <t>+27479945200</t>
        </is>
      </c>
      <c r="D252" s="27" t="inlineStr">
        <is>
          <t>Mpumalanga</t>
        </is>
      </c>
      <c r="E252" s="27" t="inlineStr">
        <is>
          <t>Secunda</t>
        </is>
      </c>
      <c r="F252" s="41" t="n">
        <v>45282</v>
      </c>
      <c r="G252" s="27" t="inlineStr">
        <is>
          <t>Occasional</t>
        </is>
      </c>
      <c r="H252" s="27">
        <f>TRUE()</f>
        <v/>
      </c>
    </row>
    <row r="253" ht="15" customHeight="1" s="24">
      <c r="A253" s="27" t="n">
        <v>397722</v>
      </c>
      <c r="B253" s="27" t="inlineStr">
        <is>
          <t>Sipho Botha</t>
        </is>
      </c>
      <c r="C253" s="27" t="inlineStr">
        <is>
          <t>+27478697091</t>
        </is>
      </c>
      <c r="D253" s="27" t="inlineStr">
        <is>
          <t>Limpopo</t>
        </is>
      </c>
      <c r="E253" s="27" t="inlineStr">
        <is>
          <t>Mokopane</t>
        </is>
      </c>
      <c r="F253" s="41" t="n">
        <v>44722</v>
      </c>
      <c r="G253" s="27" t="inlineStr">
        <is>
          <t>Dormant</t>
        </is>
      </c>
      <c r="H253" s="27">
        <f>FALSE()</f>
        <v/>
      </c>
    </row>
    <row r="254" ht="15" customHeight="1" s="24">
      <c r="A254" s="27" t="n">
        <v>113989</v>
      </c>
      <c r="B254" s="27" t="inlineStr">
        <is>
          <t>Nomvula Tshabalala</t>
        </is>
      </c>
      <c r="C254" s="27" t="inlineStr">
        <is>
          <t>+27479838375</t>
        </is>
      </c>
      <c r="D254" s="27" t="inlineStr">
        <is>
          <t>Eastern Cape</t>
        </is>
      </c>
      <c r="E254" s="27" t="inlineStr">
        <is>
          <t>Mthatha</t>
        </is>
      </c>
      <c r="F254" s="41" t="n">
        <v>44384</v>
      </c>
      <c r="G254" s="27" t="inlineStr">
        <is>
          <t>Occasional</t>
        </is>
      </c>
      <c r="H254" s="27">
        <f>TRUE()</f>
        <v/>
      </c>
    </row>
    <row r="255" ht="15" customHeight="1" s="24">
      <c r="A255" s="27" t="n">
        <v>229070</v>
      </c>
      <c r="B255" s="27" t="inlineStr">
        <is>
          <t>Daniel Mahlangu</t>
        </is>
      </c>
      <c r="C255" s="27" t="inlineStr">
        <is>
          <t>+27477154572</t>
        </is>
      </c>
      <c r="D255" s="27" t="inlineStr">
        <is>
          <t>Mpumalanga</t>
        </is>
      </c>
      <c r="E255" s="27" t="inlineStr">
        <is>
          <t>Secunda</t>
        </is>
      </c>
      <c r="F255" s="41" t="n">
        <v>45841</v>
      </c>
      <c r="G255" s="27" t="inlineStr">
        <is>
          <t>Regular</t>
        </is>
      </c>
      <c r="H255" s="27">
        <f>TRUE()</f>
        <v/>
      </c>
    </row>
    <row r="256" ht="15" customHeight="1" s="24">
      <c r="A256" s="27" t="n">
        <v>37151</v>
      </c>
      <c r="B256" s="27" t="inlineStr">
        <is>
          <t>Ayanda Jacobs</t>
        </is>
      </c>
      <c r="C256" s="27" t="inlineStr">
        <is>
          <t>+27477463344</t>
        </is>
      </c>
      <c r="D256" s="27" t="inlineStr">
        <is>
          <t>KwaZulu-Natal</t>
        </is>
      </c>
      <c r="E256" s="27" t="inlineStr">
        <is>
          <t>Pinetown</t>
        </is>
      </c>
      <c r="F256" s="41" t="n">
        <v>44926</v>
      </c>
      <c r="G256" s="27" t="inlineStr">
        <is>
          <t>Regular</t>
        </is>
      </c>
      <c r="H256" s="27">
        <f>TRUE()</f>
        <v/>
      </c>
    </row>
    <row r="257" ht="15" customHeight="1" s="24">
      <c r="A257" s="27" t="n">
        <v>270589</v>
      </c>
      <c r="B257" s="27" t="inlineStr">
        <is>
          <t>Chloe Pretorius</t>
        </is>
      </c>
      <c r="C257" s="27" t="inlineStr">
        <is>
          <t>+27472118070</t>
        </is>
      </c>
      <c r="D257" s="27" t="inlineStr">
        <is>
          <t>Limpopo</t>
        </is>
      </c>
      <c r="E257" s="27" t="inlineStr">
        <is>
          <t>Tzaneen</t>
        </is>
      </c>
      <c r="F257" s="41" t="n">
        <v>44461</v>
      </c>
      <c r="G257" s="27" t="inlineStr">
        <is>
          <t>Regular</t>
        </is>
      </c>
      <c r="H257" s="27">
        <f>TRUE()</f>
        <v/>
      </c>
    </row>
    <row r="258" ht="15" customHeight="1" s="24">
      <c r="A258" s="27" t="n">
        <v>229594</v>
      </c>
      <c r="B258" s="27" t="inlineStr">
        <is>
          <t>Sipho Sithole</t>
        </is>
      </c>
      <c r="C258" s="27" t="inlineStr">
        <is>
          <t>+27476848600</t>
        </is>
      </c>
      <c r="D258" s="27" t="inlineStr">
        <is>
          <t>KwaZulu-Natal</t>
        </is>
      </c>
      <c r="E258" s="27" t="inlineStr">
        <is>
          <t>Durban</t>
        </is>
      </c>
      <c r="F258" s="41" t="n">
        <v>45506</v>
      </c>
      <c r="G258" s="27" t="inlineStr">
        <is>
          <t>Occasional</t>
        </is>
      </c>
      <c r="H258" s="27">
        <f>TRUE()</f>
        <v/>
      </c>
    </row>
    <row r="259" ht="15" customHeight="1" s="24">
      <c r="A259" s="27" t="n">
        <v>130185</v>
      </c>
      <c r="B259" s="27" t="inlineStr">
        <is>
          <t>Kagiso Botha</t>
        </is>
      </c>
      <c r="C259" s="27" t="inlineStr">
        <is>
          <t>+27471271467</t>
        </is>
      </c>
      <c r="D259" s="27" t="inlineStr">
        <is>
          <t>North West</t>
        </is>
      </c>
      <c r="E259" s="27" t="inlineStr">
        <is>
          <t>Rustenburg</t>
        </is>
      </c>
      <c r="F259" s="41" t="n">
        <v>45749</v>
      </c>
      <c r="G259" s="27" t="inlineStr">
        <is>
          <t>Regular</t>
        </is>
      </c>
      <c r="H259" s="27">
        <f>TRUE()</f>
        <v/>
      </c>
    </row>
    <row r="260" ht="15" customHeight="1" s="24">
      <c r="A260" s="27" t="n">
        <v>165605</v>
      </c>
      <c r="B260" s="27" t="inlineStr">
        <is>
          <t>Mandla Mabaso</t>
        </is>
      </c>
      <c r="C260" s="27" t="inlineStr">
        <is>
          <t>+27479401774</t>
        </is>
      </c>
      <c r="D260" s="27" t="inlineStr">
        <is>
          <t>Western Cape</t>
        </is>
      </c>
      <c r="E260" s="27" t="inlineStr">
        <is>
          <t>Cape Town</t>
        </is>
      </c>
      <c r="F260" s="41" t="n">
        <v>44307</v>
      </c>
      <c r="G260" s="27" t="inlineStr">
        <is>
          <t>Dormant</t>
        </is>
      </c>
      <c r="H260" s="27">
        <f>TRUE()</f>
        <v/>
      </c>
    </row>
    <row r="261" ht="15" customHeight="1" s="24">
      <c r="A261" s="27" t="n">
        <v>183159</v>
      </c>
      <c r="B261" s="27" t="inlineStr">
        <is>
          <t>Lerato Dlamini</t>
        </is>
      </c>
      <c r="C261" s="27" t="inlineStr">
        <is>
          <t>+27478200830</t>
        </is>
      </c>
      <c r="D261" s="27" t="inlineStr">
        <is>
          <t>Western Cape</t>
        </is>
      </c>
      <c r="E261" s="27" t="inlineStr">
        <is>
          <t>Table View</t>
        </is>
      </c>
      <c r="F261" s="41" t="n">
        <v>46197</v>
      </c>
      <c r="G261" s="27" t="inlineStr">
        <is>
          <t>Occasional</t>
        </is>
      </c>
      <c r="H261" s="27">
        <f>TRUE()</f>
        <v/>
      </c>
    </row>
    <row r="262" ht="15" customHeight="1" s="24">
      <c r="A262" s="27" t="n">
        <v>133866</v>
      </c>
      <c r="B262" s="27" t="inlineStr">
        <is>
          <t>Naledi Petersen</t>
        </is>
      </c>
      <c r="C262" s="27" t="inlineStr">
        <is>
          <t>+27471887164</t>
        </is>
      </c>
      <c r="D262" s="27" t="inlineStr">
        <is>
          <t>Gauteng</t>
        </is>
      </c>
      <c r="E262" s="27" t="inlineStr">
        <is>
          <t>Pretoria</t>
        </is>
      </c>
      <c r="F262" s="41" t="n">
        <v>44941</v>
      </c>
      <c r="G262" s="27" t="inlineStr">
        <is>
          <t>Regular</t>
        </is>
      </c>
      <c r="H262" s="27">
        <f>TRUE()</f>
        <v/>
      </c>
    </row>
    <row r="263" ht="15" customHeight="1" s="24">
      <c r="A263" s="27" t="n">
        <v>290996</v>
      </c>
      <c r="B263" s="27" t="inlineStr">
        <is>
          <t>Sipho Mokoena</t>
        </is>
      </c>
      <c r="C263" s="27" t="inlineStr">
        <is>
          <t>+27475622493</t>
        </is>
      </c>
      <c r="D263" s="27" t="inlineStr">
        <is>
          <t>KwaZulu-Natal</t>
        </is>
      </c>
      <c r="E263" s="27" t="inlineStr">
        <is>
          <t>Durban</t>
        </is>
      </c>
      <c r="F263" s="41" t="n">
        <v>45214</v>
      </c>
      <c r="G263" s="27" t="inlineStr">
        <is>
          <t>Regular</t>
        </is>
      </c>
      <c r="H263" s="27">
        <f>TRUE()</f>
        <v/>
      </c>
    </row>
    <row r="264" ht="15" customHeight="1" s="24">
      <c r="A264" s="27" t="n">
        <v>231394</v>
      </c>
      <c r="B264" s="27" t="inlineStr">
        <is>
          <t>Precious Hendricks</t>
        </is>
      </c>
      <c r="C264" s="27" t="inlineStr">
        <is>
          <t>+27477860070</t>
        </is>
      </c>
      <c r="D264" s="27" t="inlineStr">
        <is>
          <t>Eastern Cape</t>
        </is>
      </c>
      <c r="E264" s="27" t="inlineStr">
        <is>
          <t>Uitenhage</t>
        </is>
      </c>
      <c r="F264" s="41" t="n">
        <v>45198</v>
      </c>
      <c r="G264" s="27" t="inlineStr">
        <is>
          <t>Regular</t>
        </is>
      </c>
      <c r="H264" s="27">
        <f>TRUE()</f>
        <v/>
      </c>
    </row>
    <row r="265" ht="15" customHeight="1" s="24">
      <c r="A265" s="27" t="n">
        <v>100797</v>
      </c>
      <c r="B265" s="27" t="inlineStr">
        <is>
          <t>Johan Khumalo</t>
        </is>
      </c>
      <c r="C265" s="27" t="inlineStr">
        <is>
          <t>+27478510379</t>
        </is>
      </c>
      <c r="D265" s="27" t="inlineStr">
        <is>
          <t>Gauteng</t>
        </is>
      </c>
      <c r="E265" s="27" t="inlineStr">
        <is>
          <t>Soweto</t>
        </is>
      </c>
      <c r="F265" s="41" t="n">
        <v>45367</v>
      </c>
      <c r="G265" s="27" t="inlineStr">
        <is>
          <t>Regular</t>
        </is>
      </c>
      <c r="H265" s="27">
        <f>TRUE()</f>
        <v/>
      </c>
    </row>
    <row r="266" ht="15" customHeight="1" s="24">
      <c r="A266" s="27" t="n">
        <v>383504</v>
      </c>
      <c r="B266" s="27" t="inlineStr">
        <is>
          <t>Jaco Smith</t>
        </is>
      </c>
      <c r="C266" s="27" t="inlineStr">
        <is>
          <t>+27473687720</t>
        </is>
      </c>
      <c r="D266" s="27" t="inlineStr">
        <is>
          <t>Eastern Cape</t>
        </is>
      </c>
      <c r="E266" s="27" t="inlineStr">
        <is>
          <t>Uitenhage</t>
        </is>
      </c>
      <c r="F266" s="41" t="n">
        <v>45411</v>
      </c>
      <c r="G266" s="27" t="inlineStr">
        <is>
          <t>Occasional</t>
        </is>
      </c>
      <c r="H266" s="27">
        <f>TRUE()</f>
        <v/>
      </c>
    </row>
    <row r="267" ht="15" customHeight="1" s="24">
      <c r="A267" s="27" t="n">
        <v>36138</v>
      </c>
      <c r="B267" s="27" t="inlineStr">
        <is>
          <t>Lwazi Tshabalala</t>
        </is>
      </c>
      <c r="C267" s="27" t="inlineStr">
        <is>
          <t>+27472595704</t>
        </is>
      </c>
      <c r="D267" s="27" t="inlineStr">
        <is>
          <t>Gauteng</t>
        </is>
      </c>
      <c r="E267" s="27" t="inlineStr">
        <is>
          <t>Roodepoort</t>
        </is>
      </c>
      <c r="F267" s="41" t="n">
        <v>44678</v>
      </c>
      <c r="G267" s="27" t="inlineStr">
        <is>
          <t>Regular</t>
        </is>
      </c>
      <c r="H267" s="27">
        <f>TRUE()</f>
        <v/>
      </c>
    </row>
    <row r="268" ht="15" customHeight="1" s="24">
      <c r="A268" s="27" t="n">
        <v>70868</v>
      </c>
      <c r="B268" s="27" t="inlineStr">
        <is>
          <t>Liam Mahlangu</t>
        </is>
      </c>
      <c r="C268" s="27" t="inlineStr">
        <is>
          <t>+27472543448</t>
        </is>
      </c>
      <c r="D268" s="27" t="inlineStr">
        <is>
          <t>Gauteng</t>
        </is>
      </c>
      <c r="E268" s="27" t="inlineStr">
        <is>
          <t>Midrand</t>
        </is>
      </c>
      <c r="F268" s="41" t="n">
        <v>45259</v>
      </c>
      <c r="G268" s="27" t="inlineStr">
        <is>
          <t>Regular</t>
        </is>
      </c>
      <c r="H268" s="27">
        <f>TRUE()</f>
        <v/>
      </c>
    </row>
    <row r="269" ht="15" customHeight="1" s="24">
      <c r="A269" s="27" t="n">
        <v>341399</v>
      </c>
      <c r="B269" s="27" t="inlineStr">
        <is>
          <t>Tshepo Jacobs</t>
        </is>
      </c>
      <c r="C269" s="27" t="inlineStr">
        <is>
          <t>+27476841220</t>
        </is>
      </c>
      <c r="D269" s="27" t="inlineStr">
        <is>
          <t>Gauteng</t>
        </is>
      </c>
      <c r="E269" s="27" t="inlineStr">
        <is>
          <t>Pretoria</t>
        </is>
      </c>
      <c r="F269" s="41" t="n">
        <v>45127</v>
      </c>
      <c r="G269" s="27" t="inlineStr">
        <is>
          <t>Regular</t>
        </is>
      </c>
      <c r="H269" s="27">
        <f>FALSE()</f>
        <v/>
      </c>
    </row>
    <row r="270" ht="15" customHeight="1" s="24">
      <c r="A270" s="27" t="n">
        <v>311162</v>
      </c>
      <c r="B270" s="27" t="inlineStr">
        <is>
          <t>Naledi Mabaso</t>
        </is>
      </c>
      <c r="C270" s="27" t="inlineStr">
        <is>
          <t>+27473336925</t>
        </is>
      </c>
      <c r="D270" s="27" t="inlineStr">
        <is>
          <t>Limpopo</t>
        </is>
      </c>
      <c r="E270" s="27" t="inlineStr">
        <is>
          <t>Polokwane</t>
        </is>
      </c>
      <c r="F270" s="41" t="n">
        <v>46150</v>
      </c>
      <c r="G270" s="27" t="inlineStr">
        <is>
          <t>Occasional</t>
        </is>
      </c>
      <c r="H270" s="27">
        <f>TRUE()</f>
        <v/>
      </c>
    </row>
    <row r="271" ht="15" customHeight="1" s="24">
      <c r="A271" s="27" t="n">
        <v>151953</v>
      </c>
      <c r="B271" s="27" t="inlineStr">
        <is>
          <t>Johan van der Merwe</t>
        </is>
      </c>
      <c r="C271" s="27" t="inlineStr">
        <is>
          <t>+27476808976</t>
        </is>
      </c>
      <c r="D271" s="27" t="inlineStr">
        <is>
          <t>Mpumalanga</t>
        </is>
      </c>
      <c r="E271" s="27" t="inlineStr">
        <is>
          <t>Middelburg</t>
        </is>
      </c>
      <c r="F271" s="41" t="n">
        <v>45509</v>
      </c>
      <c r="G271" s="27" t="inlineStr">
        <is>
          <t>Dormant</t>
        </is>
      </c>
      <c r="H271" s="27">
        <f>FALSE()</f>
        <v/>
      </c>
    </row>
    <row r="272" ht="15" customHeight="1" s="24">
      <c r="A272" s="27" t="n">
        <v>374537</v>
      </c>
      <c r="B272" s="27" t="inlineStr">
        <is>
          <t>Dineo Pretorius</t>
        </is>
      </c>
      <c r="C272" s="27" t="inlineStr">
        <is>
          <t>+27472501130</t>
        </is>
      </c>
      <c r="D272" s="27" t="inlineStr">
        <is>
          <t>KwaZulu-Natal</t>
        </is>
      </c>
      <c r="E272" s="27" t="inlineStr">
        <is>
          <t>Richards Bay</t>
        </is>
      </c>
      <c r="F272" s="41" t="n">
        <v>44571</v>
      </c>
      <c r="G272" s="27" t="inlineStr">
        <is>
          <t>Occasional</t>
        </is>
      </c>
      <c r="H272" s="27">
        <f>TRUE()</f>
        <v/>
      </c>
    </row>
    <row r="273" ht="15" customHeight="1" s="24">
      <c r="A273" s="27" t="n">
        <v>246258</v>
      </c>
      <c r="B273" s="27" t="inlineStr">
        <is>
          <t>Lerato Daniels</t>
        </is>
      </c>
      <c r="C273" s="27" t="inlineStr">
        <is>
          <t>+27476215581</t>
        </is>
      </c>
      <c r="D273" s="27" t="inlineStr">
        <is>
          <t>Gauteng</t>
        </is>
      </c>
      <c r="E273" s="27" t="inlineStr">
        <is>
          <t>Roodepoort</t>
        </is>
      </c>
      <c r="F273" s="41" t="n">
        <v>44446</v>
      </c>
      <c r="G273" s="27" t="inlineStr">
        <is>
          <t>Occasional</t>
        </is>
      </c>
      <c r="H273" s="27">
        <f>TRUE()</f>
        <v/>
      </c>
    </row>
    <row r="274" ht="15" customHeight="1" s="24">
      <c r="A274" s="27" t="n">
        <v>269486</v>
      </c>
      <c r="B274" s="27" t="inlineStr">
        <is>
          <t>Ayanda Pillay</t>
        </is>
      </c>
      <c r="C274" s="27" t="inlineStr">
        <is>
          <t>+27477829706</t>
        </is>
      </c>
      <c r="D274" s="27" t="inlineStr">
        <is>
          <t>Eastern Cape</t>
        </is>
      </c>
      <c r="E274" s="27" t="inlineStr">
        <is>
          <t>Uitenhage</t>
        </is>
      </c>
      <c r="F274" s="41" t="n">
        <v>45021</v>
      </c>
      <c r="G274" s="27" t="inlineStr">
        <is>
          <t>Regular</t>
        </is>
      </c>
      <c r="H274" s="27">
        <f>TRUE()</f>
        <v/>
      </c>
    </row>
    <row r="275" ht="15" customHeight="1" s="24">
      <c r="A275" s="27" t="n">
        <v>321574</v>
      </c>
      <c r="B275" s="27" t="inlineStr">
        <is>
          <t>Mandla Mabaso</t>
        </is>
      </c>
      <c r="C275" s="27" t="inlineStr">
        <is>
          <t>+27475706476</t>
        </is>
      </c>
      <c r="D275" s="27" t="inlineStr">
        <is>
          <t>KwaZulu-Natal</t>
        </is>
      </c>
      <c r="E275" s="27" t="inlineStr">
        <is>
          <t>Pinetown</t>
        </is>
      </c>
      <c r="F275" s="41" t="n">
        <v>44283</v>
      </c>
      <c r="G275" s="27" t="inlineStr">
        <is>
          <t>Occasional</t>
        </is>
      </c>
      <c r="H275" s="27">
        <f>TRUE()</f>
        <v/>
      </c>
    </row>
    <row r="276" ht="15" customHeight="1" s="24">
      <c r="A276" s="27" t="n">
        <v>136668</v>
      </c>
      <c r="B276" s="27" t="inlineStr">
        <is>
          <t>Fatima Daniels</t>
        </is>
      </c>
      <c r="C276" s="27" t="inlineStr">
        <is>
          <t>+27476002374</t>
        </is>
      </c>
      <c r="D276" s="27" t="inlineStr">
        <is>
          <t>Western Cape</t>
        </is>
      </c>
      <c r="E276" s="27" t="inlineStr">
        <is>
          <t>Somerset West</t>
        </is>
      </c>
      <c r="F276" s="41" t="n">
        <v>44719</v>
      </c>
      <c r="G276" s="27" t="inlineStr">
        <is>
          <t>Occasional</t>
        </is>
      </c>
      <c r="H276" s="27">
        <f>TRUE()</f>
        <v/>
      </c>
    </row>
    <row r="277" ht="15" customHeight="1" s="24">
      <c r="A277" s="27" t="n">
        <v>3780</v>
      </c>
      <c r="B277" s="27" t="inlineStr">
        <is>
          <t>Khanyi Adams</t>
        </is>
      </c>
      <c r="C277" s="27" t="inlineStr">
        <is>
          <t>+27479306224</t>
        </is>
      </c>
      <c r="D277" s="27" t="inlineStr">
        <is>
          <t>Western Cape</t>
        </is>
      </c>
      <c r="E277" s="27" t="inlineStr">
        <is>
          <t>George</t>
        </is>
      </c>
      <c r="F277" s="41" t="n">
        <v>45139</v>
      </c>
      <c r="G277" s="27" t="inlineStr">
        <is>
          <t>Dormant</t>
        </is>
      </c>
      <c r="H277" s="27">
        <f>TRUE()</f>
        <v/>
      </c>
    </row>
    <row r="278" ht="15" customHeight="1" s="24">
      <c r="A278" s="27" t="n">
        <v>265581</v>
      </c>
      <c r="B278" s="27" t="inlineStr">
        <is>
          <t>Pieter van der Merwe</t>
        </is>
      </c>
      <c r="C278" s="27" t="inlineStr">
        <is>
          <t>+27477389171</t>
        </is>
      </c>
      <c r="D278" s="27" t="inlineStr">
        <is>
          <t>Limpopo</t>
        </is>
      </c>
      <c r="E278" s="27" t="inlineStr">
        <is>
          <t>Polokwane</t>
        </is>
      </c>
      <c r="F278" s="41" t="n">
        <v>44934</v>
      </c>
      <c r="G278" s="27" t="inlineStr">
        <is>
          <t>Frequent</t>
        </is>
      </c>
      <c r="H278" s="27">
        <f>TRUE()</f>
        <v/>
      </c>
    </row>
    <row r="279" ht="15" customHeight="1" s="24">
      <c r="A279" s="27" t="n">
        <v>174258</v>
      </c>
      <c r="B279" s="27" t="inlineStr">
        <is>
          <t>Mandla Mokoena</t>
        </is>
      </c>
      <c r="C279" s="27" t="inlineStr">
        <is>
          <t>+27475623314</t>
        </is>
      </c>
      <c r="D279" s="27" t="inlineStr">
        <is>
          <t>Free State</t>
        </is>
      </c>
      <c r="E279" s="27" t="inlineStr">
        <is>
          <t>Bethlehem</t>
        </is>
      </c>
      <c r="F279" s="41" t="n">
        <v>46183</v>
      </c>
      <c r="G279" s="27" t="inlineStr">
        <is>
          <t>Regular</t>
        </is>
      </c>
      <c r="H279" s="27">
        <f>TRUE()</f>
        <v/>
      </c>
    </row>
    <row r="280" ht="15" customHeight="1" s="24">
      <c r="A280" s="27" t="n">
        <v>397133</v>
      </c>
      <c r="B280" s="27" t="inlineStr">
        <is>
          <t>Lerato Mthembu</t>
        </is>
      </c>
      <c r="C280" s="27" t="inlineStr">
        <is>
          <t>+27478010172</t>
        </is>
      </c>
      <c r="D280" s="27" t="inlineStr">
        <is>
          <t>KwaZulu-Natal</t>
        </is>
      </c>
      <c r="E280" s="27" t="inlineStr">
        <is>
          <t>Durban</t>
        </is>
      </c>
      <c r="F280" s="41" t="n">
        <v>45815</v>
      </c>
      <c r="G280" s="27" t="inlineStr">
        <is>
          <t>Regular</t>
        </is>
      </c>
      <c r="H280" s="27">
        <f>TRUE()</f>
        <v/>
      </c>
    </row>
    <row r="281" ht="15" customHeight="1" s="24">
      <c r="A281" s="27" t="n">
        <v>90270</v>
      </c>
      <c r="B281" s="27" t="inlineStr">
        <is>
          <t>Daniel Fourie</t>
        </is>
      </c>
      <c r="C281" s="27" t="inlineStr">
        <is>
          <t>+27471597002</t>
        </is>
      </c>
      <c r="D281" s="27" t="inlineStr">
        <is>
          <t>Western Cape</t>
        </is>
      </c>
      <c r="E281" s="27" t="inlineStr">
        <is>
          <t>Table View</t>
        </is>
      </c>
      <c r="F281" s="41" t="n">
        <v>45193</v>
      </c>
      <c r="G281" s="27" t="inlineStr">
        <is>
          <t>Occasional</t>
        </is>
      </c>
      <c r="H281" s="27">
        <f>TRUE()</f>
        <v/>
      </c>
    </row>
    <row r="282" ht="15" customHeight="1" s="24">
      <c r="A282" s="27" t="n">
        <v>124662</v>
      </c>
      <c r="B282" s="27" t="inlineStr">
        <is>
          <t>Ayanda Maluleke</t>
        </is>
      </c>
      <c r="C282" s="27" t="inlineStr">
        <is>
          <t>+27478790723</t>
        </is>
      </c>
      <c r="D282" s="27" t="inlineStr">
        <is>
          <t>Free State</t>
        </is>
      </c>
      <c r="E282" s="27" t="inlineStr">
        <is>
          <t>Bethlehem</t>
        </is>
      </c>
      <c r="F282" s="41" t="n">
        <v>44916</v>
      </c>
      <c r="G282" s="27" t="inlineStr">
        <is>
          <t>Dormant</t>
        </is>
      </c>
      <c r="H282" s="27">
        <f>TRUE()</f>
        <v/>
      </c>
    </row>
    <row r="283" ht="15" customHeight="1" s="24">
      <c r="A283" s="27" t="n">
        <v>59353</v>
      </c>
      <c r="B283" s="27" t="inlineStr">
        <is>
          <t>Refilwe Zulu</t>
        </is>
      </c>
      <c r="C283" s="27" t="inlineStr">
        <is>
          <t>+27477914014</t>
        </is>
      </c>
      <c r="D283" s="27" t="inlineStr">
        <is>
          <t>North West</t>
        </is>
      </c>
      <c r="E283" s="27" t="inlineStr">
        <is>
          <t>Klerksdorp</t>
        </is>
      </c>
      <c r="F283" s="41" t="n">
        <v>45950</v>
      </c>
      <c r="G283" s="27" t="inlineStr">
        <is>
          <t>Frequent</t>
        </is>
      </c>
      <c r="H283" s="27">
        <f>TRUE()</f>
        <v/>
      </c>
    </row>
    <row r="284" ht="15" customHeight="1" s="24">
      <c r="A284" s="27" t="n">
        <v>149165</v>
      </c>
      <c r="B284" s="27" t="inlineStr">
        <is>
          <t>Lerato Naidoo</t>
        </is>
      </c>
      <c r="C284" s="27" t="inlineStr">
        <is>
          <t>+27474339613</t>
        </is>
      </c>
      <c r="D284" s="27" t="inlineStr">
        <is>
          <t>KwaZulu-Natal</t>
        </is>
      </c>
      <c r="E284" s="27" t="inlineStr">
        <is>
          <t>Umhlanga</t>
        </is>
      </c>
      <c r="F284" s="41" t="n">
        <v>44933</v>
      </c>
      <c r="G284" s="27" t="inlineStr">
        <is>
          <t>Dormant</t>
        </is>
      </c>
      <c r="H284" s="27">
        <f>TRUE()</f>
        <v/>
      </c>
    </row>
    <row r="285" ht="15" customHeight="1" s="24">
      <c r="A285" s="27" t="n">
        <v>324246</v>
      </c>
      <c r="B285" s="27" t="inlineStr">
        <is>
          <t>Ayanda Dlamini</t>
        </is>
      </c>
      <c r="C285" s="27" t="inlineStr">
        <is>
          <t>+27479549015</t>
        </is>
      </c>
      <c r="D285" s="27" t="inlineStr">
        <is>
          <t>Gauteng</t>
        </is>
      </c>
      <c r="E285" s="27" t="inlineStr">
        <is>
          <t>Soweto</t>
        </is>
      </c>
      <c r="F285" s="41" t="n">
        <v>46191</v>
      </c>
      <c r="G285" s="27" t="inlineStr">
        <is>
          <t>Occasional</t>
        </is>
      </c>
      <c r="H285" s="27">
        <f>TRUE()</f>
        <v/>
      </c>
    </row>
    <row r="286" ht="15" customHeight="1" s="24">
      <c r="A286" s="27" t="n">
        <v>31544</v>
      </c>
      <c r="B286" s="27" t="inlineStr">
        <is>
          <t>Ayanda Pretorius</t>
        </is>
      </c>
      <c r="C286" s="27" t="inlineStr">
        <is>
          <t>+27474157753</t>
        </is>
      </c>
      <c r="D286" s="27" t="inlineStr">
        <is>
          <t>Gauteng</t>
        </is>
      </c>
      <c r="E286" s="27" t="inlineStr">
        <is>
          <t>Midrand</t>
        </is>
      </c>
      <c r="F286" s="41" t="n">
        <v>44663</v>
      </c>
      <c r="G286" s="27" t="inlineStr">
        <is>
          <t>Regular</t>
        </is>
      </c>
      <c r="H286" s="27">
        <f>TRUE()</f>
        <v/>
      </c>
    </row>
    <row r="287" ht="15" customHeight="1" s="24">
      <c r="A287" s="27" t="n">
        <v>352917</v>
      </c>
      <c r="B287" s="27" t="inlineStr">
        <is>
          <t>Megan Tshabalala</t>
        </is>
      </c>
      <c r="C287" s="27" t="inlineStr">
        <is>
          <t>+27474574660</t>
        </is>
      </c>
      <c r="D287" s="27" t="inlineStr">
        <is>
          <t>Mpumalanga</t>
        </is>
      </c>
      <c r="E287" s="27" t="inlineStr">
        <is>
          <t>Witbank</t>
        </is>
      </c>
      <c r="F287" s="41" t="n">
        <v>45334</v>
      </c>
      <c r="G287" s="27" t="inlineStr">
        <is>
          <t>Regular</t>
        </is>
      </c>
      <c r="H287" s="27">
        <f>TRUE()</f>
        <v/>
      </c>
    </row>
    <row r="288" ht="15" customHeight="1" s="24">
      <c r="A288" s="27" t="n">
        <v>80896</v>
      </c>
      <c r="B288" s="27" t="inlineStr">
        <is>
          <t>Jaco Molefe</t>
        </is>
      </c>
      <c r="C288" s="27" t="inlineStr">
        <is>
          <t>+27475566659</t>
        </is>
      </c>
      <c r="D288" s="27" t="inlineStr">
        <is>
          <t>KwaZulu-Natal</t>
        </is>
      </c>
      <c r="E288" s="27" t="inlineStr">
        <is>
          <t>Pietermaritzburg</t>
        </is>
      </c>
      <c r="F288" s="41" t="n">
        <v>45085</v>
      </c>
      <c r="G288" s="27" t="inlineStr">
        <is>
          <t>Regular</t>
        </is>
      </c>
      <c r="H288" s="27">
        <f>TRUE()</f>
        <v/>
      </c>
    </row>
    <row r="289" ht="15" customHeight="1" s="24">
      <c r="A289" s="27" t="n">
        <v>366758</v>
      </c>
      <c r="B289" s="27" t="inlineStr">
        <is>
          <t>Megan Dlamini</t>
        </is>
      </c>
      <c r="C289" s="27" t="inlineStr">
        <is>
          <t>+27473890123</t>
        </is>
      </c>
      <c r="D289" s="27" t="inlineStr">
        <is>
          <t>KwaZulu-Natal</t>
        </is>
      </c>
      <c r="E289" s="27" t="inlineStr">
        <is>
          <t>Pietermaritzburg</t>
        </is>
      </c>
      <c r="F289" s="41" t="n">
        <v>44473</v>
      </c>
      <c r="G289" s="27" t="inlineStr">
        <is>
          <t>Dormant</t>
        </is>
      </c>
      <c r="H289" s="27">
        <f>TRUE()</f>
        <v/>
      </c>
    </row>
    <row r="290" ht="15" customHeight="1" s="24">
      <c r="A290" s="27" t="n">
        <v>61630</v>
      </c>
      <c r="B290" s="27" t="inlineStr">
        <is>
          <t>Precious Zulu</t>
        </is>
      </c>
      <c r="C290" s="27" t="inlineStr">
        <is>
          <t>+27478717017</t>
        </is>
      </c>
      <c r="D290" s="27" t="inlineStr">
        <is>
          <t>KwaZulu-Natal</t>
        </is>
      </c>
      <c r="E290" s="27" t="inlineStr">
        <is>
          <t>Durban</t>
        </is>
      </c>
      <c r="F290" s="41" t="n">
        <v>45618</v>
      </c>
      <c r="G290" s="27" t="inlineStr">
        <is>
          <t>Occasional</t>
        </is>
      </c>
      <c r="H290" s="27">
        <f>TRUE()</f>
        <v/>
      </c>
    </row>
    <row r="291" ht="15" customHeight="1" s="24">
      <c r="A291" s="27" t="n">
        <v>85845</v>
      </c>
      <c r="B291" s="27" t="inlineStr">
        <is>
          <t>Fatima Mabaso</t>
        </is>
      </c>
      <c r="C291" s="27" t="inlineStr">
        <is>
          <t>+27479853347</t>
        </is>
      </c>
      <c r="D291" s="27" t="inlineStr">
        <is>
          <t>KwaZulu-Natal</t>
        </is>
      </c>
      <c r="E291" s="27" t="inlineStr">
        <is>
          <t>Pietermaritzburg</t>
        </is>
      </c>
      <c r="F291" s="41" t="n">
        <v>45819</v>
      </c>
      <c r="G291" s="27" t="inlineStr">
        <is>
          <t>Occasional</t>
        </is>
      </c>
      <c r="H291" s="27">
        <f>TRUE()</f>
        <v/>
      </c>
    </row>
    <row r="292" ht="15" customHeight="1" s="24">
      <c r="A292" s="27" t="n">
        <v>287671</v>
      </c>
      <c r="B292" s="27" t="inlineStr">
        <is>
          <t>Sipho Adams</t>
        </is>
      </c>
      <c r="C292" s="27" t="inlineStr">
        <is>
          <t>+27471750289</t>
        </is>
      </c>
      <c r="D292" s="27" t="inlineStr">
        <is>
          <t>Mpumalanga</t>
        </is>
      </c>
      <c r="E292" s="27" t="inlineStr">
        <is>
          <t>Middelburg</t>
        </is>
      </c>
      <c r="F292" s="41" t="n">
        <v>44373</v>
      </c>
      <c r="G292" s="27" t="inlineStr">
        <is>
          <t>Regular</t>
        </is>
      </c>
      <c r="H292" s="27">
        <f>TRUE()</f>
        <v/>
      </c>
    </row>
    <row r="293" ht="15" customHeight="1" s="24">
      <c r="A293" s="27" t="n">
        <v>79907</v>
      </c>
      <c r="B293" s="27" t="inlineStr">
        <is>
          <t>Naledi Maluleke</t>
        </is>
      </c>
      <c r="C293" s="27" t="inlineStr">
        <is>
          <t>+27471865532</t>
        </is>
      </c>
      <c r="D293" s="27" t="inlineStr">
        <is>
          <t>Gauteng</t>
        </is>
      </c>
      <c r="E293" s="27" t="inlineStr">
        <is>
          <t>Johannesburg</t>
        </is>
      </c>
      <c r="F293" s="41" t="n">
        <v>45087</v>
      </c>
      <c r="G293" s="27" t="inlineStr">
        <is>
          <t>Occasional</t>
        </is>
      </c>
      <c r="H293" s="27">
        <f>TRUE()</f>
        <v/>
      </c>
    </row>
    <row r="294" ht="15" customHeight="1" s="24">
      <c r="A294" s="27" t="n">
        <v>376149</v>
      </c>
      <c r="B294" s="27" t="inlineStr">
        <is>
          <t>Khanyi Ngcobo</t>
        </is>
      </c>
      <c r="C294" s="27" t="inlineStr">
        <is>
          <t>+27479887557</t>
        </is>
      </c>
      <c r="D294" s="27" t="inlineStr">
        <is>
          <t>Gauteng</t>
        </is>
      </c>
      <c r="E294" s="27" t="inlineStr">
        <is>
          <t>Benoni</t>
        </is>
      </c>
      <c r="F294" s="41" t="n">
        <v>44765</v>
      </c>
      <c r="G294" s="27" t="inlineStr">
        <is>
          <t>Regular</t>
        </is>
      </c>
      <c r="H294" s="27">
        <f>TRUE()</f>
        <v/>
      </c>
    </row>
    <row r="295" ht="15" customHeight="1" s="24">
      <c r="A295" s="27" t="n">
        <v>119631</v>
      </c>
      <c r="B295" s="27" t="inlineStr">
        <is>
          <t>Tshepo Nkosi</t>
        </is>
      </c>
      <c r="C295" s="27" t="inlineStr">
        <is>
          <t>+27471417567</t>
        </is>
      </c>
      <c r="D295" s="27" t="inlineStr">
        <is>
          <t>Gauteng</t>
        </is>
      </c>
      <c r="E295" s="27" t="inlineStr">
        <is>
          <t>Roodepoort</t>
        </is>
      </c>
      <c r="F295" s="41" t="n">
        <v>44438</v>
      </c>
      <c r="G295" s="27" t="inlineStr">
        <is>
          <t>Occasional</t>
        </is>
      </c>
      <c r="H295" s="27">
        <f>TRUE()</f>
        <v/>
      </c>
    </row>
    <row r="296" ht="15" customHeight="1" s="24">
      <c r="A296" s="27" t="n">
        <v>243383</v>
      </c>
      <c r="B296" s="27" t="inlineStr">
        <is>
          <t>Zanele Pillay</t>
        </is>
      </c>
      <c r="C296" s="27" t="inlineStr">
        <is>
          <t>+27472206579</t>
        </is>
      </c>
      <c r="D296" s="27" t="inlineStr">
        <is>
          <t>KwaZulu-Natal</t>
        </is>
      </c>
      <c r="E296" s="27" t="inlineStr">
        <is>
          <t>Durban</t>
        </is>
      </c>
      <c r="F296" s="41" t="n">
        <v>44655</v>
      </c>
      <c r="G296" s="27" t="inlineStr">
        <is>
          <t>Occasional</t>
        </is>
      </c>
      <c r="H296" s="27">
        <f>TRUE()</f>
        <v/>
      </c>
    </row>
    <row r="297" ht="15" customHeight="1" s="24">
      <c r="A297" s="27" t="n">
        <v>302483</v>
      </c>
      <c r="B297" s="27" t="inlineStr">
        <is>
          <t>Liam Venter</t>
        </is>
      </c>
      <c r="C297" s="27" t="inlineStr">
        <is>
          <t>+27472629346</t>
        </is>
      </c>
      <c r="D297" s="27" t="inlineStr">
        <is>
          <t>Gauteng</t>
        </is>
      </c>
      <c r="E297" s="27" t="inlineStr">
        <is>
          <t>Centurion</t>
        </is>
      </c>
      <c r="F297" s="41" t="n">
        <v>44222</v>
      </c>
      <c r="G297" s="27" t="inlineStr">
        <is>
          <t>Dormant</t>
        </is>
      </c>
      <c r="H297" s="27">
        <f>TRUE()</f>
        <v/>
      </c>
    </row>
    <row r="298" ht="15" customHeight="1" s="24">
      <c r="A298" s="27" t="n">
        <v>35580</v>
      </c>
      <c r="B298" s="27" t="inlineStr">
        <is>
          <t>Pieter Maluleke</t>
        </is>
      </c>
      <c r="C298" s="27" t="inlineStr">
        <is>
          <t>+27474855813</t>
        </is>
      </c>
      <c r="D298" s="27" t="inlineStr">
        <is>
          <t>Northern Cape</t>
        </is>
      </c>
      <c r="E298" s="27" t="inlineStr">
        <is>
          <t>Springbok</t>
        </is>
      </c>
      <c r="F298" s="41" t="n">
        <v>44572</v>
      </c>
      <c r="G298" s="27" t="inlineStr">
        <is>
          <t>Regular</t>
        </is>
      </c>
      <c r="H298" s="27">
        <f>TRUE()</f>
        <v/>
      </c>
    </row>
    <row r="299" ht="15" customHeight="1" s="24">
      <c r="A299" s="27" t="n">
        <v>137431</v>
      </c>
      <c r="B299" s="27" t="inlineStr">
        <is>
          <t>Nomvula Smith</t>
        </is>
      </c>
      <c r="C299" s="27" t="inlineStr">
        <is>
          <t>+27473673215</t>
        </is>
      </c>
      <c r="D299" s="27" t="inlineStr">
        <is>
          <t>Gauteng</t>
        </is>
      </c>
      <c r="E299" s="27" t="inlineStr">
        <is>
          <t>Benoni</t>
        </is>
      </c>
      <c r="F299" s="41" t="n">
        <v>45768</v>
      </c>
      <c r="G299" s="27" t="inlineStr">
        <is>
          <t>Occasional</t>
        </is>
      </c>
      <c r="H299" s="27">
        <f>TRUE()</f>
        <v/>
      </c>
    </row>
    <row r="300" ht="15" customHeight="1" s="24">
      <c r="A300" s="27" t="n">
        <v>341583</v>
      </c>
      <c r="B300" s="27" t="inlineStr">
        <is>
          <t>Emma Petersen</t>
        </is>
      </c>
      <c r="C300" s="27" t="inlineStr">
        <is>
          <t>+27472947915</t>
        </is>
      </c>
      <c r="D300" s="27" t="inlineStr">
        <is>
          <t>North West</t>
        </is>
      </c>
      <c r="E300" s="27" t="inlineStr">
        <is>
          <t>Potchefstroom</t>
        </is>
      </c>
      <c r="F300" s="41" t="n">
        <v>45352</v>
      </c>
      <c r="G300" s="27" t="inlineStr">
        <is>
          <t>Frequent</t>
        </is>
      </c>
      <c r="H300" s="27">
        <f>TRUE()</f>
        <v/>
      </c>
    </row>
    <row r="301" ht="15" customHeight="1" s="24">
      <c r="A301" s="27" t="n">
        <v>83511</v>
      </c>
      <c r="B301" s="27" t="inlineStr">
        <is>
          <t>Sipho Dlamini</t>
        </is>
      </c>
      <c r="C301" s="27" t="inlineStr">
        <is>
          <t>+27474852595</t>
        </is>
      </c>
      <c r="D301" s="27" t="inlineStr">
        <is>
          <t>Mpumalanga</t>
        </is>
      </c>
      <c r="E301" s="27" t="inlineStr">
        <is>
          <t>Witbank</t>
        </is>
      </c>
      <c r="F301" s="41" t="n">
        <v>44753</v>
      </c>
      <c r="G301" s="27" t="inlineStr">
        <is>
          <t>Regular</t>
        </is>
      </c>
      <c r="H301" s="27">
        <f>FALSE()</f>
        <v/>
      </c>
    </row>
    <row r="302" ht="15" customHeight="1" s="24">
      <c r="A302" s="27" t="n">
        <v>374762</v>
      </c>
      <c r="B302" s="27" t="inlineStr">
        <is>
          <t>Khanyi Smith</t>
        </is>
      </c>
      <c r="C302" s="27" t="inlineStr">
        <is>
          <t>+27479980141</t>
        </is>
      </c>
      <c r="D302" s="27" t="inlineStr">
        <is>
          <t>Gauteng</t>
        </is>
      </c>
      <c r="E302" s="27" t="inlineStr">
        <is>
          <t>Centurion</t>
        </is>
      </c>
      <c r="F302" s="41" t="n">
        <v>45074</v>
      </c>
      <c r="G302" s="27" t="inlineStr">
        <is>
          <t>Regular</t>
        </is>
      </c>
      <c r="H302" s="27">
        <f>TRUE()</f>
        <v/>
      </c>
    </row>
    <row r="303" ht="15" customHeight="1" s="24">
      <c r="A303" s="27" t="n">
        <v>87970</v>
      </c>
      <c r="B303" s="27" t="inlineStr">
        <is>
          <t>Mandla Molefe</t>
        </is>
      </c>
      <c r="C303" s="27" t="inlineStr">
        <is>
          <t>+27472362494</t>
        </is>
      </c>
      <c r="D303" s="27" t="inlineStr">
        <is>
          <t>Gauteng</t>
        </is>
      </c>
      <c r="E303" s="27" t="inlineStr">
        <is>
          <t>Roodepoort</t>
        </is>
      </c>
      <c r="F303" s="41" t="n">
        <v>44233</v>
      </c>
      <c r="G303" s="27" t="inlineStr">
        <is>
          <t>Occasional</t>
        </is>
      </c>
      <c r="H303" s="27">
        <f>TRUE()</f>
        <v/>
      </c>
    </row>
    <row r="304" ht="15" customHeight="1" s="24">
      <c r="A304" s="27" t="n">
        <v>208474</v>
      </c>
      <c r="B304" s="27" t="inlineStr">
        <is>
          <t>Mandla Fourie</t>
        </is>
      </c>
      <c r="C304" s="27" t="inlineStr">
        <is>
          <t>+27479639292</t>
        </is>
      </c>
      <c r="D304" s="27" t="inlineStr">
        <is>
          <t>KwaZulu-Natal</t>
        </is>
      </c>
      <c r="E304" s="27" t="inlineStr">
        <is>
          <t>Newcastle</t>
        </is>
      </c>
      <c r="F304" s="41" t="n">
        <v>45288</v>
      </c>
      <c r="G304" s="27" t="inlineStr">
        <is>
          <t>Regular</t>
        </is>
      </c>
      <c r="H304" s="27">
        <f>FALSE()</f>
        <v/>
      </c>
    </row>
    <row r="305" ht="15" customHeight="1" s="24">
      <c r="A305" s="27" t="n">
        <v>45491</v>
      </c>
      <c r="B305" s="27" t="inlineStr">
        <is>
          <t>Pieter Pillay</t>
        </is>
      </c>
      <c r="C305" s="27" t="inlineStr">
        <is>
          <t>+27472322985</t>
        </is>
      </c>
      <c r="D305" s="27" t="inlineStr">
        <is>
          <t>Gauteng</t>
        </is>
      </c>
      <c r="E305" s="27" t="inlineStr">
        <is>
          <t>Soweto</t>
        </is>
      </c>
      <c r="F305" s="41" t="n">
        <v>45457</v>
      </c>
      <c r="G305" s="27" t="inlineStr">
        <is>
          <t>Frequent</t>
        </is>
      </c>
      <c r="H305" s="27">
        <f>TRUE()</f>
        <v/>
      </c>
    </row>
    <row r="306" ht="15" customHeight="1" s="24">
      <c r="A306" s="27" t="n">
        <v>320923</v>
      </c>
      <c r="B306" s="27" t="inlineStr">
        <is>
          <t>Liam Khumalo</t>
        </is>
      </c>
      <c r="C306" s="27" t="inlineStr">
        <is>
          <t>+27471973762</t>
        </is>
      </c>
      <c r="D306" s="27" t="inlineStr">
        <is>
          <t>Gauteng</t>
        </is>
      </c>
      <c r="E306" s="27" t="inlineStr">
        <is>
          <t>Pretoria</t>
        </is>
      </c>
      <c r="F306" s="41" t="n">
        <v>44247</v>
      </c>
      <c r="G306" s="27" t="inlineStr">
        <is>
          <t>Occasional</t>
        </is>
      </c>
      <c r="H306" s="27">
        <f>TRUE()</f>
        <v/>
      </c>
    </row>
    <row r="307" ht="15" customHeight="1" s="24">
      <c r="A307" s="27" t="n">
        <v>197982</v>
      </c>
      <c r="B307" s="27" t="inlineStr">
        <is>
          <t>Johan Fourie</t>
        </is>
      </c>
      <c r="C307" s="27" t="inlineStr">
        <is>
          <t>+27477436474</t>
        </is>
      </c>
      <c r="D307" s="27" t="inlineStr">
        <is>
          <t>North West</t>
        </is>
      </c>
      <c r="E307" s="27" t="inlineStr">
        <is>
          <t>Klerksdorp</t>
        </is>
      </c>
      <c r="F307" s="41" t="n">
        <v>45287</v>
      </c>
      <c r="G307" s="27" t="inlineStr">
        <is>
          <t>Dormant</t>
        </is>
      </c>
      <c r="H307" s="27">
        <f>TRUE()</f>
        <v/>
      </c>
    </row>
    <row r="308" ht="15" customHeight="1" s="24">
      <c r="A308" s="27" t="n">
        <v>282925</v>
      </c>
      <c r="B308" s="27" t="inlineStr">
        <is>
          <t>Riaan Botha</t>
        </is>
      </c>
      <c r="C308" s="27" t="inlineStr">
        <is>
          <t>+27471214605</t>
        </is>
      </c>
      <c r="D308" s="27" t="inlineStr">
        <is>
          <t>Eastern Cape</t>
        </is>
      </c>
      <c r="E308" s="27" t="inlineStr">
        <is>
          <t>East London</t>
        </is>
      </c>
      <c r="F308" s="41" t="n">
        <v>45137</v>
      </c>
      <c r="G308" s="27" t="inlineStr">
        <is>
          <t>Occasional</t>
        </is>
      </c>
      <c r="H308" s="27">
        <f>TRUE()</f>
        <v/>
      </c>
    </row>
    <row r="309" ht="15" customHeight="1" s="24">
      <c r="A309" s="27" t="n">
        <v>299792</v>
      </c>
      <c r="B309" s="27" t="inlineStr">
        <is>
          <t>Refilwe Zulu</t>
        </is>
      </c>
      <c r="C309" s="27" t="inlineStr">
        <is>
          <t>+27472186853</t>
        </is>
      </c>
      <c r="D309" s="27" t="inlineStr">
        <is>
          <t>Eastern Cape</t>
        </is>
      </c>
      <c r="E309" s="27" t="inlineStr">
        <is>
          <t>Uitenhage</t>
        </is>
      </c>
      <c r="F309" s="41" t="n">
        <v>45022</v>
      </c>
      <c r="G309" s="27" t="inlineStr">
        <is>
          <t>Occasional</t>
        </is>
      </c>
      <c r="H309" s="27">
        <f>TRUE()</f>
        <v/>
      </c>
    </row>
    <row r="310" ht="15" customHeight="1" s="24">
      <c r="A310" s="27" t="n">
        <v>266580</v>
      </c>
      <c r="B310" s="27" t="inlineStr">
        <is>
          <t>Thabo Hendricks</t>
        </is>
      </c>
      <c r="C310" s="27" t="inlineStr">
        <is>
          <t>+27478328203</t>
        </is>
      </c>
      <c r="D310" s="27" t="inlineStr">
        <is>
          <t>Gauteng</t>
        </is>
      </c>
      <c r="E310" s="27" t="inlineStr">
        <is>
          <t>Sandton</t>
        </is>
      </c>
      <c r="F310" s="41" t="n">
        <v>45001</v>
      </c>
      <c r="G310" s="27" t="inlineStr">
        <is>
          <t>Regular</t>
        </is>
      </c>
      <c r="H310" s="27">
        <f>TRUE()</f>
        <v/>
      </c>
    </row>
    <row r="311" ht="15" customHeight="1" s="24">
      <c r="A311" s="27" t="n">
        <v>372062</v>
      </c>
      <c r="B311" s="27" t="inlineStr">
        <is>
          <t>Fatima Mthembu</t>
        </is>
      </c>
      <c r="C311" s="27" t="inlineStr">
        <is>
          <t>+27477634315</t>
        </is>
      </c>
      <c r="D311" s="27" t="inlineStr">
        <is>
          <t>KwaZulu-Natal</t>
        </is>
      </c>
      <c r="E311" s="27" t="inlineStr">
        <is>
          <t>Umhlanga</t>
        </is>
      </c>
      <c r="F311" s="41" t="n">
        <v>45576</v>
      </c>
      <c r="G311" s="27" t="inlineStr">
        <is>
          <t>Regular</t>
        </is>
      </c>
      <c r="H311" s="27">
        <f>TRUE()</f>
        <v/>
      </c>
    </row>
    <row r="312" ht="15" customHeight="1" s="24">
      <c r="A312" s="27" t="n">
        <v>320062</v>
      </c>
      <c r="B312" s="27" t="inlineStr">
        <is>
          <t>Sarah Steyn</t>
        </is>
      </c>
      <c r="C312" s="27" t="inlineStr">
        <is>
          <t>+27477439813</t>
        </is>
      </c>
      <c r="D312" s="27" t="inlineStr">
        <is>
          <t>Gauteng</t>
        </is>
      </c>
      <c r="E312" s="27" t="inlineStr">
        <is>
          <t>Midrand</t>
        </is>
      </c>
      <c r="F312" s="41" t="n">
        <v>45620</v>
      </c>
      <c r="G312" s="27" t="inlineStr">
        <is>
          <t>Occasional</t>
        </is>
      </c>
      <c r="H312" s="27">
        <f>TRUE()</f>
        <v/>
      </c>
    </row>
    <row r="313" ht="15" customHeight="1" s="24">
      <c r="A313" s="27" t="n">
        <v>277054</v>
      </c>
      <c r="B313" s="27" t="inlineStr">
        <is>
          <t>Ayanda Zulu</t>
        </is>
      </c>
      <c r="C313" s="27" t="inlineStr">
        <is>
          <t>+27476861664</t>
        </is>
      </c>
      <c r="D313" s="27" t="inlineStr">
        <is>
          <t>Western Cape</t>
        </is>
      </c>
      <c r="E313" s="27" t="inlineStr">
        <is>
          <t>Stellenbosch</t>
        </is>
      </c>
      <c r="F313" s="41" t="n">
        <v>45832</v>
      </c>
      <c r="G313" s="27" t="inlineStr">
        <is>
          <t>Regular</t>
        </is>
      </c>
      <c r="H313" s="27">
        <f>TRUE()</f>
        <v/>
      </c>
    </row>
    <row r="314" ht="15" customHeight="1" s="24">
      <c r="A314" s="27" t="n">
        <v>70983</v>
      </c>
      <c r="B314" s="27" t="inlineStr">
        <is>
          <t>Kagiso Khumalo</t>
        </is>
      </c>
      <c r="C314" s="27" t="inlineStr">
        <is>
          <t>+27477805426</t>
        </is>
      </c>
      <c r="D314" s="27" t="inlineStr">
        <is>
          <t>KwaZulu-Natal</t>
        </is>
      </c>
      <c r="E314" s="27" t="inlineStr">
        <is>
          <t>Pinetown</t>
        </is>
      </c>
      <c r="F314" s="41" t="n">
        <v>44717</v>
      </c>
      <c r="G314" s="27" t="inlineStr">
        <is>
          <t>Frequent</t>
        </is>
      </c>
      <c r="H314" s="27">
        <f>TRUE()</f>
        <v/>
      </c>
    </row>
    <row r="315" ht="15" customHeight="1" s="24">
      <c r="A315" s="27" t="n">
        <v>317155</v>
      </c>
      <c r="B315" s="27" t="inlineStr">
        <is>
          <t>Refilwe Mabaso</t>
        </is>
      </c>
      <c r="C315" s="27" t="inlineStr">
        <is>
          <t>+27476596652</t>
        </is>
      </c>
      <c r="D315" s="27" t="inlineStr">
        <is>
          <t>Western Cape</t>
        </is>
      </c>
      <c r="E315" s="27" t="inlineStr">
        <is>
          <t>Bellville</t>
        </is>
      </c>
      <c r="F315" s="41" t="n">
        <v>44799</v>
      </c>
      <c r="G315" s="27" t="inlineStr">
        <is>
          <t>Regular</t>
        </is>
      </c>
      <c r="H315" s="27">
        <f>TRUE()</f>
        <v/>
      </c>
    </row>
    <row r="316" ht="15" customHeight="1" s="24">
      <c r="A316" s="27" t="n">
        <v>345100</v>
      </c>
      <c r="B316" s="27" t="inlineStr">
        <is>
          <t>Ayanda Mabaso</t>
        </is>
      </c>
      <c r="C316" s="27" t="inlineStr">
        <is>
          <t>+27474010335</t>
        </is>
      </c>
      <c r="D316" s="27" t="inlineStr">
        <is>
          <t>Limpopo</t>
        </is>
      </c>
      <c r="E316" s="27" t="inlineStr">
        <is>
          <t>Polokwane</t>
        </is>
      </c>
      <c r="F316" s="41" t="n">
        <v>45456</v>
      </c>
      <c r="G316" s="27" t="inlineStr">
        <is>
          <t>Regular</t>
        </is>
      </c>
      <c r="H316" s="27">
        <f>TRUE()</f>
        <v/>
      </c>
    </row>
    <row r="317" ht="15" customHeight="1" s="24">
      <c r="A317" s="27" t="n">
        <v>43708</v>
      </c>
      <c r="B317" s="27" t="inlineStr">
        <is>
          <t>Johan Smith</t>
        </is>
      </c>
      <c r="C317" s="27" t="inlineStr">
        <is>
          <t>+27472191732</t>
        </is>
      </c>
      <c r="D317" s="27" t="inlineStr">
        <is>
          <t>Western Cape</t>
        </is>
      </c>
      <c r="E317" s="27" t="inlineStr">
        <is>
          <t>Paarl</t>
        </is>
      </c>
      <c r="F317" s="41" t="n">
        <v>44528</v>
      </c>
      <c r="G317" s="27" t="inlineStr">
        <is>
          <t>Dormant</t>
        </is>
      </c>
      <c r="H317" s="27">
        <f>TRUE()</f>
        <v/>
      </c>
    </row>
    <row r="318" ht="15" customHeight="1" s="24">
      <c r="A318" s="27" t="n">
        <v>60488</v>
      </c>
      <c r="B318" s="27" t="inlineStr">
        <is>
          <t>Lwazi Venter</t>
        </is>
      </c>
      <c r="C318" s="27" t="inlineStr">
        <is>
          <t>+27476228586</t>
        </is>
      </c>
      <c r="D318" s="27" t="inlineStr">
        <is>
          <t>Western Cape</t>
        </is>
      </c>
      <c r="E318" s="27" t="inlineStr">
        <is>
          <t>Cape Town</t>
        </is>
      </c>
      <c r="F318" s="41" t="n">
        <v>45825</v>
      </c>
      <c r="G318" s="27" t="inlineStr">
        <is>
          <t>Occasional</t>
        </is>
      </c>
      <c r="H318" s="27">
        <f>TRUE()</f>
        <v/>
      </c>
    </row>
    <row r="319" ht="15" customHeight="1" s="24">
      <c r="A319" s="27" t="n">
        <v>178783</v>
      </c>
      <c r="B319" s="27" t="inlineStr">
        <is>
          <t>Johan Maluleke</t>
        </is>
      </c>
      <c r="C319" s="27" t="inlineStr">
        <is>
          <t>+27479964972</t>
        </is>
      </c>
      <c r="D319" s="27" t="inlineStr">
        <is>
          <t>Limpopo</t>
        </is>
      </c>
      <c r="E319" s="27" t="inlineStr">
        <is>
          <t>Mokopane</t>
        </is>
      </c>
      <c r="F319" s="41" t="n">
        <v>45081</v>
      </c>
      <c r="G319" s="27" t="inlineStr">
        <is>
          <t>Occasional</t>
        </is>
      </c>
      <c r="H319" s="27">
        <f>TRUE()</f>
        <v/>
      </c>
    </row>
    <row r="320" ht="15" customHeight="1" s="24">
      <c r="A320" s="27" t="n">
        <v>276765</v>
      </c>
      <c r="B320" s="27" t="inlineStr">
        <is>
          <t>Nomvula Ngcobo</t>
        </is>
      </c>
      <c r="C320" s="27" t="inlineStr">
        <is>
          <t>+27471935907</t>
        </is>
      </c>
      <c r="D320" s="27" t="inlineStr">
        <is>
          <t>KwaZulu-Natal</t>
        </is>
      </c>
      <c r="E320" s="27" t="inlineStr">
        <is>
          <t>Umhlanga</t>
        </is>
      </c>
      <c r="F320" s="41" t="n">
        <v>44910</v>
      </c>
      <c r="G320" s="27" t="inlineStr">
        <is>
          <t>Occasional</t>
        </is>
      </c>
      <c r="H320" s="27">
        <f>TRUE()</f>
        <v/>
      </c>
    </row>
    <row r="321" ht="15" customHeight="1" s="24">
      <c r="A321" s="27" t="n">
        <v>59398</v>
      </c>
      <c r="B321" s="27" t="inlineStr">
        <is>
          <t>Khanyi Mthembu</t>
        </is>
      </c>
      <c r="C321" s="27" t="inlineStr">
        <is>
          <t>+27474500143</t>
        </is>
      </c>
      <c r="D321" s="27" t="inlineStr">
        <is>
          <t>Western Cape</t>
        </is>
      </c>
      <c r="E321" s="27" t="inlineStr">
        <is>
          <t>Cape Town</t>
        </is>
      </c>
      <c r="F321" s="41" t="n">
        <v>45000</v>
      </c>
      <c r="G321" s="27" t="inlineStr">
        <is>
          <t>Occasional</t>
        </is>
      </c>
      <c r="H321" s="27">
        <f>TRUE()</f>
        <v/>
      </c>
    </row>
    <row r="322" ht="15" customHeight="1" s="24">
      <c r="A322" s="27" t="n">
        <v>140218</v>
      </c>
      <c r="B322" s="27" t="inlineStr">
        <is>
          <t>Sarah Daniels</t>
        </is>
      </c>
      <c r="C322" s="27" t="inlineStr">
        <is>
          <t>+27471114771</t>
        </is>
      </c>
      <c r="D322" s="27" t="inlineStr">
        <is>
          <t>Gauteng</t>
        </is>
      </c>
      <c r="E322" s="27" t="inlineStr">
        <is>
          <t>Benoni</t>
        </is>
      </c>
      <c r="F322" s="41" t="n">
        <v>44461</v>
      </c>
      <c r="G322" s="27" t="inlineStr">
        <is>
          <t>Regular</t>
        </is>
      </c>
      <c r="H322" s="27">
        <f>TRUE()</f>
        <v/>
      </c>
    </row>
    <row r="323" ht="15" customHeight="1" s="24">
      <c r="A323" s="27" t="n">
        <v>244676</v>
      </c>
      <c r="B323" s="27" t="inlineStr">
        <is>
          <t>Precious Tshabalala</t>
        </is>
      </c>
      <c r="C323" s="27" t="inlineStr">
        <is>
          <t>+27474409582</t>
        </is>
      </c>
      <c r="D323" s="27" t="inlineStr">
        <is>
          <t>KwaZulu-Natal</t>
        </is>
      </c>
      <c r="E323" s="27" t="inlineStr">
        <is>
          <t>Pietermaritzburg</t>
        </is>
      </c>
      <c r="F323" s="41" t="n">
        <v>46102</v>
      </c>
      <c r="G323" s="27" t="inlineStr">
        <is>
          <t>Frequent</t>
        </is>
      </c>
      <c r="H323" s="27">
        <f>TRUE()</f>
        <v/>
      </c>
    </row>
    <row r="324" ht="15" customHeight="1" s="24">
      <c r="A324" s="27" t="n">
        <v>327790</v>
      </c>
      <c r="B324" s="27" t="inlineStr">
        <is>
          <t>Ayanda Zulu</t>
        </is>
      </c>
      <c r="C324" s="27" t="inlineStr">
        <is>
          <t>+27477789414</t>
        </is>
      </c>
      <c r="D324" s="27" t="inlineStr">
        <is>
          <t>Gauteng</t>
        </is>
      </c>
      <c r="E324" s="27" t="inlineStr">
        <is>
          <t>Benoni</t>
        </is>
      </c>
      <c r="F324" s="41" t="n">
        <v>44610</v>
      </c>
      <c r="G324" s="27" t="inlineStr">
        <is>
          <t>Dormant</t>
        </is>
      </c>
      <c r="H324" s="27">
        <f>FALSE()</f>
        <v/>
      </c>
    </row>
    <row r="325" ht="15" customHeight="1" s="24">
      <c r="A325" s="27" t="n">
        <v>268698</v>
      </c>
      <c r="B325" s="27" t="inlineStr">
        <is>
          <t>Precious Mahlangu</t>
        </is>
      </c>
      <c r="C325" s="27" t="inlineStr">
        <is>
          <t>+27476602545</t>
        </is>
      </c>
      <c r="D325" s="27" t="inlineStr">
        <is>
          <t>Eastern Cape</t>
        </is>
      </c>
      <c r="E325" s="27" t="inlineStr">
        <is>
          <t>Gqeberha</t>
        </is>
      </c>
      <c r="F325" s="41" t="n">
        <v>44643</v>
      </c>
      <c r="G325" s="27" t="inlineStr">
        <is>
          <t>Occasional</t>
        </is>
      </c>
      <c r="H325" s="27">
        <f>TRUE()</f>
        <v/>
      </c>
    </row>
    <row r="326" ht="15" customHeight="1" s="24">
      <c r="A326" s="27" t="n">
        <v>115938</v>
      </c>
      <c r="B326" s="27" t="inlineStr">
        <is>
          <t>Refilwe Pillay</t>
        </is>
      </c>
      <c r="C326" s="27" t="inlineStr">
        <is>
          <t>+27472797146</t>
        </is>
      </c>
      <c r="D326" s="27" t="inlineStr">
        <is>
          <t>Gauteng</t>
        </is>
      </c>
      <c r="E326" s="27" t="inlineStr">
        <is>
          <t>Benoni</t>
        </is>
      </c>
      <c r="F326" s="41" t="n">
        <v>44914</v>
      </c>
      <c r="G326" s="27" t="inlineStr">
        <is>
          <t>Occasional</t>
        </is>
      </c>
      <c r="H326" s="27">
        <f>TRUE()</f>
        <v/>
      </c>
    </row>
    <row r="327" ht="15" customHeight="1" s="24">
      <c r="A327" s="27" t="n">
        <v>220806</v>
      </c>
      <c r="B327" s="27" t="inlineStr">
        <is>
          <t>Dineo Mahlangu</t>
        </is>
      </c>
      <c r="C327" s="27" t="inlineStr">
        <is>
          <t>+27477037892</t>
        </is>
      </c>
      <c r="D327" s="27" t="inlineStr">
        <is>
          <t>KwaZulu-Natal</t>
        </is>
      </c>
      <c r="E327" s="27" t="inlineStr">
        <is>
          <t>Durban</t>
        </is>
      </c>
      <c r="F327" s="41" t="n">
        <v>45006</v>
      </c>
      <c r="G327" s="27" t="inlineStr">
        <is>
          <t>Regular</t>
        </is>
      </c>
      <c r="H327" s="27">
        <f>TRUE()</f>
        <v/>
      </c>
    </row>
    <row r="328" ht="15" customHeight="1" s="24">
      <c r="A328" s="27" t="n">
        <v>398701</v>
      </c>
      <c r="B328" s="27" t="inlineStr">
        <is>
          <t>Chloe Tshabalala</t>
        </is>
      </c>
      <c r="C328" s="27" t="inlineStr">
        <is>
          <t>+27478851100</t>
        </is>
      </c>
      <c r="D328" s="27" t="inlineStr">
        <is>
          <t>Gauteng</t>
        </is>
      </c>
      <c r="E328" s="27" t="inlineStr">
        <is>
          <t>Soweto</t>
        </is>
      </c>
      <c r="F328" s="41" t="n">
        <v>45500</v>
      </c>
      <c r="G328" s="27" t="inlineStr">
        <is>
          <t>Occasional</t>
        </is>
      </c>
      <c r="H328" s="27">
        <f>TRUE()</f>
        <v/>
      </c>
    </row>
    <row r="329" ht="15" customHeight="1" s="24">
      <c r="A329" s="27" t="n">
        <v>219019</v>
      </c>
      <c r="B329" s="27" t="inlineStr">
        <is>
          <t>Tshepo Ngcobo</t>
        </is>
      </c>
      <c r="C329" s="27" t="inlineStr">
        <is>
          <t>+27472932062</t>
        </is>
      </c>
      <c r="D329" s="27" t="inlineStr">
        <is>
          <t>KwaZulu-Natal</t>
        </is>
      </c>
      <c r="E329" s="27" t="inlineStr">
        <is>
          <t>Richards Bay</t>
        </is>
      </c>
      <c r="F329" s="41" t="n">
        <v>45307</v>
      </c>
      <c r="G329" s="27" t="inlineStr">
        <is>
          <t>Frequent</t>
        </is>
      </c>
      <c r="H329" s="27">
        <f>TRUE()</f>
        <v/>
      </c>
    </row>
    <row r="330" ht="15" customHeight="1" s="24">
      <c r="A330" s="27" t="n">
        <v>341471</v>
      </c>
      <c r="B330" s="27" t="inlineStr">
        <is>
          <t>Tshepo Zulu</t>
        </is>
      </c>
      <c r="C330" s="27" t="inlineStr">
        <is>
          <t>+27472916757</t>
        </is>
      </c>
      <c r="D330" s="27" t="inlineStr">
        <is>
          <t>North West</t>
        </is>
      </c>
      <c r="E330" s="27" t="inlineStr">
        <is>
          <t>Potchefstroom</t>
        </is>
      </c>
      <c r="F330" s="41" t="n">
        <v>44874</v>
      </c>
      <c r="G330" s="27" t="inlineStr">
        <is>
          <t>Occasional</t>
        </is>
      </c>
      <c r="H330" s="27">
        <f>TRUE()</f>
        <v/>
      </c>
    </row>
    <row r="331" ht="15" customHeight="1" s="24">
      <c r="A331" s="27" t="n">
        <v>186433</v>
      </c>
      <c r="B331" s="27" t="inlineStr">
        <is>
          <t>Werner Mahlangu</t>
        </is>
      </c>
      <c r="C331" s="27" t="inlineStr">
        <is>
          <t>+27475356121</t>
        </is>
      </c>
      <c r="D331" s="27" t="inlineStr">
        <is>
          <t>North West</t>
        </is>
      </c>
      <c r="E331" s="27" t="inlineStr">
        <is>
          <t>Rustenburg</t>
        </is>
      </c>
      <c r="F331" s="41" t="n">
        <v>44312</v>
      </c>
      <c r="G331" s="27" t="inlineStr">
        <is>
          <t>Regular</t>
        </is>
      </c>
      <c r="H331" s="27">
        <f>FALSE()</f>
        <v/>
      </c>
    </row>
    <row r="332" ht="15" customHeight="1" s="24">
      <c r="A332" s="27" t="n">
        <v>173452</v>
      </c>
      <c r="B332" s="27" t="inlineStr">
        <is>
          <t>Kagiso Petersen</t>
        </is>
      </c>
      <c r="C332" s="27" t="inlineStr">
        <is>
          <t>+27477884155</t>
        </is>
      </c>
      <c r="D332" s="27" t="inlineStr">
        <is>
          <t>Limpopo</t>
        </is>
      </c>
      <c r="E332" s="27" t="inlineStr">
        <is>
          <t>Thohoyandou</t>
        </is>
      </c>
      <c r="F332" s="41" t="n">
        <v>46069</v>
      </c>
      <c r="G332" s="27" t="inlineStr">
        <is>
          <t>Dormant</t>
        </is>
      </c>
      <c r="H332" s="27">
        <f>TRUE()</f>
        <v/>
      </c>
    </row>
    <row r="333" ht="15" customHeight="1" s="24">
      <c r="A333" s="27" t="n">
        <v>109837</v>
      </c>
      <c r="B333" s="27" t="inlineStr">
        <is>
          <t>Fatima Fourie</t>
        </is>
      </c>
      <c r="C333" s="27" t="inlineStr">
        <is>
          <t>+27472988532</t>
        </is>
      </c>
      <c r="D333" s="27" t="inlineStr">
        <is>
          <t>Gauteng</t>
        </is>
      </c>
      <c r="E333" s="27" t="inlineStr">
        <is>
          <t>Soweto</t>
        </is>
      </c>
      <c r="F333" s="41" t="n">
        <v>45273</v>
      </c>
      <c r="G333" s="27" t="inlineStr">
        <is>
          <t>Dormant</t>
        </is>
      </c>
      <c r="H333" s="27">
        <f>TRUE()</f>
        <v/>
      </c>
    </row>
    <row r="334" ht="15" customHeight="1" s="24">
      <c r="A334" s="27" t="n">
        <v>308243</v>
      </c>
      <c r="B334" s="27" t="inlineStr">
        <is>
          <t>Nomvula Steyn</t>
        </is>
      </c>
      <c r="C334" s="27" t="inlineStr">
        <is>
          <t>+27479296103</t>
        </is>
      </c>
      <c r="D334" s="27" t="inlineStr">
        <is>
          <t>Limpopo</t>
        </is>
      </c>
      <c r="E334" s="27" t="inlineStr">
        <is>
          <t>Polokwane</t>
        </is>
      </c>
      <c r="F334" s="41" t="n">
        <v>44343</v>
      </c>
      <c r="G334" s="27" t="inlineStr">
        <is>
          <t>Dormant</t>
        </is>
      </c>
      <c r="H334" s="27">
        <f>TRUE()</f>
        <v/>
      </c>
    </row>
    <row r="335" ht="15" customHeight="1" s="24">
      <c r="A335" s="27" t="n">
        <v>59414</v>
      </c>
      <c r="B335" s="27" t="inlineStr">
        <is>
          <t>Riaan Adams</t>
        </is>
      </c>
      <c r="C335" s="27" t="inlineStr">
        <is>
          <t>+27472459317</t>
        </is>
      </c>
      <c r="D335" s="27" t="inlineStr">
        <is>
          <t>KwaZulu-Natal</t>
        </is>
      </c>
      <c r="E335" s="27" t="inlineStr">
        <is>
          <t>Richards Bay</t>
        </is>
      </c>
      <c r="F335" s="41" t="n">
        <v>44718</v>
      </c>
      <c r="G335" s="27" t="inlineStr">
        <is>
          <t>Occasional</t>
        </is>
      </c>
      <c r="H335" s="27">
        <f>TRUE()</f>
        <v/>
      </c>
    </row>
    <row r="336" ht="15" customHeight="1" s="24">
      <c r="A336" s="27" t="n">
        <v>208447</v>
      </c>
      <c r="B336" s="27" t="inlineStr">
        <is>
          <t>Khanyi Mahlangu</t>
        </is>
      </c>
      <c r="C336" s="27" t="inlineStr">
        <is>
          <t>+27477219590</t>
        </is>
      </c>
      <c r="D336" s="27" t="inlineStr">
        <is>
          <t>Western Cape</t>
        </is>
      </c>
      <c r="E336" s="27" t="inlineStr">
        <is>
          <t>Stellenbosch</t>
        </is>
      </c>
      <c r="F336" s="41" t="n">
        <v>44898</v>
      </c>
      <c r="G336" s="27" t="inlineStr">
        <is>
          <t>Regular</t>
        </is>
      </c>
      <c r="H336" s="27">
        <f>FALSE()</f>
        <v/>
      </c>
    </row>
    <row r="337" ht="15" customHeight="1" s="24">
      <c r="A337" s="27" t="n">
        <v>14369</v>
      </c>
      <c r="B337" s="27" t="inlineStr">
        <is>
          <t>Chloe Petersen</t>
        </is>
      </c>
      <c r="C337" s="27" t="inlineStr">
        <is>
          <t>+27471147142</t>
        </is>
      </c>
      <c r="D337" s="27" t="inlineStr">
        <is>
          <t>Mpumalanga</t>
        </is>
      </c>
      <c r="E337" s="27" t="inlineStr">
        <is>
          <t>Secunda</t>
        </is>
      </c>
      <c r="F337" s="41" t="n">
        <v>45598</v>
      </c>
      <c r="G337" s="27" t="inlineStr">
        <is>
          <t>Dormant</t>
        </is>
      </c>
      <c r="H337" s="27">
        <f>FALSE()</f>
        <v/>
      </c>
    </row>
    <row r="338" ht="15" customHeight="1" s="24">
      <c r="A338" s="27" t="n">
        <v>181534</v>
      </c>
      <c r="B338" s="27" t="inlineStr">
        <is>
          <t>Sarah Ngcobo</t>
        </is>
      </c>
      <c r="C338" s="27" t="inlineStr">
        <is>
          <t>+27472813678</t>
        </is>
      </c>
      <c r="D338" s="27" t="inlineStr">
        <is>
          <t>Mpumalanga</t>
        </is>
      </c>
      <c r="E338" s="27" t="inlineStr">
        <is>
          <t>Secunda</t>
        </is>
      </c>
      <c r="F338" s="41" t="n">
        <v>44547</v>
      </c>
      <c r="G338" s="27" t="inlineStr">
        <is>
          <t>Dormant</t>
        </is>
      </c>
      <c r="H338" s="27">
        <f>TRUE()</f>
        <v/>
      </c>
    </row>
    <row r="339" ht="15" customHeight="1" s="24">
      <c r="A339" s="27" t="n">
        <v>91175</v>
      </c>
      <c r="B339" s="27" t="inlineStr">
        <is>
          <t>Werner Petersen</t>
        </is>
      </c>
      <c r="C339" s="27" t="inlineStr">
        <is>
          <t>+27473415563</t>
        </is>
      </c>
      <c r="D339" s="27" t="inlineStr">
        <is>
          <t>Northern Cape</t>
        </is>
      </c>
      <c r="E339" s="27" t="inlineStr">
        <is>
          <t>Springbok</t>
        </is>
      </c>
      <c r="F339" s="41" t="n">
        <v>45957</v>
      </c>
      <c r="G339" s="27" t="inlineStr">
        <is>
          <t>Occasional</t>
        </is>
      </c>
      <c r="H339" s="27">
        <f>TRUE()</f>
        <v/>
      </c>
    </row>
    <row r="340" ht="15" customHeight="1" s="24">
      <c r="A340" s="27" t="n">
        <v>388092</v>
      </c>
      <c r="B340" s="27" t="inlineStr">
        <is>
          <t>Refilwe Maluleke</t>
        </is>
      </c>
      <c r="C340" s="27" t="inlineStr">
        <is>
          <t>+27472735518</t>
        </is>
      </c>
      <c r="D340" s="27" t="inlineStr">
        <is>
          <t>Gauteng</t>
        </is>
      </c>
      <c r="E340" s="27" t="inlineStr">
        <is>
          <t>Centurion</t>
        </is>
      </c>
      <c r="F340" s="41" t="n">
        <v>44366</v>
      </c>
      <c r="G340" s="27" t="inlineStr">
        <is>
          <t>Frequent</t>
        </is>
      </c>
      <c r="H340" s="27">
        <f>TRUE()</f>
        <v/>
      </c>
    </row>
    <row r="341" ht="15" customHeight="1" s="24">
      <c r="A341" s="27" t="n">
        <v>231866</v>
      </c>
      <c r="B341" s="27" t="inlineStr">
        <is>
          <t>Megan Sithole</t>
        </is>
      </c>
      <c r="C341" s="27" t="inlineStr">
        <is>
          <t>+27475046164</t>
        </is>
      </c>
      <c r="D341" s="27" t="inlineStr">
        <is>
          <t>KwaZulu-Natal</t>
        </is>
      </c>
      <c r="E341" s="27" t="inlineStr">
        <is>
          <t>Newcastle</t>
        </is>
      </c>
      <c r="F341" s="41" t="n">
        <v>44605</v>
      </c>
      <c r="G341" s="27" t="inlineStr">
        <is>
          <t>Dormant</t>
        </is>
      </c>
      <c r="H341" s="27">
        <f>TRUE()</f>
        <v/>
      </c>
    </row>
    <row r="342" ht="15" customHeight="1" s="24">
      <c r="A342" s="27" t="n">
        <v>237874</v>
      </c>
      <c r="B342" s="27" t="inlineStr">
        <is>
          <t>Riaan Nkosi</t>
        </is>
      </c>
      <c r="C342" s="27" t="inlineStr">
        <is>
          <t>+27473180195</t>
        </is>
      </c>
      <c r="D342" s="27" t="inlineStr">
        <is>
          <t>Eastern Cape</t>
        </is>
      </c>
      <c r="E342" s="27" t="inlineStr">
        <is>
          <t>Mthatha</t>
        </is>
      </c>
      <c r="F342" s="41" t="n">
        <v>45334</v>
      </c>
      <c r="G342" s="27" t="inlineStr">
        <is>
          <t>Regular</t>
        </is>
      </c>
      <c r="H342" s="27">
        <f>TRUE()</f>
        <v/>
      </c>
    </row>
    <row r="343" ht="15" customHeight="1" s="24">
      <c r="A343" s="27" t="n">
        <v>305509</v>
      </c>
      <c r="B343" s="27" t="inlineStr">
        <is>
          <t>Naledi Mahlangu</t>
        </is>
      </c>
      <c r="C343" s="27" t="inlineStr">
        <is>
          <t>+27475069398</t>
        </is>
      </c>
      <c r="D343" s="27" t="inlineStr">
        <is>
          <t>KwaZulu-Natal</t>
        </is>
      </c>
      <c r="E343" s="27" t="inlineStr">
        <is>
          <t>Pietermaritzburg</t>
        </is>
      </c>
      <c r="F343" s="41" t="n">
        <v>45095</v>
      </c>
      <c r="G343" s="27" t="inlineStr">
        <is>
          <t>Dormant</t>
        </is>
      </c>
      <c r="H343" s="27">
        <f>TRUE()</f>
        <v/>
      </c>
    </row>
    <row r="344" ht="15" customHeight="1" s="24">
      <c r="A344" s="27" t="n">
        <v>254777</v>
      </c>
      <c r="B344" s="27" t="inlineStr">
        <is>
          <t>Pieter Fourie</t>
        </is>
      </c>
      <c r="C344" s="27" t="inlineStr">
        <is>
          <t>+27479169470</t>
        </is>
      </c>
      <c r="D344" s="27" t="inlineStr">
        <is>
          <t>Free State</t>
        </is>
      </c>
      <c r="E344" s="27" t="inlineStr">
        <is>
          <t>Kroonstad</t>
        </is>
      </c>
      <c r="F344" s="41" t="n">
        <v>45557</v>
      </c>
      <c r="G344" s="27" t="inlineStr">
        <is>
          <t>Occasional</t>
        </is>
      </c>
      <c r="H344" s="27">
        <f>TRUE()</f>
        <v/>
      </c>
    </row>
    <row r="345" ht="15" customHeight="1" s="24">
      <c r="A345" s="27" t="n">
        <v>108500</v>
      </c>
      <c r="B345" s="27" t="inlineStr">
        <is>
          <t>Sipho Molefe</t>
        </is>
      </c>
      <c r="C345" s="27" t="inlineStr">
        <is>
          <t>+27472548953</t>
        </is>
      </c>
      <c r="D345" s="27" t="inlineStr">
        <is>
          <t>Eastern Cape</t>
        </is>
      </c>
      <c r="E345" s="27" t="inlineStr">
        <is>
          <t>Uitenhage</t>
        </is>
      </c>
      <c r="F345" s="41" t="n">
        <v>44663</v>
      </c>
      <c r="G345" s="27" t="inlineStr">
        <is>
          <t>Occasional</t>
        </is>
      </c>
      <c r="H345" s="27">
        <f>FALSE()</f>
        <v/>
      </c>
    </row>
    <row r="346" ht="15" customHeight="1" s="24">
      <c r="A346" s="27" t="n">
        <v>313357</v>
      </c>
      <c r="B346" s="27" t="inlineStr">
        <is>
          <t>Zanele van der Merwe</t>
        </is>
      </c>
      <c r="C346" s="27" t="inlineStr">
        <is>
          <t>+27473098790</t>
        </is>
      </c>
      <c r="D346" s="27" t="inlineStr">
        <is>
          <t>Gauteng</t>
        </is>
      </c>
      <c r="E346" s="27" t="inlineStr">
        <is>
          <t>Pretoria</t>
        </is>
      </c>
      <c r="F346" s="41" t="n">
        <v>45461</v>
      </c>
      <c r="G346" s="27" t="inlineStr">
        <is>
          <t>Dormant</t>
        </is>
      </c>
      <c r="H346" s="27">
        <f>TRUE()</f>
        <v/>
      </c>
    </row>
    <row r="347" ht="15" customHeight="1" s="24">
      <c r="A347" s="27" t="n">
        <v>317878</v>
      </c>
      <c r="B347" s="27" t="inlineStr">
        <is>
          <t>Khanyi Sithole</t>
        </is>
      </c>
      <c r="C347" s="27" t="inlineStr">
        <is>
          <t>+27471073361</t>
        </is>
      </c>
      <c r="D347" s="27" t="inlineStr">
        <is>
          <t>Mpumalanga</t>
        </is>
      </c>
      <c r="E347" s="27" t="inlineStr">
        <is>
          <t>Witbank</t>
        </is>
      </c>
      <c r="F347" s="41" t="n">
        <v>46156</v>
      </c>
      <c r="G347" s="27" t="inlineStr">
        <is>
          <t>Dormant</t>
        </is>
      </c>
      <c r="H347" s="27">
        <f>TRUE()</f>
        <v/>
      </c>
    </row>
    <row r="348" ht="15" customHeight="1" s="24">
      <c r="A348" s="27" t="n">
        <v>314407</v>
      </c>
      <c r="B348" s="27" t="inlineStr">
        <is>
          <t>Lwazi Pretorius</t>
        </is>
      </c>
      <c r="C348" s="27" t="inlineStr">
        <is>
          <t>+27476263576</t>
        </is>
      </c>
      <c r="D348" s="27" t="inlineStr">
        <is>
          <t>Gauteng</t>
        </is>
      </c>
      <c r="E348" s="27" t="inlineStr">
        <is>
          <t>Roodepoort</t>
        </is>
      </c>
      <c r="F348" s="41" t="n">
        <v>45723</v>
      </c>
      <c r="G348" s="27" t="inlineStr">
        <is>
          <t>Occasional</t>
        </is>
      </c>
      <c r="H348" s="27">
        <f>TRUE()</f>
        <v/>
      </c>
    </row>
    <row r="349" ht="15" customHeight="1" s="24">
      <c r="A349" s="27" t="n">
        <v>348637</v>
      </c>
      <c r="B349" s="27" t="inlineStr">
        <is>
          <t>Bongani Venter</t>
        </is>
      </c>
      <c r="C349" s="27" t="inlineStr">
        <is>
          <t>+27477636829</t>
        </is>
      </c>
      <c r="D349" s="27" t="inlineStr">
        <is>
          <t>Gauteng</t>
        </is>
      </c>
      <c r="E349" s="27" t="inlineStr">
        <is>
          <t>Johannesburg</t>
        </is>
      </c>
      <c r="F349" s="41" t="n">
        <v>45351</v>
      </c>
      <c r="G349" s="27" t="inlineStr">
        <is>
          <t>Dormant</t>
        </is>
      </c>
      <c r="H349" s="27">
        <f>TRUE()</f>
        <v/>
      </c>
    </row>
    <row r="350" ht="15" customHeight="1" s="24">
      <c r="A350" s="27" t="n">
        <v>297183</v>
      </c>
      <c r="B350" s="27" t="inlineStr">
        <is>
          <t>Nomvula Mabaso</t>
        </is>
      </c>
      <c r="C350" s="27" t="inlineStr">
        <is>
          <t>+27471551549</t>
        </is>
      </c>
      <c r="D350" s="27" t="inlineStr">
        <is>
          <t>North West</t>
        </is>
      </c>
      <c r="E350" s="27" t="inlineStr">
        <is>
          <t>Mahikeng</t>
        </is>
      </c>
      <c r="F350" s="41" t="n">
        <v>44465</v>
      </c>
      <c r="G350" s="27" t="inlineStr">
        <is>
          <t>Regular</t>
        </is>
      </c>
      <c r="H350" s="27">
        <f>TRUE()</f>
        <v/>
      </c>
    </row>
    <row r="351" ht="15" customHeight="1" s="24">
      <c r="A351" s="27" t="n">
        <v>12015</v>
      </c>
      <c r="B351" s="27" t="inlineStr">
        <is>
          <t>Daniel Botha</t>
        </is>
      </c>
      <c r="C351" s="27" t="inlineStr">
        <is>
          <t>+27477361821</t>
        </is>
      </c>
      <c r="D351" s="27" t="inlineStr">
        <is>
          <t>Limpopo</t>
        </is>
      </c>
      <c r="E351" s="27" t="inlineStr">
        <is>
          <t>Thohoyandou</t>
        </is>
      </c>
      <c r="F351" s="41" t="n">
        <v>45268</v>
      </c>
      <c r="G351" s="27" t="inlineStr">
        <is>
          <t>Occasional</t>
        </is>
      </c>
      <c r="H351" s="27">
        <f>TRUE()</f>
        <v/>
      </c>
    </row>
    <row r="352" ht="15" customHeight="1" s="24">
      <c r="A352" s="27" t="n">
        <v>206745</v>
      </c>
      <c r="B352" s="27" t="inlineStr">
        <is>
          <t>Naledi Jacobs</t>
        </is>
      </c>
      <c r="C352" s="27" t="inlineStr">
        <is>
          <t>+27477222791</t>
        </is>
      </c>
      <c r="D352" s="27" t="inlineStr">
        <is>
          <t>KwaZulu-Natal</t>
        </is>
      </c>
      <c r="E352" s="27" t="inlineStr">
        <is>
          <t>Pinetown</t>
        </is>
      </c>
      <c r="F352" s="41" t="n">
        <v>45571</v>
      </c>
      <c r="G352" s="27" t="inlineStr">
        <is>
          <t>Frequent</t>
        </is>
      </c>
      <c r="H352" s="27">
        <f>TRUE()</f>
        <v/>
      </c>
    </row>
    <row r="353" ht="15" customHeight="1" s="24">
      <c r="A353" s="27" t="n">
        <v>181071</v>
      </c>
      <c r="B353" s="27" t="inlineStr">
        <is>
          <t>Johan van der Merwe</t>
        </is>
      </c>
      <c r="C353" s="27" t="inlineStr">
        <is>
          <t>+27474151078</t>
        </is>
      </c>
      <c r="D353" s="27" t="inlineStr">
        <is>
          <t>Gauteng</t>
        </is>
      </c>
      <c r="E353" s="27" t="inlineStr">
        <is>
          <t>Pretoria</t>
        </is>
      </c>
      <c r="F353" s="41" t="n">
        <v>44368</v>
      </c>
      <c r="G353" s="27" t="inlineStr">
        <is>
          <t>Occasional</t>
        </is>
      </c>
      <c r="H353" s="27">
        <f>TRUE()</f>
        <v/>
      </c>
    </row>
    <row r="354" ht="15" customHeight="1" s="24">
      <c r="A354" s="27" t="n">
        <v>286354</v>
      </c>
      <c r="B354" s="27" t="inlineStr">
        <is>
          <t>Lwazi Tshabalala</t>
        </is>
      </c>
      <c r="C354" s="27" t="inlineStr">
        <is>
          <t>+27471373898</t>
        </is>
      </c>
      <c r="D354" s="27" t="inlineStr">
        <is>
          <t>Gauteng</t>
        </is>
      </c>
      <c r="E354" s="27" t="inlineStr">
        <is>
          <t>Soweto</t>
        </is>
      </c>
      <c r="F354" s="41" t="n">
        <v>45652</v>
      </c>
      <c r="G354" s="27" t="inlineStr">
        <is>
          <t>Dormant</t>
        </is>
      </c>
      <c r="H354" s="27">
        <f>TRUE()</f>
        <v/>
      </c>
    </row>
    <row r="355" ht="15" customHeight="1" s="24">
      <c r="A355" s="27" t="n">
        <v>226680</v>
      </c>
      <c r="B355" s="27" t="inlineStr">
        <is>
          <t>Liam Tshabalala</t>
        </is>
      </c>
      <c r="C355" s="27" t="inlineStr">
        <is>
          <t>+27473734861</t>
        </is>
      </c>
      <c r="D355" s="27" t="inlineStr">
        <is>
          <t>Limpopo</t>
        </is>
      </c>
      <c r="E355" s="27" t="inlineStr">
        <is>
          <t>Polokwane</t>
        </is>
      </c>
      <c r="F355" s="41" t="n">
        <v>45639</v>
      </c>
      <c r="G355" s="27" t="inlineStr">
        <is>
          <t>Regular</t>
        </is>
      </c>
      <c r="H355" s="27">
        <f>TRUE()</f>
        <v/>
      </c>
    </row>
    <row r="356" ht="15" customHeight="1" s="24">
      <c r="A356" s="27" t="n">
        <v>237424</v>
      </c>
      <c r="B356" s="27" t="inlineStr">
        <is>
          <t>Khanyi Mthembu</t>
        </is>
      </c>
      <c r="C356" s="27" t="inlineStr">
        <is>
          <t>+27479669685</t>
        </is>
      </c>
      <c r="D356" s="27" t="inlineStr">
        <is>
          <t>KwaZulu-Natal</t>
        </is>
      </c>
      <c r="E356" s="27" t="inlineStr">
        <is>
          <t>Durban</t>
        </is>
      </c>
      <c r="F356" s="41" t="n">
        <v>45844</v>
      </c>
      <c r="G356" s="27" t="inlineStr">
        <is>
          <t>Occasional</t>
        </is>
      </c>
      <c r="H356" s="27">
        <f>TRUE()</f>
        <v/>
      </c>
    </row>
    <row r="357" ht="15" customHeight="1" s="24">
      <c r="A357" s="27" t="n">
        <v>176988</v>
      </c>
      <c r="B357" s="27" t="inlineStr">
        <is>
          <t>Refilwe Maluleke</t>
        </is>
      </c>
      <c r="C357" s="27" t="inlineStr">
        <is>
          <t>+27478187936</t>
        </is>
      </c>
      <c r="D357" s="27" t="inlineStr">
        <is>
          <t>Limpopo</t>
        </is>
      </c>
      <c r="E357" s="27" t="inlineStr">
        <is>
          <t>Mokopane</t>
        </is>
      </c>
      <c r="F357" s="41" t="n">
        <v>45401</v>
      </c>
      <c r="G357" s="27" t="inlineStr">
        <is>
          <t>Regular</t>
        </is>
      </c>
      <c r="H357" s="27">
        <f>TRUE()</f>
        <v/>
      </c>
    </row>
    <row r="358" ht="15" customHeight="1" s="24">
      <c r="A358" s="27" t="n">
        <v>14467</v>
      </c>
      <c r="B358" s="27" t="inlineStr">
        <is>
          <t>Anika Botha</t>
        </is>
      </c>
      <c r="C358" s="27" t="inlineStr">
        <is>
          <t>+27473811691</t>
        </is>
      </c>
      <c r="D358" s="27" t="inlineStr">
        <is>
          <t>Free State</t>
        </is>
      </c>
      <c r="E358" s="27" t="inlineStr">
        <is>
          <t>Bethlehem</t>
        </is>
      </c>
      <c r="F358" s="41" t="n">
        <v>44404</v>
      </c>
      <c r="G358" s="27" t="inlineStr">
        <is>
          <t>Occasional</t>
        </is>
      </c>
      <c r="H358" s="27">
        <f>TRUE()</f>
        <v/>
      </c>
    </row>
    <row r="359" ht="15" customHeight="1" s="24">
      <c r="A359" s="27" t="n">
        <v>366014</v>
      </c>
      <c r="B359" s="27" t="inlineStr">
        <is>
          <t>Megan Mahlangu</t>
        </is>
      </c>
      <c r="C359" s="27" t="inlineStr">
        <is>
          <t>+27477884957</t>
        </is>
      </c>
      <c r="D359" s="27" t="inlineStr">
        <is>
          <t>KwaZulu-Natal</t>
        </is>
      </c>
      <c r="E359" s="27" t="inlineStr">
        <is>
          <t>Pinetown</t>
        </is>
      </c>
      <c r="F359" s="41" t="n">
        <v>44947</v>
      </c>
      <c r="G359" s="27" t="inlineStr">
        <is>
          <t>Regular</t>
        </is>
      </c>
      <c r="H359" s="27">
        <f>TRUE()</f>
        <v/>
      </c>
    </row>
    <row r="360" ht="15" customHeight="1" s="24">
      <c r="A360" s="27" t="n">
        <v>26806</v>
      </c>
      <c r="B360" s="27" t="inlineStr">
        <is>
          <t>Werner Petersen</t>
        </is>
      </c>
      <c r="C360" s="27" t="inlineStr">
        <is>
          <t>+27471819840</t>
        </is>
      </c>
      <c r="D360" s="27" t="inlineStr">
        <is>
          <t>KwaZulu-Natal</t>
        </is>
      </c>
      <c r="E360" s="27" t="inlineStr">
        <is>
          <t>Pietermaritzburg</t>
        </is>
      </c>
      <c r="F360" s="41" t="n">
        <v>45756</v>
      </c>
      <c r="G360" s="27" t="inlineStr">
        <is>
          <t>Dormant</t>
        </is>
      </c>
      <c r="H360" s="27">
        <f>TRUE()</f>
        <v/>
      </c>
    </row>
    <row r="361" ht="15" customHeight="1" s="24">
      <c r="A361" s="27" t="n">
        <v>211397</v>
      </c>
      <c r="B361" s="27" t="inlineStr">
        <is>
          <t>Pieter Smith</t>
        </is>
      </c>
      <c r="C361" s="27" t="inlineStr">
        <is>
          <t>+27477982893</t>
        </is>
      </c>
      <c r="D361" s="27" t="inlineStr">
        <is>
          <t>Mpumalanga</t>
        </is>
      </c>
      <c r="E361" s="27" t="inlineStr">
        <is>
          <t>Secunda</t>
        </is>
      </c>
      <c r="F361" s="41" t="n">
        <v>45677</v>
      </c>
      <c r="G361" s="27" t="inlineStr">
        <is>
          <t>Regular</t>
        </is>
      </c>
      <c r="H361" s="27">
        <f>TRUE()</f>
        <v/>
      </c>
    </row>
    <row r="362" ht="15" customHeight="1" s="24">
      <c r="A362" s="27" t="n">
        <v>390746</v>
      </c>
      <c r="B362" s="27" t="inlineStr">
        <is>
          <t>Nomvula Sithole</t>
        </is>
      </c>
      <c r="C362" s="27" t="inlineStr">
        <is>
          <t>+27476738654</t>
        </is>
      </c>
      <c r="D362" s="27" t="inlineStr">
        <is>
          <t>Gauteng</t>
        </is>
      </c>
      <c r="E362" s="27" t="inlineStr">
        <is>
          <t>Soweto</t>
        </is>
      </c>
      <c r="F362" s="41" t="n">
        <v>44849</v>
      </c>
      <c r="G362" s="27" t="inlineStr">
        <is>
          <t>Dormant</t>
        </is>
      </c>
      <c r="H362" s="27">
        <f>TRUE()</f>
        <v/>
      </c>
    </row>
    <row r="363" ht="15" customHeight="1" s="24">
      <c r="A363" s="27" t="n">
        <v>347916</v>
      </c>
      <c r="B363" s="27" t="inlineStr">
        <is>
          <t>Refilwe Maluleke</t>
        </is>
      </c>
      <c r="C363" s="27" t="inlineStr">
        <is>
          <t>+27477475018</t>
        </is>
      </c>
      <c r="D363" s="27" t="inlineStr">
        <is>
          <t>Limpopo</t>
        </is>
      </c>
      <c r="E363" s="27" t="inlineStr">
        <is>
          <t>Thohoyandou</t>
        </is>
      </c>
      <c r="F363" s="41" t="n">
        <v>45343</v>
      </c>
      <c r="G363" s="27" t="inlineStr">
        <is>
          <t>Occasional</t>
        </is>
      </c>
      <c r="H363" s="27">
        <f>FALSE()</f>
        <v/>
      </c>
    </row>
    <row r="364" ht="15" customHeight="1" s="24">
      <c r="A364" s="27" t="n">
        <v>375523</v>
      </c>
      <c r="B364" s="27" t="inlineStr">
        <is>
          <t>Sarah Fourie</t>
        </is>
      </c>
      <c r="C364" s="27" t="inlineStr">
        <is>
          <t>+27477659884</t>
        </is>
      </c>
      <c r="D364" s="27" t="inlineStr">
        <is>
          <t>Gauteng</t>
        </is>
      </c>
      <c r="E364" s="27" t="inlineStr">
        <is>
          <t>Centurion</t>
        </is>
      </c>
      <c r="F364" s="41" t="n">
        <v>44752</v>
      </c>
      <c r="G364" s="27" t="inlineStr">
        <is>
          <t>Dormant</t>
        </is>
      </c>
      <c r="H364" s="27">
        <f>TRUE()</f>
        <v/>
      </c>
    </row>
    <row r="365" ht="15" customHeight="1" s="24">
      <c r="A365" s="27" t="n">
        <v>387896</v>
      </c>
      <c r="B365" s="27" t="inlineStr">
        <is>
          <t>Liam Molefe</t>
        </is>
      </c>
      <c r="C365" s="27" t="inlineStr">
        <is>
          <t>+27479887586</t>
        </is>
      </c>
      <c r="D365" s="27" t="inlineStr">
        <is>
          <t>Western Cape</t>
        </is>
      </c>
      <c r="E365" s="27" t="inlineStr">
        <is>
          <t>Paarl</t>
        </is>
      </c>
      <c r="F365" s="41" t="n">
        <v>44577</v>
      </c>
      <c r="G365" s="27" t="inlineStr">
        <is>
          <t>Dormant</t>
        </is>
      </c>
      <c r="H365" s="27">
        <f>TRUE()</f>
        <v/>
      </c>
    </row>
    <row r="366" ht="15" customHeight="1" s="24">
      <c r="A366" s="27" t="n">
        <v>6553</v>
      </c>
      <c r="B366" s="27" t="inlineStr">
        <is>
          <t>Nomvula Steyn</t>
        </is>
      </c>
      <c r="C366" s="27" t="inlineStr">
        <is>
          <t>+27474600189</t>
        </is>
      </c>
      <c r="D366" s="27" t="inlineStr">
        <is>
          <t>Gauteng</t>
        </is>
      </c>
      <c r="E366" s="27" t="inlineStr">
        <is>
          <t>Centurion</t>
        </is>
      </c>
      <c r="F366" s="41" t="n">
        <v>44246</v>
      </c>
      <c r="G366" s="27" t="inlineStr">
        <is>
          <t>Dormant</t>
        </is>
      </c>
      <c r="H366" s="27">
        <f>FALSE()</f>
        <v/>
      </c>
    </row>
    <row r="367" ht="15" customHeight="1" s="24">
      <c r="A367" s="27" t="n">
        <v>237933</v>
      </c>
      <c r="B367" s="27" t="inlineStr">
        <is>
          <t>Precious Venter</t>
        </is>
      </c>
      <c r="C367" s="27" t="inlineStr">
        <is>
          <t>+27475468247</t>
        </is>
      </c>
      <c r="D367" s="27" t="inlineStr">
        <is>
          <t>Gauteng</t>
        </is>
      </c>
      <c r="E367" s="27" t="inlineStr">
        <is>
          <t>Roodepoort</t>
        </is>
      </c>
      <c r="F367" s="41" t="n">
        <v>44232</v>
      </c>
      <c r="G367" s="27" t="inlineStr">
        <is>
          <t>Occasional</t>
        </is>
      </c>
      <c r="H367" s="27">
        <f>TRUE()</f>
        <v/>
      </c>
    </row>
    <row r="368" ht="15" customHeight="1" s="24">
      <c r="A368" s="27" t="n">
        <v>140058</v>
      </c>
      <c r="B368" s="27" t="inlineStr">
        <is>
          <t>Werner Khumalo</t>
        </is>
      </c>
      <c r="C368" s="27" t="inlineStr">
        <is>
          <t>+27477378936</t>
        </is>
      </c>
      <c r="D368" s="27" t="inlineStr">
        <is>
          <t>Eastern Cape</t>
        </is>
      </c>
      <c r="E368" s="27" t="inlineStr">
        <is>
          <t>East London</t>
        </is>
      </c>
      <c r="F368" s="41" t="n">
        <v>44690</v>
      </c>
      <c r="G368" s="27" t="inlineStr">
        <is>
          <t>Occasional</t>
        </is>
      </c>
      <c r="H368" s="27">
        <f>TRUE()</f>
        <v/>
      </c>
    </row>
    <row r="369" ht="15" customHeight="1" s="24">
      <c r="A369" s="27" t="n">
        <v>93770</v>
      </c>
      <c r="B369" s="27" t="inlineStr">
        <is>
          <t>Ayanda Mabaso</t>
        </is>
      </c>
      <c r="C369" s="27" t="inlineStr">
        <is>
          <t>+27478077991</t>
        </is>
      </c>
      <c r="D369" s="27" t="inlineStr">
        <is>
          <t>Limpopo</t>
        </is>
      </c>
      <c r="E369" s="27" t="inlineStr">
        <is>
          <t>Polokwane</t>
        </is>
      </c>
      <c r="F369" s="41" t="n">
        <v>45985</v>
      </c>
      <c r="G369" s="27" t="inlineStr">
        <is>
          <t>Dormant</t>
        </is>
      </c>
      <c r="H369" s="27">
        <f>FALSE()</f>
        <v/>
      </c>
    </row>
    <row r="370" ht="15" customHeight="1" s="24">
      <c r="A370" s="27" t="n">
        <v>364208</v>
      </c>
      <c r="B370" s="27" t="inlineStr">
        <is>
          <t>Aisha Daniels</t>
        </is>
      </c>
      <c r="C370" s="27" t="inlineStr">
        <is>
          <t>+27473467019</t>
        </is>
      </c>
      <c r="D370" s="27" t="inlineStr">
        <is>
          <t>Mpumalanga</t>
        </is>
      </c>
      <c r="E370" s="27" t="inlineStr">
        <is>
          <t>Witbank</t>
        </is>
      </c>
      <c r="F370" s="41" t="n">
        <v>45107</v>
      </c>
      <c r="G370" s="27" t="inlineStr">
        <is>
          <t>Frequent</t>
        </is>
      </c>
      <c r="H370" s="27">
        <f>TRUE()</f>
        <v/>
      </c>
    </row>
    <row r="371" ht="15" customHeight="1" s="24">
      <c r="A371" s="27" t="n">
        <v>310606</v>
      </c>
      <c r="B371" s="27" t="inlineStr">
        <is>
          <t>Sarah Mabaso</t>
        </is>
      </c>
      <c r="C371" s="27" t="inlineStr">
        <is>
          <t>+27475473971</t>
        </is>
      </c>
      <c r="D371" s="27" t="inlineStr">
        <is>
          <t>Western Cape</t>
        </is>
      </c>
      <c r="E371" s="27" t="inlineStr">
        <is>
          <t>Table View</t>
        </is>
      </c>
      <c r="F371" s="41" t="n">
        <v>46175</v>
      </c>
      <c r="G371" s="27" t="inlineStr">
        <is>
          <t>Frequent</t>
        </is>
      </c>
      <c r="H371" s="27">
        <f>TRUE()</f>
        <v/>
      </c>
    </row>
    <row r="372" ht="15" customHeight="1" s="24">
      <c r="A372" s="27" t="n">
        <v>269305</v>
      </c>
      <c r="B372" s="27" t="inlineStr">
        <is>
          <t>Sarah Smith</t>
        </is>
      </c>
      <c r="C372" s="27" t="inlineStr">
        <is>
          <t>+27476493896</t>
        </is>
      </c>
      <c r="D372" s="27" t="inlineStr">
        <is>
          <t>KwaZulu-Natal</t>
        </is>
      </c>
      <c r="E372" s="27" t="inlineStr">
        <is>
          <t>Umhlanga</t>
        </is>
      </c>
      <c r="F372" s="41" t="n">
        <v>45096</v>
      </c>
      <c r="G372" s="27" t="inlineStr">
        <is>
          <t>Dormant</t>
        </is>
      </c>
      <c r="H372" s="27">
        <f>TRUE()</f>
        <v/>
      </c>
    </row>
    <row r="373" ht="15" customHeight="1" s="24">
      <c r="A373" s="27" t="n">
        <v>232485</v>
      </c>
      <c r="B373" s="27" t="inlineStr">
        <is>
          <t>Sarah Khumalo</t>
        </is>
      </c>
      <c r="C373" s="27" t="inlineStr">
        <is>
          <t>+27473245743</t>
        </is>
      </c>
      <c r="D373" s="27" t="inlineStr">
        <is>
          <t>Western Cape</t>
        </is>
      </c>
      <c r="E373" s="27" t="inlineStr">
        <is>
          <t>Paarl</t>
        </is>
      </c>
      <c r="F373" s="41" t="n">
        <v>45808</v>
      </c>
      <c r="G373" s="27" t="inlineStr">
        <is>
          <t>Regular</t>
        </is>
      </c>
      <c r="H373" s="27">
        <f>FALSE()</f>
        <v/>
      </c>
    </row>
    <row r="374" ht="15" customHeight="1" s="24">
      <c r="A374" s="27" t="n">
        <v>117635</v>
      </c>
      <c r="B374" s="27" t="inlineStr">
        <is>
          <t>Lerato Pretorius</t>
        </is>
      </c>
      <c r="C374" s="27" t="inlineStr">
        <is>
          <t>+27474800570</t>
        </is>
      </c>
      <c r="D374" s="27" t="inlineStr">
        <is>
          <t>KwaZulu-Natal</t>
        </is>
      </c>
      <c r="E374" s="27" t="inlineStr">
        <is>
          <t>Richards Bay</t>
        </is>
      </c>
      <c r="F374" s="41" t="n">
        <v>45427</v>
      </c>
      <c r="G374" s="27" t="inlineStr">
        <is>
          <t>Regular</t>
        </is>
      </c>
      <c r="H374" s="27">
        <f>TRUE()</f>
        <v/>
      </c>
    </row>
    <row r="375" ht="15" customHeight="1" s="24">
      <c r="A375" s="27" t="n">
        <v>263408</v>
      </c>
      <c r="B375" s="27" t="inlineStr">
        <is>
          <t>Sipho Khumalo</t>
        </is>
      </c>
      <c r="C375" s="27" t="inlineStr">
        <is>
          <t>+27479120274</t>
        </is>
      </c>
      <c r="D375" s="27" t="inlineStr">
        <is>
          <t>Gauteng</t>
        </is>
      </c>
      <c r="E375" s="27" t="inlineStr">
        <is>
          <t>Pretoria</t>
        </is>
      </c>
      <c r="F375" s="41" t="n">
        <v>45019</v>
      </c>
      <c r="G375" s="27" t="inlineStr">
        <is>
          <t>Occasional</t>
        </is>
      </c>
      <c r="H375" s="27">
        <f>TRUE()</f>
        <v/>
      </c>
    </row>
    <row r="376" ht="15" customHeight="1" s="24">
      <c r="A376" s="27" t="n">
        <v>337819</v>
      </c>
      <c r="B376" s="27" t="inlineStr">
        <is>
          <t>Kagiso Molefe</t>
        </is>
      </c>
      <c r="C376" s="27" t="inlineStr">
        <is>
          <t>+27476085136</t>
        </is>
      </c>
      <c r="D376" s="27" t="inlineStr">
        <is>
          <t>Gauteng</t>
        </is>
      </c>
      <c r="E376" s="27" t="inlineStr">
        <is>
          <t>Sandton</t>
        </is>
      </c>
      <c r="F376" s="41" t="n">
        <v>44903</v>
      </c>
      <c r="G376" s="27" t="inlineStr">
        <is>
          <t>Regular</t>
        </is>
      </c>
      <c r="H376" s="27">
        <f>TRUE()</f>
        <v/>
      </c>
    </row>
    <row r="377" ht="15" customHeight="1" s="24">
      <c r="A377" s="27" t="n">
        <v>169736</v>
      </c>
      <c r="B377" s="27" t="inlineStr">
        <is>
          <t>Precious Jacobs</t>
        </is>
      </c>
      <c r="C377" s="27" t="inlineStr">
        <is>
          <t>+27471169801</t>
        </is>
      </c>
      <c r="D377" s="27" t="inlineStr">
        <is>
          <t>Mpumalanga</t>
        </is>
      </c>
      <c r="E377" s="27" t="inlineStr">
        <is>
          <t>Middelburg</t>
        </is>
      </c>
      <c r="F377" s="41" t="n">
        <v>45902</v>
      </c>
      <c r="G377" s="27" t="inlineStr">
        <is>
          <t>Regular</t>
        </is>
      </c>
      <c r="H377" s="27">
        <f>TRUE()</f>
        <v/>
      </c>
    </row>
    <row r="378" ht="15" customHeight="1" s="24">
      <c r="A378" s="27" t="n">
        <v>186555</v>
      </c>
      <c r="B378" s="27" t="inlineStr">
        <is>
          <t>Chloe Fourie</t>
        </is>
      </c>
      <c r="C378" s="27" t="inlineStr">
        <is>
          <t>+27475917011</t>
        </is>
      </c>
      <c r="D378" s="27" t="inlineStr">
        <is>
          <t>Gauteng</t>
        </is>
      </c>
      <c r="E378" s="27" t="inlineStr">
        <is>
          <t>Johannesburg</t>
        </is>
      </c>
      <c r="F378" s="41" t="n">
        <v>45483</v>
      </c>
      <c r="G378" s="27" t="inlineStr">
        <is>
          <t>Occasional</t>
        </is>
      </c>
      <c r="H378" s="27">
        <f>TRUE()</f>
        <v/>
      </c>
    </row>
    <row r="379" ht="15" customHeight="1" s="24">
      <c r="A379" s="27" t="n">
        <v>256329</v>
      </c>
      <c r="B379" s="27" t="inlineStr">
        <is>
          <t>Pieter Mabaso</t>
        </is>
      </c>
      <c r="C379" s="27" t="inlineStr">
        <is>
          <t>+27478247007</t>
        </is>
      </c>
      <c r="D379" s="27" t="inlineStr">
        <is>
          <t>Western Cape</t>
        </is>
      </c>
      <c r="E379" s="27" t="inlineStr">
        <is>
          <t>Stellenbosch</t>
        </is>
      </c>
      <c r="F379" s="41" t="n">
        <v>46068</v>
      </c>
      <c r="G379" s="27" t="inlineStr">
        <is>
          <t>Occasional</t>
        </is>
      </c>
      <c r="H379" s="27">
        <f>TRUE()</f>
        <v/>
      </c>
    </row>
    <row r="380" ht="15" customHeight="1" s="24">
      <c r="A380" s="27" t="n">
        <v>299802</v>
      </c>
      <c r="B380" s="27" t="inlineStr">
        <is>
          <t>Jaco Nkosi</t>
        </is>
      </c>
      <c r="C380" s="27" t="inlineStr">
        <is>
          <t>+27473974912</t>
        </is>
      </c>
      <c r="D380" s="27" t="inlineStr">
        <is>
          <t>Gauteng</t>
        </is>
      </c>
      <c r="E380" s="27" t="inlineStr">
        <is>
          <t>Centurion</t>
        </is>
      </c>
      <c r="F380" s="41" t="n">
        <v>44533</v>
      </c>
      <c r="G380" s="27" t="inlineStr">
        <is>
          <t>Dormant</t>
        </is>
      </c>
      <c r="H380" s="27">
        <f>TRUE()</f>
        <v/>
      </c>
    </row>
    <row r="381" ht="15" customHeight="1" s="24">
      <c r="A381" s="27" t="n">
        <v>294993</v>
      </c>
      <c r="B381" s="27" t="inlineStr">
        <is>
          <t>Lwazi Pillay</t>
        </is>
      </c>
      <c r="C381" s="27" t="inlineStr">
        <is>
          <t>+27473087210</t>
        </is>
      </c>
      <c r="D381" s="27" t="inlineStr">
        <is>
          <t>KwaZulu-Natal</t>
        </is>
      </c>
      <c r="E381" s="27" t="inlineStr">
        <is>
          <t>Pinetown</t>
        </is>
      </c>
      <c r="F381" s="41" t="n">
        <v>45602</v>
      </c>
      <c r="G381" s="27" t="inlineStr">
        <is>
          <t>Regular</t>
        </is>
      </c>
      <c r="H381" s="27">
        <f>TRUE()</f>
        <v/>
      </c>
    </row>
    <row r="382" ht="15" customHeight="1" s="24">
      <c r="A382" s="27" t="n">
        <v>294145</v>
      </c>
      <c r="B382" s="27" t="inlineStr">
        <is>
          <t>Sarah Sithole</t>
        </is>
      </c>
      <c r="C382" s="27" t="inlineStr">
        <is>
          <t>+27474206846</t>
        </is>
      </c>
      <c r="D382" s="27" t="inlineStr">
        <is>
          <t>Gauteng</t>
        </is>
      </c>
      <c r="E382" s="27" t="inlineStr">
        <is>
          <t>Pretoria</t>
        </is>
      </c>
      <c r="F382" s="41" t="n">
        <v>45583</v>
      </c>
      <c r="G382" s="27" t="inlineStr">
        <is>
          <t>Regular</t>
        </is>
      </c>
      <c r="H382" s="27">
        <f>TRUE()</f>
        <v/>
      </c>
    </row>
    <row r="383" ht="15" customHeight="1" s="24">
      <c r="A383" s="27" t="n">
        <v>208865</v>
      </c>
      <c r="B383" s="27" t="inlineStr">
        <is>
          <t>Fatima Tshabalala</t>
        </is>
      </c>
      <c r="C383" s="27" t="inlineStr">
        <is>
          <t>+27477556870</t>
        </is>
      </c>
      <c r="D383" s="27" t="inlineStr">
        <is>
          <t>KwaZulu-Natal</t>
        </is>
      </c>
      <c r="E383" s="27" t="inlineStr">
        <is>
          <t>Richards Bay</t>
        </is>
      </c>
      <c r="F383" s="41" t="n">
        <v>45599</v>
      </c>
      <c r="G383" s="27" t="inlineStr">
        <is>
          <t>Regular</t>
        </is>
      </c>
      <c r="H383" s="27">
        <f>TRUE()</f>
        <v/>
      </c>
    </row>
    <row r="384" ht="15" customHeight="1" s="24">
      <c r="A384" s="27" t="n">
        <v>192359</v>
      </c>
      <c r="B384" s="27" t="inlineStr">
        <is>
          <t>Daniel Hendricks</t>
        </is>
      </c>
      <c r="C384" s="27" t="inlineStr">
        <is>
          <t>+27473747151</t>
        </is>
      </c>
      <c r="D384" s="27" t="inlineStr">
        <is>
          <t>Gauteng</t>
        </is>
      </c>
      <c r="E384" s="27" t="inlineStr">
        <is>
          <t>Johannesburg</t>
        </is>
      </c>
      <c r="F384" s="41" t="n">
        <v>45582</v>
      </c>
      <c r="G384" s="27" t="inlineStr">
        <is>
          <t>Regular</t>
        </is>
      </c>
      <c r="H384" s="27">
        <f>TRUE()</f>
        <v/>
      </c>
    </row>
    <row r="385" ht="15" customHeight="1" s="24">
      <c r="A385" s="27" t="n">
        <v>323551</v>
      </c>
      <c r="B385" s="27" t="inlineStr">
        <is>
          <t>Chloe Naidoo</t>
        </is>
      </c>
      <c r="C385" s="27" t="inlineStr">
        <is>
          <t>+27477318835</t>
        </is>
      </c>
      <c r="D385" s="27" t="inlineStr">
        <is>
          <t>Free State</t>
        </is>
      </c>
      <c r="E385" s="27" t="inlineStr">
        <is>
          <t>Kroonstad</t>
        </is>
      </c>
      <c r="F385" s="41" t="n">
        <v>45541</v>
      </c>
      <c r="G385" s="27" t="inlineStr">
        <is>
          <t>Dormant</t>
        </is>
      </c>
      <c r="H385" s="27">
        <f>TRUE()</f>
        <v/>
      </c>
    </row>
    <row r="386" ht="15" customHeight="1" s="24">
      <c r="A386" s="27" t="n">
        <v>22155</v>
      </c>
      <c r="B386" s="27" t="inlineStr">
        <is>
          <t>Aisha Mabaso</t>
        </is>
      </c>
      <c r="C386" s="27" t="inlineStr">
        <is>
          <t>+27478523744</t>
        </is>
      </c>
      <c r="D386" s="27" t="inlineStr">
        <is>
          <t>Gauteng</t>
        </is>
      </c>
      <c r="E386" s="27" t="inlineStr">
        <is>
          <t>Soweto</t>
        </is>
      </c>
      <c r="F386" s="41" t="n">
        <v>45340</v>
      </c>
      <c r="G386" s="27" t="inlineStr">
        <is>
          <t>Occasional</t>
        </is>
      </c>
      <c r="H386" s="27">
        <f>TRUE()</f>
        <v/>
      </c>
    </row>
    <row r="387" ht="15" customHeight="1" s="24">
      <c r="A387" s="27" t="n">
        <v>42043</v>
      </c>
      <c r="B387" s="27" t="inlineStr">
        <is>
          <t>Chloe van der Merwe</t>
        </is>
      </c>
      <c r="C387" s="27" t="inlineStr">
        <is>
          <t>+27477584898</t>
        </is>
      </c>
      <c r="D387" s="27" t="inlineStr">
        <is>
          <t>Gauteng</t>
        </is>
      </c>
      <c r="E387" s="27" t="inlineStr">
        <is>
          <t>Roodepoort</t>
        </is>
      </c>
      <c r="F387" s="41" t="n">
        <v>46133</v>
      </c>
      <c r="G387" s="27" t="inlineStr">
        <is>
          <t>Dormant</t>
        </is>
      </c>
      <c r="H387" s="27">
        <f>TRUE()</f>
        <v/>
      </c>
    </row>
    <row r="388" ht="15" customHeight="1" s="24">
      <c r="A388" s="27" t="n">
        <v>388611</v>
      </c>
      <c r="B388" s="27" t="inlineStr">
        <is>
          <t>Tshepo Nkosi</t>
        </is>
      </c>
      <c r="C388" s="27" t="inlineStr">
        <is>
          <t>+27476354419</t>
        </is>
      </c>
      <c r="D388" s="27" t="inlineStr">
        <is>
          <t>Eastern Cape</t>
        </is>
      </c>
      <c r="E388" s="27" t="inlineStr">
        <is>
          <t>Gqeberha</t>
        </is>
      </c>
      <c r="F388" s="41" t="n">
        <v>46193</v>
      </c>
      <c r="G388" s="27" t="inlineStr">
        <is>
          <t>Regular</t>
        </is>
      </c>
      <c r="H388" s="27">
        <f>TRUE()</f>
        <v/>
      </c>
    </row>
    <row r="389" ht="15" customHeight="1" s="24">
      <c r="A389" s="27" t="n">
        <v>351462</v>
      </c>
      <c r="B389" s="27" t="inlineStr">
        <is>
          <t>Lerato Adams</t>
        </is>
      </c>
      <c r="C389" s="27" t="inlineStr">
        <is>
          <t>+27471998490</t>
        </is>
      </c>
      <c r="D389" s="27" t="inlineStr">
        <is>
          <t>Western Cape</t>
        </is>
      </c>
      <c r="E389" s="27" t="inlineStr">
        <is>
          <t>George</t>
        </is>
      </c>
      <c r="F389" s="41" t="n">
        <v>46017</v>
      </c>
      <c r="G389" s="27" t="inlineStr">
        <is>
          <t>Occasional</t>
        </is>
      </c>
      <c r="H389" s="27">
        <f>FALSE()</f>
        <v/>
      </c>
    </row>
    <row r="390" ht="15" customHeight="1" s="24">
      <c r="A390" s="27" t="n">
        <v>311596</v>
      </c>
      <c r="B390" s="27" t="inlineStr">
        <is>
          <t>Liam Botha</t>
        </is>
      </c>
      <c r="C390" s="27" t="inlineStr">
        <is>
          <t>+27472804045</t>
        </is>
      </c>
      <c r="D390" s="27" t="inlineStr">
        <is>
          <t>Western Cape</t>
        </is>
      </c>
      <c r="E390" s="27" t="inlineStr">
        <is>
          <t>Table View</t>
        </is>
      </c>
      <c r="F390" s="41" t="n">
        <v>45663</v>
      </c>
      <c r="G390" s="27" t="inlineStr">
        <is>
          <t>Frequent</t>
        </is>
      </c>
      <c r="H390" s="27">
        <f>TRUE()</f>
        <v/>
      </c>
    </row>
    <row r="391" ht="15" customHeight="1" s="24">
      <c r="A391" s="27" t="n">
        <v>28220</v>
      </c>
      <c r="B391" s="27" t="inlineStr">
        <is>
          <t>Riaan Sithole</t>
        </is>
      </c>
      <c r="C391" s="27" t="inlineStr">
        <is>
          <t>+27478964180</t>
        </is>
      </c>
      <c r="D391" s="27" t="inlineStr">
        <is>
          <t>KwaZulu-Natal</t>
        </is>
      </c>
      <c r="E391" s="27" t="inlineStr">
        <is>
          <t>Pietermaritzburg</t>
        </is>
      </c>
      <c r="F391" s="41" t="n">
        <v>45378</v>
      </c>
      <c r="G391" s="27" t="inlineStr">
        <is>
          <t>Occasional</t>
        </is>
      </c>
      <c r="H391" s="27">
        <f>TRUE()</f>
        <v/>
      </c>
    </row>
    <row r="392" ht="15" customHeight="1" s="24">
      <c r="A392" s="27" t="n">
        <v>184032</v>
      </c>
      <c r="B392" s="27" t="inlineStr">
        <is>
          <t>Megan Adams</t>
        </is>
      </c>
      <c r="C392" s="27" t="inlineStr">
        <is>
          <t>+27475319894</t>
        </is>
      </c>
      <c r="D392" s="27" t="inlineStr">
        <is>
          <t>KwaZulu-Natal</t>
        </is>
      </c>
      <c r="E392" s="27" t="inlineStr">
        <is>
          <t>Durban</t>
        </is>
      </c>
      <c r="F392" s="41" t="n">
        <v>45576</v>
      </c>
      <c r="G392" s="27" t="inlineStr">
        <is>
          <t>Dormant</t>
        </is>
      </c>
      <c r="H392" s="27">
        <f>TRUE()</f>
        <v/>
      </c>
    </row>
    <row r="393" ht="15" customHeight="1" s="24">
      <c r="A393" s="27" t="n">
        <v>15501</v>
      </c>
      <c r="B393" s="27" t="inlineStr">
        <is>
          <t>Tshepo Steyn</t>
        </is>
      </c>
      <c r="C393" s="27" t="inlineStr">
        <is>
          <t>+27477384765</t>
        </is>
      </c>
      <c r="D393" s="27" t="inlineStr">
        <is>
          <t>Gauteng</t>
        </is>
      </c>
      <c r="E393" s="27" t="inlineStr">
        <is>
          <t>Benoni</t>
        </is>
      </c>
      <c r="F393" s="41" t="n">
        <v>45384</v>
      </c>
      <c r="G393" s="27" t="inlineStr">
        <is>
          <t>Regular</t>
        </is>
      </c>
      <c r="H393" s="27">
        <f>TRUE()</f>
        <v/>
      </c>
    </row>
    <row r="394" ht="15" customHeight="1" s="24">
      <c r="A394" s="27" t="n">
        <v>212734</v>
      </c>
      <c r="B394" s="27" t="inlineStr">
        <is>
          <t>Thabo Nkosi</t>
        </is>
      </c>
      <c r="C394" s="27" t="inlineStr">
        <is>
          <t>+27476069134</t>
        </is>
      </c>
      <c r="D394" s="27" t="inlineStr">
        <is>
          <t>Gauteng</t>
        </is>
      </c>
      <c r="E394" s="27" t="inlineStr">
        <is>
          <t>Johannesburg</t>
        </is>
      </c>
      <c r="F394" s="41" t="n">
        <v>45965</v>
      </c>
      <c r="G394" s="27" t="inlineStr">
        <is>
          <t>Regular</t>
        </is>
      </c>
      <c r="H394" s="27">
        <f>TRUE()</f>
        <v/>
      </c>
    </row>
    <row r="395" ht="15" customHeight="1" s="24">
      <c r="A395" s="27" t="n">
        <v>135805</v>
      </c>
      <c r="B395" s="27" t="inlineStr">
        <is>
          <t>Mandla Mokoena</t>
        </is>
      </c>
      <c r="C395" s="27" t="inlineStr">
        <is>
          <t>+27479771423</t>
        </is>
      </c>
      <c r="D395" s="27" t="inlineStr">
        <is>
          <t>Mpumalanga</t>
        </is>
      </c>
      <c r="E395" s="27" t="inlineStr">
        <is>
          <t>Mbombela</t>
        </is>
      </c>
      <c r="F395" s="41" t="n">
        <v>45572</v>
      </c>
      <c r="G395" s="27" t="inlineStr">
        <is>
          <t>Regular</t>
        </is>
      </c>
      <c r="H395" s="27">
        <f>TRUE()</f>
        <v/>
      </c>
    </row>
    <row r="396" ht="15" customHeight="1" s="24">
      <c r="A396" s="27" t="n">
        <v>326954</v>
      </c>
      <c r="B396" s="27" t="inlineStr">
        <is>
          <t>Lwazi Mthembu</t>
        </is>
      </c>
      <c r="C396" s="27" t="inlineStr">
        <is>
          <t>+27479128694</t>
        </is>
      </c>
      <c r="D396" s="27" t="inlineStr">
        <is>
          <t>Limpopo</t>
        </is>
      </c>
      <c r="E396" s="27" t="inlineStr">
        <is>
          <t>Thohoyandou</t>
        </is>
      </c>
      <c r="F396" s="41" t="n">
        <v>44386</v>
      </c>
      <c r="G396" s="27" t="inlineStr">
        <is>
          <t>Dormant</t>
        </is>
      </c>
      <c r="H396" s="27">
        <f>TRUE()</f>
        <v/>
      </c>
    </row>
    <row r="397" ht="15" customHeight="1" s="24">
      <c r="A397" s="27" t="n">
        <v>304063</v>
      </c>
      <c r="B397" s="27" t="inlineStr">
        <is>
          <t>Jaco Fourie</t>
        </is>
      </c>
      <c r="C397" s="27" t="inlineStr">
        <is>
          <t>+27477207924</t>
        </is>
      </c>
      <c r="D397" s="27" t="inlineStr">
        <is>
          <t>Mpumalanga</t>
        </is>
      </c>
      <c r="E397" s="27" t="inlineStr">
        <is>
          <t>Witbank</t>
        </is>
      </c>
      <c r="F397" s="41" t="n">
        <v>45566</v>
      </c>
      <c r="G397" s="27" t="inlineStr">
        <is>
          <t>Occasional</t>
        </is>
      </c>
      <c r="H397" s="27">
        <f>TRUE()</f>
        <v/>
      </c>
    </row>
    <row r="398" ht="15" customHeight="1" s="24">
      <c r="A398" s="27" t="n">
        <v>36084</v>
      </c>
      <c r="B398" s="27" t="inlineStr">
        <is>
          <t>Zanele Hendricks</t>
        </is>
      </c>
      <c r="C398" s="27" t="inlineStr">
        <is>
          <t>+27477797823</t>
        </is>
      </c>
      <c r="D398" s="27" t="inlineStr">
        <is>
          <t>Gauteng</t>
        </is>
      </c>
      <c r="E398" s="27" t="inlineStr">
        <is>
          <t>Centurion</t>
        </is>
      </c>
      <c r="F398" s="41" t="n">
        <v>45687</v>
      </c>
      <c r="G398" s="27" t="inlineStr">
        <is>
          <t>Dormant</t>
        </is>
      </c>
      <c r="H398" s="27">
        <f>TRUE()</f>
        <v/>
      </c>
    </row>
    <row r="399" ht="15" customHeight="1" s="24">
      <c r="A399" s="27" t="n">
        <v>357305</v>
      </c>
      <c r="B399" s="27" t="inlineStr">
        <is>
          <t>Jaco Naidoo</t>
        </is>
      </c>
      <c r="C399" s="27" t="inlineStr">
        <is>
          <t>+27477436752</t>
        </is>
      </c>
      <c r="D399" s="27" t="inlineStr">
        <is>
          <t>Northern Cape</t>
        </is>
      </c>
      <c r="E399" s="27" t="inlineStr">
        <is>
          <t>Upington</t>
        </is>
      </c>
      <c r="F399" s="41" t="n">
        <v>44726</v>
      </c>
      <c r="G399" s="27" t="inlineStr">
        <is>
          <t>Occasional</t>
        </is>
      </c>
      <c r="H399" s="27">
        <f>TRUE()</f>
        <v/>
      </c>
    </row>
    <row r="400" ht="15" customHeight="1" s="24">
      <c r="A400" s="27" t="n">
        <v>328801</v>
      </c>
      <c r="B400" s="27" t="inlineStr">
        <is>
          <t>Kagiso van der Merwe</t>
        </is>
      </c>
      <c r="C400" s="27" t="inlineStr">
        <is>
          <t>+27475660109</t>
        </is>
      </c>
      <c r="D400" s="27" t="inlineStr">
        <is>
          <t>KwaZulu-Natal</t>
        </is>
      </c>
      <c r="E400" s="27" t="inlineStr">
        <is>
          <t>Pietermaritzburg</t>
        </is>
      </c>
      <c r="F400" s="41" t="n">
        <v>44337</v>
      </c>
      <c r="G400" s="27" t="inlineStr">
        <is>
          <t>Regular</t>
        </is>
      </c>
      <c r="H400" s="27">
        <f>TRUE()</f>
        <v/>
      </c>
    </row>
    <row r="401" ht="15" customHeight="1" s="24">
      <c r="A401" s="27" t="n">
        <v>302608</v>
      </c>
      <c r="B401" s="27" t="inlineStr">
        <is>
          <t>Werner Ngcobo</t>
        </is>
      </c>
      <c r="C401" s="27" t="inlineStr">
        <is>
          <t>+27471294990</t>
        </is>
      </c>
      <c r="D401" s="27" t="inlineStr">
        <is>
          <t>Eastern Cape</t>
        </is>
      </c>
      <c r="E401" s="27" t="inlineStr">
        <is>
          <t>Uitenhage</t>
        </is>
      </c>
      <c r="F401" s="41" t="n">
        <v>45436</v>
      </c>
      <c r="G401" s="27" t="inlineStr">
        <is>
          <t>Occasional</t>
        </is>
      </c>
      <c r="H401" s="27">
        <f>TRUE()</f>
        <v/>
      </c>
    </row>
    <row r="402" ht="15" customHeight="1" s="24">
      <c r="A402" s="27" t="n">
        <v>361833</v>
      </c>
      <c r="B402" s="27" t="inlineStr">
        <is>
          <t>Tshepo Zulu</t>
        </is>
      </c>
      <c r="C402" s="27" t="inlineStr">
        <is>
          <t>+27475834862</t>
        </is>
      </c>
      <c r="D402" s="27" t="inlineStr">
        <is>
          <t>Gauteng</t>
        </is>
      </c>
      <c r="E402" s="27" t="inlineStr">
        <is>
          <t>Midrand</t>
        </is>
      </c>
      <c r="F402" s="41" t="n">
        <v>45419</v>
      </c>
      <c r="G402" s="27" t="inlineStr">
        <is>
          <t>Occasional</t>
        </is>
      </c>
      <c r="H402" s="27">
        <f>TRUE()</f>
        <v/>
      </c>
    </row>
    <row r="403" ht="15" customHeight="1" s="24">
      <c r="A403" s="27" t="n">
        <v>117074</v>
      </c>
      <c r="B403" s="27" t="inlineStr">
        <is>
          <t>Sarah Zulu</t>
        </is>
      </c>
      <c r="C403" s="27" t="inlineStr">
        <is>
          <t>+27474594544</t>
        </is>
      </c>
      <c r="D403" s="27" t="inlineStr">
        <is>
          <t>Limpopo</t>
        </is>
      </c>
      <c r="E403" s="27" t="inlineStr">
        <is>
          <t>Thohoyandou</t>
        </is>
      </c>
      <c r="F403" s="41" t="n">
        <v>44375</v>
      </c>
      <c r="G403" s="27" t="inlineStr">
        <is>
          <t>Dormant</t>
        </is>
      </c>
      <c r="H403" s="27">
        <f>FALSE()</f>
        <v/>
      </c>
    </row>
    <row r="404" ht="15" customHeight="1" s="24">
      <c r="A404" s="27" t="n">
        <v>18091</v>
      </c>
      <c r="B404" s="27" t="inlineStr">
        <is>
          <t>Mandla Pretorius</t>
        </is>
      </c>
      <c r="C404" s="27" t="inlineStr">
        <is>
          <t>+27477374572</t>
        </is>
      </c>
      <c r="D404" s="27" t="inlineStr">
        <is>
          <t>Western Cape</t>
        </is>
      </c>
      <c r="E404" s="27" t="inlineStr">
        <is>
          <t>Stellenbosch</t>
        </is>
      </c>
      <c r="F404" s="41" t="n">
        <v>45286</v>
      </c>
      <c r="G404" s="27" t="inlineStr">
        <is>
          <t>Regular</t>
        </is>
      </c>
      <c r="H404" s="27">
        <f>TRUE()</f>
        <v/>
      </c>
    </row>
    <row r="405" ht="15" customHeight="1" s="24">
      <c r="A405" s="27" t="n">
        <v>276037</v>
      </c>
      <c r="B405" s="27" t="inlineStr">
        <is>
          <t>Zanele Mahlangu</t>
        </is>
      </c>
      <c r="C405" s="27" t="inlineStr">
        <is>
          <t>+27472823663</t>
        </is>
      </c>
      <c r="D405" s="27" t="inlineStr">
        <is>
          <t>Gauteng</t>
        </is>
      </c>
      <c r="E405" s="27" t="inlineStr">
        <is>
          <t>Johannesburg</t>
        </is>
      </c>
      <c r="F405" s="41" t="n">
        <v>45588</v>
      </c>
      <c r="G405" s="27" t="inlineStr">
        <is>
          <t>Dormant</t>
        </is>
      </c>
      <c r="H405" s="27">
        <f>TRUE()</f>
        <v/>
      </c>
    </row>
    <row r="406" ht="15" customHeight="1" s="24">
      <c r="A406" s="27" t="n">
        <v>154845</v>
      </c>
      <c r="B406" s="27" t="inlineStr">
        <is>
          <t>Bongani Venter</t>
        </is>
      </c>
      <c r="C406" s="27" t="inlineStr">
        <is>
          <t>+27475594160</t>
        </is>
      </c>
      <c r="D406" s="27" t="inlineStr">
        <is>
          <t>Limpopo</t>
        </is>
      </c>
      <c r="E406" s="27" t="inlineStr">
        <is>
          <t>Tzaneen</t>
        </is>
      </c>
      <c r="F406" s="41" t="n">
        <v>45181</v>
      </c>
      <c r="G406" s="27" t="inlineStr">
        <is>
          <t>Regular</t>
        </is>
      </c>
      <c r="H406" s="27">
        <f>TRUE()</f>
        <v/>
      </c>
    </row>
    <row r="407" ht="15" customHeight="1" s="24">
      <c r="A407" s="27" t="n">
        <v>333014</v>
      </c>
      <c r="B407" s="27" t="inlineStr">
        <is>
          <t>Tshepo Adams</t>
        </is>
      </c>
      <c r="C407" s="27" t="inlineStr">
        <is>
          <t>+27479449258</t>
        </is>
      </c>
      <c r="D407" s="27" t="inlineStr">
        <is>
          <t>Mpumalanga</t>
        </is>
      </c>
      <c r="E407" s="27" t="inlineStr">
        <is>
          <t>Middelburg</t>
        </is>
      </c>
      <c r="F407" s="41" t="n">
        <v>45135</v>
      </c>
      <c r="G407" s="27" t="inlineStr">
        <is>
          <t>Occasional</t>
        </is>
      </c>
      <c r="H407" s="27">
        <f>TRUE()</f>
        <v/>
      </c>
    </row>
    <row r="408" ht="15" customHeight="1" s="24">
      <c r="A408" s="27" t="n">
        <v>205518</v>
      </c>
      <c r="B408" s="27" t="inlineStr">
        <is>
          <t>Sipho Molefe</t>
        </is>
      </c>
      <c r="C408" s="27" t="inlineStr">
        <is>
          <t>+27471408945</t>
        </is>
      </c>
      <c r="D408" s="27" t="inlineStr">
        <is>
          <t>KwaZulu-Natal</t>
        </is>
      </c>
      <c r="E408" s="27" t="inlineStr">
        <is>
          <t>Umhlanga</t>
        </is>
      </c>
      <c r="F408" s="41" t="n">
        <v>45425</v>
      </c>
      <c r="G408" s="27" t="inlineStr">
        <is>
          <t>Dormant</t>
        </is>
      </c>
      <c r="H408" s="27">
        <f>TRUE()</f>
        <v/>
      </c>
    </row>
    <row r="409" ht="15" customHeight="1" s="24">
      <c r="A409" s="27" t="n">
        <v>350760</v>
      </c>
      <c r="B409" s="27" t="inlineStr">
        <is>
          <t>Ayanda Jacobs</t>
        </is>
      </c>
      <c r="C409" s="27" t="inlineStr">
        <is>
          <t>+27471491251</t>
        </is>
      </c>
      <c r="D409" s="27" t="inlineStr">
        <is>
          <t>Western Cape</t>
        </is>
      </c>
      <c r="E409" s="27" t="inlineStr">
        <is>
          <t>George</t>
        </is>
      </c>
      <c r="F409" s="41" t="n">
        <v>45073</v>
      </c>
      <c r="G409" s="27" t="inlineStr">
        <is>
          <t>Occasional</t>
        </is>
      </c>
      <c r="H409" s="27">
        <f>TRUE()</f>
        <v/>
      </c>
    </row>
    <row r="410" ht="15" customHeight="1" s="24">
      <c r="A410" s="27" t="n">
        <v>173528</v>
      </c>
      <c r="B410" s="27" t="inlineStr">
        <is>
          <t>Dineo Daniels</t>
        </is>
      </c>
      <c r="C410" s="27" t="inlineStr">
        <is>
          <t>+27472876834</t>
        </is>
      </c>
      <c r="D410" s="27" t="inlineStr">
        <is>
          <t>KwaZulu-Natal</t>
        </is>
      </c>
      <c r="E410" s="27" t="inlineStr">
        <is>
          <t>Durban</t>
        </is>
      </c>
      <c r="F410" s="41" t="n">
        <v>45096</v>
      </c>
      <c r="G410" s="27" t="inlineStr">
        <is>
          <t>Occasional</t>
        </is>
      </c>
      <c r="H410" s="27">
        <f>FALSE()</f>
        <v/>
      </c>
    </row>
    <row r="411" ht="15" customHeight="1" s="24">
      <c r="A411" s="27" t="n">
        <v>75039</v>
      </c>
      <c r="B411" s="27" t="inlineStr">
        <is>
          <t>Dineo Hendricks</t>
        </is>
      </c>
      <c r="C411" s="27" t="inlineStr">
        <is>
          <t>+27471416899</t>
        </is>
      </c>
      <c r="D411" s="27" t="inlineStr">
        <is>
          <t>Limpopo</t>
        </is>
      </c>
      <c r="E411" s="27" t="inlineStr">
        <is>
          <t>Tzaneen</t>
        </is>
      </c>
      <c r="F411" s="41" t="n">
        <v>46088</v>
      </c>
      <c r="G411" s="27" t="inlineStr">
        <is>
          <t>Dormant</t>
        </is>
      </c>
      <c r="H411" s="27">
        <f>TRUE()</f>
        <v/>
      </c>
    </row>
    <row r="412" ht="15" customHeight="1" s="24">
      <c r="A412" s="27" t="n">
        <v>172457</v>
      </c>
      <c r="B412" s="27" t="inlineStr">
        <is>
          <t>Bongani Jacobs</t>
        </is>
      </c>
      <c r="C412" s="27" t="inlineStr">
        <is>
          <t>+27473395270</t>
        </is>
      </c>
      <c r="D412" s="27" t="inlineStr">
        <is>
          <t>North West</t>
        </is>
      </c>
      <c r="E412" s="27" t="inlineStr">
        <is>
          <t>Rustenburg</t>
        </is>
      </c>
      <c r="F412" s="41" t="n">
        <v>45305</v>
      </c>
      <c r="G412" s="27" t="inlineStr">
        <is>
          <t>Occasional</t>
        </is>
      </c>
      <c r="H412" s="27">
        <f>TRUE()</f>
        <v/>
      </c>
    </row>
    <row r="413" ht="15" customHeight="1" s="24">
      <c r="A413" s="27" t="n">
        <v>248800</v>
      </c>
      <c r="B413" s="27" t="inlineStr">
        <is>
          <t>Naledi Pillay</t>
        </is>
      </c>
      <c r="C413" s="27" t="inlineStr">
        <is>
          <t>+27478266286</t>
        </is>
      </c>
      <c r="D413" s="27" t="inlineStr">
        <is>
          <t>Eastern Cape</t>
        </is>
      </c>
      <c r="E413" s="27" t="inlineStr">
        <is>
          <t>Gqeberha</t>
        </is>
      </c>
      <c r="F413" s="41" t="n">
        <v>46164</v>
      </c>
      <c r="G413" s="27" t="inlineStr">
        <is>
          <t>Regular</t>
        </is>
      </c>
      <c r="H413" s="27">
        <f>TRUE()</f>
        <v/>
      </c>
    </row>
    <row r="414" ht="15" customHeight="1" s="24">
      <c r="A414" s="27" t="n">
        <v>1961</v>
      </c>
      <c r="B414" s="27" t="inlineStr">
        <is>
          <t>Nomvula Smith</t>
        </is>
      </c>
      <c r="C414" s="27" t="inlineStr">
        <is>
          <t>+27474193945</t>
        </is>
      </c>
      <c r="D414" s="27" t="inlineStr">
        <is>
          <t>KwaZulu-Natal</t>
        </is>
      </c>
      <c r="E414" s="27" t="inlineStr">
        <is>
          <t>Richards Bay</t>
        </is>
      </c>
      <c r="F414" s="41" t="n">
        <v>46142</v>
      </c>
      <c r="G414" s="27" t="inlineStr">
        <is>
          <t>Frequent</t>
        </is>
      </c>
      <c r="H414" s="27">
        <f>TRUE()</f>
        <v/>
      </c>
    </row>
    <row r="415" ht="15" customHeight="1" s="24">
      <c r="A415" s="27" t="n">
        <v>67574</v>
      </c>
      <c r="B415" s="27" t="inlineStr">
        <is>
          <t>Tshepo Jacobs</t>
        </is>
      </c>
      <c r="C415" s="27" t="inlineStr">
        <is>
          <t>+27476619586</t>
        </is>
      </c>
      <c r="D415" s="27" t="inlineStr">
        <is>
          <t>Limpopo</t>
        </is>
      </c>
      <c r="E415" s="27" t="inlineStr">
        <is>
          <t>Thohoyandou</t>
        </is>
      </c>
      <c r="F415" s="41" t="n">
        <v>45757</v>
      </c>
      <c r="G415" s="27" t="inlineStr">
        <is>
          <t>Occasional</t>
        </is>
      </c>
      <c r="H415" s="27">
        <f>TRUE()</f>
        <v/>
      </c>
    </row>
    <row r="416" ht="15" customHeight="1" s="24">
      <c r="A416" s="27" t="n">
        <v>143108</v>
      </c>
      <c r="B416" s="27" t="inlineStr">
        <is>
          <t>Jaco Nkosi</t>
        </is>
      </c>
      <c r="C416" s="27" t="inlineStr">
        <is>
          <t>+27478314895</t>
        </is>
      </c>
      <c r="D416" s="27" t="inlineStr">
        <is>
          <t>Limpopo</t>
        </is>
      </c>
      <c r="E416" s="27" t="inlineStr">
        <is>
          <t>Mokopane</t>
        </is>
      </c>
      <c r="F416" s="41" t="n">
        <v>44580</v>
      </c>
      <c r="G416" s="27" t="inlineStr">
        <is>
          <t>Regular</t>
        </is>
      </c>
      <c r="H416" s="27">
        <f>TRUE()</f>
        <v/>
      </c>
    </row>
    <row r="417" ht="15" customHeight="1" s="24">
      <c r="A417" s="27" t="n">
        <v>132850</v>
      </c>
      <c r="B417" s="27" t="inlineStr">
        <is>
          <t>Riaan Tshabalala</t>
        </is>
      </c>
      <c r="C417" s="27" t="inlineStr">
        <is>
          <t>+27473370897</t>
        </is>
      </c>
      <c r="D417" s="27" t="inlineStr">
        <is>
          <t>North West</t>
        </is>
      </c>
      <c r="E417" s="27" t="inlineStr">
        <is>
          <t>Rustenburg</t>
        </is>
      </c>
      <c r="F417" s="41" t="n">
        <v>45493</v>
      </c>
      <c r="G417" s="27" t="inlineStr">
        <is>
          <t>Regular</t>
        </is>
      </c>
      <c r="H417" s="27">
        <f>TRUE()</f>
        <v/>
      </c>
    </row>
    <row r="418" ht="15" customHeight="1" s="24">
      <c r="A418" s="27" t="n">
        <v>211272</v>
      </c>
      <c r="B418" s="27" t="inlineStr">
        <is>
          <t>Emma Hendricks</t>
        </is>
      </c>
      <c r="C418" s="27" t="inlineStr">
        <is>
          <t>+27473507208</t>
        </is>
      </c>
      <c r="D418" s="27" t="inlineStr">
        <is>
          <t>Limpopo</t>
        </is>
      </c>
      <c r="E418" s="27" t="inlineStr">
        <is>
          <t>Thohoyandou</t>
        </is>
      </c>
      <c r="F418" s="41" t="n">
        <v>44487</v>
      </c>
      <c r="G418" s="27" t="inlineStr">
        <is>
          <t>Dormant</t>
        </is>
      </c>
      <c r="H418" s="27">
        <f>TRUE()</f>
        <v/>
      </c>
    </row>
    <row r="419" ht="15" customHeight="1" s="24">
      <c r="A419" s="27" t="n">
        <v>240523</v>
      </c>
      <c r="B419" s="27" t="inlineStr">
        <is>
          <t>Thabo Steyn</t>
        </is>
      </c>
      <c r="C419" s="27" t="inlineStr">
        <is>
          <t>+27471102673</t>
        </is>
      </c>
      <c r="D419" s="27" t="inlineStr">
        <is>
          <t>Limpopo</t>
        </is>
      </c>
      <c r="E419" s="27" t="inlineStr">
        <is>
          <t>Mokopane</t>
        </is>
      </c>
      <c r="F419" s="41" t="n">
        <v>45022</v>
      </c>
      <c r="G419" s="27" t="inlineStr">
        <is>
          <t>Frequent</t>
        </is>
      </c>
      <c r="H419" s="27">
        <f>FALSE()</f>
        <v/>
      </c>
    </row>
    <row r="420" ht="15" customHeight="1" s="24">
      <c r="A420" s="27" t="n">
        <v>4573</v>
      </c>
      <c r="B420" s="27" t="inlineStr">
        <is>
          <t>Pieter Mahlangu</t>
        </is>
      </c>
      <c r="C420" s="27" t="inlineStr">
        <is>
          <t>+27478817942</t>
        </is>
      </c>
      <c r="D420" s="27" t="inlineStr">
        <is>
          <t>Gauteng</t>
        </is>
      </c>
      <c r="E420" s="27" t="inlineStr">
        <is>
          <t>Pretoria</t>
        </is>
      </c>
      <c r="F420" s="41" t="n">
        <v>45329</v>
      </c>
      <c r="G420" s="27" t="inlineStr">
        <is>
          <t>Frequent</t>
        </is>
      </c>
      <c r="H420" s="27">
        <f>TRUE()</f>
        <v/>
      </c>
    </row>
    <row r="421" ht="15" customHeight="1" s="24">
      <c r="A421" s="27" t="n">
        <v>42819</v>
      </c>
      <c r="B421" s="27" t="inlineStr">
        <is>
          <t>Liam Steyn</t>
        </is>
      </c>
      <c r="C421" s="27" t="inlineStr">
        <is>
          <t>+27473197691</t>
        </is>
      </c>
      <c r="D421" s="27" t="inlineStr">
        <is>
          <t>Eastern Cape</t>
        </is>
      </c>
      <c r="E421" s="27" t="inlineStr">
        <is>
          <t>Gqeberha</t>
        </is>
      </c>
      <c r="F421" s="41" t="n">
        <v>45345</v>
      </c>
      <c r="G421" s="27" t="inlineStr">
        <is>
          <t>Dormant</t>
        </is>
      </c>
      <c r="H421" s="27">
        <f>TRUE()</f>
        <v/>
      </c>
    </row>
    <row r="422" ht="15" customHeight="1" s="24">
      <c r="A422" s="27" t="n">
        <v>209084</v>
      </c>
      <c r="B422" s="27" t="inlineStr">
        <is>
          <t>Bongani Pillay</t>
        </is>
      </c>
      <c r="C422" s="27" t="inlineStr">
        <is>
          <t>+27477579432</t>
        </is>
      </c>
      <c r="D422" s="27" t="inlineStr">
        <is>
          <t>Western Cape</t>
        </is>
      </c>
      <c r="E422" s="27" t="inlineStr">
        <is>
          <t>Somerset West</t>
        </is>
      </c>
      <c r="F422" s="41" t="n">
        <v>44776</v>
      </c>
      <c r="G422" s="27" t="inlineStr">
        <is>
          <t>Occasional</t>
        </is>
      </c>
      <c r="H422" s="27">
        <f>TRUE()</f>
        <v/>
      </c>
    </row>
    <row r="423" ht="15" customHeight="1" s="24">
      <c r="A423" s="27" t="n">
        <v>1228</v>
      </c>
      <c r="B423" s="27" t="inlineStr">
        <is>
          <t>Sarah Mokoena</t>
        </is>
      </c>
      <c r="C423" s="27" t="inlineStr">
        <is>
          <t>+27472262398</t>
        </is>
      </c>
      <c r="D423" s="27" t="inlineStr">
        <is>
          <t>Limpopo</t>
        </is>
      </c>
      <c r="E423" s="27" t="inlineStr">
        <is>
          <t>Tzaneen</t>
        </is>
      </c>
      <c r="F423" s="41" t="n">
        <v>44664</v>
      </c>
      <c r="G423" s="27" t="inlineStr">
        <is>
          <t>Frequent</t>
        </is>
      </c>
      <c r="H423" s="27">
        <f>FALSE()</f>
        <v/>
      </c>
    </row>
    <row r="424" ht="15" customHeight="1" s="24">
      <c r="A424" s="27" t="n">
        <v>296077</v>
      </c>
      <c r="B424" s="27" t="inlineStr">
        <is>
          <t>Johan Venter</t>
        </is>
      </c>
      <c r="C424" s="27" t="inlineStr">
        <is>
          <t>+27475246135</t>
        </is>
      </c>
      <c r="D424" s="27" t="inlineStr">
        <is>
          <t>Western Cape</t>
        </is>
      </c>
      <c r="E424" s="27" t="inlineStr">
        <is>
          <t>Table View</t>
        </is>
      </c>
      <c r="F424" s="41" t="n">
        <v>45765</v>
      </c>
      <c r="G424" s="27" t="inlineStr">
        <is>
          <t>Regular</t>
        </is>
      </c>
      <c r="H424" s="27">
        <f>TRUE()</f>
        <v/>
      </c>
    </row>
    <row r="425" ht="15" customHeight="1" s="24">
      <c r="A425" s="27" t="n">
        <v>331119</v>
      </c>
      <c r="B425" s="27" t="inlineStr">
        <is>
          <t>Aisha Daniels</t>
        </is>
      </c>
      <c r="C425" s="27" t="inlineStr">
        <is>
          <t>+27471985987</t>
        </is>
      </c>
      <c r="D425" s="27" t="inlineStr">
        <is>
          <t>Gauteng</t>
        </is>
      </c>
      <c r="E425" s="27" t="inlineStr">
        <is>
          <t>Soweto</t>
        </is>
      </c>
      <c r="F425" s="41" t="n">
        <v>45363</v>
      </c>
      <c r="G425" s="27" t="inlineStr">
        <is>
          <t>Occasional</t>
        </is>
      </c>
      <c r="H425" s="27">
        <f>FALSE()</f>
        <v/>
      </c>
    </row>
    <row r="426" ht="15" customHeight="1" s="24">
      <c r="A426" s="27" t="n">
        <v>273093</v>
      </c>
      <c r="B426" s="27" t="inlineStr">
        <is>
          <t>Aisha Mokoena</t>
        </is>
      </c>
      <c r="C426" s="27" t="inlineStr">
        <is>
          <t>+27473697093</t>
        </is>
      </c>
      <c r="D426" s="27" t="inlineStr">
        <is>
          <t>Gauteng</t>
        </is>
      </c>
      <c r="E426" s="27" t="inlineStr">
        <is>
          <t>Sandton</t>
        </is>
      </c>
      <c r="F426" s="41" t="n">
        <v>45890</v>
      </c>
      <c r="G426" s="27" t="inlineStr">
        <is>
          <t>Dormant</t>
        </is>
      </c>
      <c r="H426" s="27">
        <f>TRUE()</f>
        <v/>
      </c>
    </row>
    <row r="427" ht="15" customHeight="1" s="24">
      <c r="A427" s="27" t="n">
        <v>311157</v>
      </c>
      <c r="B427" s="27" t="inlineStr">
        <is>
          <t>Precious van der Merwe</t>
        </is>
      </c>
      <c r="C427" s="27" t="inlineStr">
        <is>
          <t>+27473843398</t>
        </is>
      </c>
      <c r="D427" s="27" t="inlineStr">
        <is>
          <t>Eastern Cape</t>
        </is>
      </c>
      <c r="E427" s="27" t="inlineStr">
        <is>
          <t>Gqeberha</t>
        </is>
      </c>
      <c r="F427" s="41" t="n">
        <v>45887</v>
      </c>
      <c r="G427" s="27" t="inlineStr">
        <is>
          <t>Occasional</t>
        </is>
      </c>
      <c r="H427" s="27">
        <f>TRUE()</f>
        <v/>
      </c>
    </row>
    <row r="428" ht="15" customHeight="1" s="24">
      <c r="A428" s="27" t="n">
        <v>105264</v>
      </c>
      <c r="B428" s="27" t="inlineStr">
        <is>
          <t>Emma Jacobs</t>
        </is>
      </c>
      <c r="C428" s="27" t="inlineStr">
        <is>
          <t>+27475186031</t>
        </is>
      </c>
      <c r="D428" s="27" t="inlineStr">
        <is>
          <t>Limpopo</t>
        </is>
      </c>
      <c r="E428" s="27" t="inlineStr">
        <is>
          <t>Thohoyandou</t>
        </is>
      </c>
      <c r="F428" s="41" t="n">
        <v>44317</v>
      </c>
      <c r="G428" s="27" t="inlineStr">
        <is>
          <t>Occasional</t>
        </is>
      </c>
      <c r="H428" s="27">
        <f>TRUE()</f>
        <v/>
      </c>
    </row>
    <row r="429" ht="15" customHeight="1" s="24">
      <c r="A429" s="27" t="n">
        <v>156998</v>
      </c>
      <c r="B429" s="27" t="inlineStr">
        <is>
          <t>Daniel Jacobs</t>
        </is>
      </c>
      <c r="C429" s="27" t="inlineStr">
        <is>
          <t>+27475449761</t>
        </is>
      </c>
      <c r="D429" s="27" t="inlineStr">
        <is>
          <t>Gauteng</t>
        </is>
      </c>
      <c r="E429" s="27" t="inlineStr">
        <is>
          <t>Johannesburg</t>
        </is>
      </c>
      <c r="F429" s="41" t="n">
        <v>44265</v>
      </c>
      <c r="G429" s="27" t="inlineStr">
        <is>
          <t>Dormant</t>
        </is>
      </c>
      <c r="H429" s="27">
        <f>FALSE()</f>
        <v/>
      </c>
    </row>
    <row r="430" ht="15" customHeight="1" s="24">
      <c r="A430" s="27" t="n">
        <v>217110</v>
      </c>
      <c r="B430" s="27" t="inlineStr">
        <is>
          <t>Johan Petersen</t>
        </is>
      </c>
      <c r="C430" s="27" t="inlineStr">
        <is>
          <t>+27478841626</t>
        </is>
      </c>
      <c r="D430" s="27" t="inlineStr">
        <is>
          <t>KwaZulu-Natal</t>
        </is>
      </c>
      <c r="E430" s="27" t="inlineStr">
        <is>
          <t>Umhlanga</t>
        </is>
      </c>
      <c r="F430" s="41" t="n">
        <v>45443</v>
      </c>
      <c r="G430" s="27" t="inlineStr">
        <is>
          <t>Occasional</t>
        </is>
      </c>
      <c r="H430" s="27">
        <f>TRUE()</f>
        <v/>
      </c>
    </row>
    <row r="431" ht="15" customHeight="1" s="24">
      <c r="A431" s="27" t="n">
        <v>37698</v>
      </c>
      <c r="B431" s="27" t="inlineStr">
        <is>
          <t>Werner Adams</t>
        </is>
      </c>
      <c r="C431" s="27" t="inlineStr">
        <is>
          <t>+27477777974</t>
        </is>
      </c>
      <c r="D431" s="27" t="inlineStr">
        <is>
          <t>Gauteng</t>
        </is>
      </c>
      <c r="E431" s="27" t="inlineStr">
        <is>
          <t>Midrand</t>
        </is>
      </c>
      <c r="F431" s="41" t="n">
        <v>44309</v>
      </c>
      <c r="G431" s="27" t="inlineStr">
        <is>
          <t>Dormant</t>
        </is>
      </c>
      <c r="H431" s="27">
        <f>FALSE()</f>
        <v/>
      </c>
    </row>
    <row r="432" ht="15" customHeight="1" s="24">
      <c r="A432" s="27" t="n">
        <v>126185</v>
      </c>
      <c r="B432" s="27" t="inlineStr">
        <is>
          <t>Naledi Molefe</t>
        </is>
      </c>
      <c r="C432" s="27" t="inlineStr">
        <is>
          <t>+27475065615</t>
        </is>
      </c>
      <c r="D432" s="27" t="inlineStr">
        <is>
          <t>Western Cape</t>
        </is>
      </c>
      <c r="E432" s="27" t="inlineStr">
        <is>
          <t>Somerset West</t>
        </is>
      </c>
      <c r="F432" s="41" t="n">
        <v>44693</v>
      </c>
      <c r="G432" s="27" t="inlineStr">
        <is>
          <t>Occasional</t>
        </is>
      </c>
      <c r="H432" s="27">
        <f>TRUE()</f>
        <v/>
      </c>
    </row>
    <row r="433" ht="15" customHeight="1" s="24">
      <c r="A433" s="27" t="n">
        <v>353548</v>
      </c>
      <c r="B433" s="27" t="inlineStr">
        <is>
          <t>Tshepo Mahlangu</t>
        </is>
      </c>
      <c r="C433" s="27" t="inlineStr">
        <is>
          <t>+27476324548</t>
        </is>
      </c>
      <c r="D433" s="27" t="inlineStr">
        <is>
          <t>Western Cape</t>
        </is>
      </c>
      <c r="E433" s="27" t="inlineStr">
        <is>
          <t>Stellenbosch</t>
        </is>
      </c>
      <c r="F433" s="41" t="n">
        <v>44397</v>
      </c>
      <c r="G433" s="27" t="inlineStr">
        <is>
          <t>Dormant</t>
        </is>
      </c>
      <c r="H433" s="27">
        <f>TRUE()</f>
        <v/>
      </c>
    </row>
    <row r="434" ht="15" customHeight="1" s="24">
      <c r="A434" s="27" t="n">
        <v>391663</v>
      </c>
      <c r="B434" s="27" t="inlineStr">
        <is>
          <t>Daniel Naidoo</t>
        </is>
      </c>
      <c r="C434" s="27" t="inlineStr">
        <is>
          <t>+27474428301</t>
        </is>
      </c>
      <c r="D434" s="27" t="inlineStr">
        <is>
          <t>Western Cape</t>
        </is>
      </c>
      <c r="E434" s="27" t="inlineStr">
        <is>
          <t>Somerset West</t>
        </is>
      </c>
      <c r="F434" s="41" t="n">
        <v>45713</v>
      </c>
      <c r="G434" s="27" t="inlineStr">
        <is>
          <t>Regular</t>
        </is>
      </c>
      <c r="H434" s="27">
        <f>TRUE()</f>
        <v/>
      </c>
    </row>
    <row r="435" ht="15" customHeight="1" s="24">
      <c r="A435" s="27" t="n">
        <v>230831</v>
      </c>
      <c r="B435" s="27" t="inlineStr">
        <is>
          <t>Anika Molefe</t>
        </is>
      </c>
      <c r="C435" s="27" t="inlineStr">
        <is>
          <t>+27475057360</t>
        </is>
      </c>
      <c r="D435" s="27" t="inlineStr">
        <is>
          <t>Gauteng</t>
        </is>
      </c>
      <c r="E435" s="27" t="inlineStr">
        <is>
          <t>Midrand</t>
        </is>
      </c>
      <c r="F435" s="41" t="n">
        <v>45808</v>
      </c>
      <c r="G435" s="27" t="inlineStr">
        <is>
          <t>Regular</t>
        </is>
      </c>
      <c r="H435" s="27">
        <f>TRUE()</f>
        <v/>
      </c>
    </row>
    <row r="436" ht="15" customHeight="1" s="24">
      <c r="A436" s="27" t="n">
        <v>146694</v>
      </c>
      <c r="B436" s="27" t="inlineStr">
        <is>
          <t>Lerato Fourie</t>
        </is>
      </c>
      <c r="C436" s="27" t="inlineStr">
        <is>
          <t>+27474357875</t>
        </is>
      </c>
      <c r="D436" s="27" t="inlineStr">
        <is>
          <t>North West</t>
        </is>
      </c>
      <c r="E436" s="27" t="inlineStr">
        <is>
          <t>Klerksdorp</t>
        </is>
      </c>
      <c r="F436" s="41" t="n">
        <v>45442</v>
      </c>
      <c r="G436" s="27" t="inlineStr">
        <is>
          <t>Dormant</t>
        </is>
      </c>
      <c r="H436" s="27">
        <f>TRUE()</f>
        <v/>
      </c>
    </row>
    <row r="437" ht="15" customHeight="1" s="24">
      <c r="A437" s="27" t="n">
        <v>182061</v>
      </c>
      <c r="B437" s="27" t="inlineStr">
        <is>
          <t>Thabo Adams</t>
        </is>
      </c>
      <c r="C437" s="27" t="inlineStr">
        <is>
          <t>+27473998015</t>
        </is>
      </c>
      <c r="D437" s="27" t="inlineStr">
        <is>
          <t>Free State</t>
        </is>
      </c>
      <c r="E437" s="27" t="inlineStr">
        <is>
          <t>Bethlehem</t>
        </is>
      </c>
      <c r="F437" s="41" t="n">
        <v>45552</v>
      </c>
      <c r="G437" s="27" t="inlineStr">
        <is>
          <t>Occasional</t>
        </is>
      </c>
      <c r="H437" s="27">
        <f>TRUE()</f>
        <v/>
      </c>
    </row>
    <row r="438" ht="15" customHeight="1" s="24">
      <c r="A438" s="27" t="n">
        <v>313893</v>
      </c>
      <c r="B438" s="27" t="inlineStr">
        <is>
          <t>Kagiso Maluleke</t>
        </is>
      </c>
      <c r="C438" s="27" t="inlineStr">
        <is>
          <t>+27476156921</t>
        </is>
      </c>
      <c r="D438" s="27" t="inlineStr">
        <is>
          <t>KwaZulu-Natal</t>
        </is>
      </c>
      <c r="E438" s="27" t="inlineStr">
        <is>
          <t>Richards Bay</t>
        </is>
      </c>
      <c r="F438" s="41" t="n">
        <v>44914</v>
      </c>
      <c r="G438" s="27" t="inlineStr">
        <is>
          <t>Occasional</t>
        </is>
      </c>
      <c r="H438" s="27">
        <f>FALSE()</f>
        <v/>
      </c>
    </row>
    <row r="439" ht="15" customHeight="1" s="24">
      <c r="A439" s="27" t="n">
        <v>142121</v>
      </c>
      <c r="B439" s="27" t="inlineStr">
        <is>
          <t>Khanyi Steyn</t>
        </is>
      </c>
      <c r="C439" s="27" t="inlineStr">
        <is>
          <t>+27478911454</t>
        </is>
      </c>
      <c r="D439" s="27" t="inlineStr">
        <is>
          <t>Western Cape</t>
        </is>
      </c>
      <c r="E439" s="27" t="inlineStr">
        <is>
          <t>Cape Town</t>
        </is>
      </c>
      <c r="F439" s="41" t="n">
        <v>44972</v>
      </c>
      <c r="G439" s="27" t="inlineStr">
        <is>
          <t>Occasional</t>
        </is>
      </c>
      <c r="H439" s="27">
        <f>FALSE()</f>
        <v/>
      </c>
    </row>
    <row r="440" ht="15" customHeight="1" s="24">
      <c r="A440" s="27" t="n">
        <v>349296</v>
      </c>
      <c r="B440" s="27" t="inlineStr">
        <is>
          <t>Fatima Botha</t>
        </is>
      </c>
      <c r="C440" s="27" t="inlineStr">
        <is>
          <t>+27476598713</t>
        </is>
      </c>
      <c r="D440" s="27" t="inlineStr">
        <is>
          <t>Eastern Cape</t>
        </is>
      </c>
      <c r="E440" s="27" t="inlineStr">
        <is>
          <t>Gqeberha</t>
        </is>
      </c>
      <c r="F440" s="41" t="n">
        <v>46132</v>
      </c>
      <c r="G440" s="27" t="inlineStr">
        <is>
          <t>Regular</t>
        </is>
      </c>
      <c r="H440" s="27">
        <f>TRUE()</f>
        <v/>
      </c>
    </row>
    <row r="441" ht="15" customHeight="1" s="24">
      <c r="A441" s="27" t="n">
        <v>147187</v>
      </c>
      <c r="B441" s="27" t="inlineStr">
        <is>
          <t>Johan Venter</t>
        </is>
      </c>
      <c r="C441" s="27" t="inlineStr">
        <is>
          <t>+27472718536</t>
        </is>
      </c>
      <c r="D441" s="27" t="inlineStr">
        <is>
          <t>Gauteng</t>
        </is>
      </c>
      <c r="E441" s="27" t="inlineStr">
        <is>
          <t>Roodepoort</t>
        </is>
      </c>
      <c r="F441" s="41" t="n">
        <v>44497</v>
      </c>
      <c r="G441" s="27" t="inlineStr">
        <is>
          <t>Regular</t>
        </is>
      </c>
      <c r="H441" s="27">
        <f>TRUE()</f>
        <v/>
      </c>
    </row>
    <row r="442" ht="15" customHeight="1" s="24">
      <c r="A442" s="27" t="n">
        <v>2964</v>
      </c>
      <c r="B442" s="27" t="inlineStr">
        <is>
          <t>Refilwe Petersen</t>
        </is>
      </c>
      <c r="C442" s="27" t="inlineStr">
        <is>
          <t>+27472641031</t>
        </is>
      </c>
      <c r="D442" s="27" t="inlineStr">
        <is>
          <t>Eastern Cape</t>
        </is>
      </c>
      <c r="E442" s="27" t="inlineStr">
        <is>
          <t>Mthatha</t>
        </is>
      </c>
      <c r="F442" s="41" t="n">
        <v>44253</v>
      </c>
      <c r="G442" s="27" t="inlineStr">
        <is>
          <t>Occasional</t>
        </is>
      </c>
      <c r="H442" s="27">
        <f>TRUE()</f>
        <v/>
      </c>
    </row>
    <row r="443" ht="15" customHeight="1" s="24">
      <c r="A443" s="27" t="n">
        <v>215259</v>
      </c>
      <c r="B443" s="27" t="inlineStr">
        <is>
          <t>Liam van der Merwe</t>
        </is>
      </c>
      <c r="C443" s="27" t="inlineStr">
        <is>
          <t>+27477157524</t>
        </is>
      </c>
      <c r="D443" s="27" t="inlineStr">
        <is>
          <t>Free State</t>
        </is>
      </c>
      <c r="E443" s="27" t="inlineStr">
        <is>
          <t>Kroonstad</t>
        </is>
      </c>
      <c r="F443" s="41" t="n">
        <v>44713</v>
      </c>
      <c r="G443" s="27" t="inlineStr">
        <is>
          <t>Frequent</t>
        </is>
      </c>
      <c r="H443" s="27">
        <f>TRUE()</f>
        <v/>
      </c>
    </row>
    <row r="444" ht="15" customHeight="1" s="24">
      <c r="A444" s="27" t="n">
        <v>395873</v>
      </c>
      <c r="B444" s="27" t="inlineStr">
        <is>
          <t>Khanyi Mabaso</t>
        </is>
      </c>
      <c r="C444" s="27" t="inlineStr">
        <is>
          <t>+27475399191</t>
        </is>
      </c>
      <c r="D444" s="27" t="inlineStr">
        <is>
          <t>North West</t>
        </is>
      </c>
      <c r="E444" s="27" t="inlineStr">
        <is>
          <t>Mahikeng</t>
        </is>
      </c>
      <c r="F444" s="41" t="n">
        <v>44486</v>
      </c>
      <c r="G444" s="27" t="inlineStr">
        <is>
          <t>Dormant</t>
        </is>
      </c>
      <c r="H444" s="27">
        <f>TRUE()</f>
        <v/>
      </c>
    </row>
    <row r="445" ht="15" customHeight="1" s="24">
      <c r="A445" s="27" t="n">
        <v>378412</v>
      </c>
      <c r="B445" s="27" t="inlineStr">
        <is>
          <t>Tshepo Venter</t>
        </is>
      </c>
      <c r="C445" s="27" t="inlineStr">
        <is>
          <t>+27479779725</t>
        </is>
      </c>
      <c r="D445" s="27" t="inlineStr">
        <is>
          <t>KwaZulu-Natal</t>
        </is>
      </c>
      <c r="E445" s="27" t="inlineStr">
        <is>
          <t>Richards Bay</t>
        </is>
      </c>
      <c r="F445" s="41" t="n">
        <v>44308</v>
      </c>
      <c r="G445" s="27" t="inlineStr">
        <is>
          <t>Regular</t>
        </is>
      </c>
      <c r="H445" s="27">
        <f>TRUE()</f>
        <v/>
      </c>
    </row>
    <row r="446" ht="15" customHeight="1" s="24">
      <c r="A446" s="27" t="n">
        <v>380921</v>
      </c>
      <c r="B446" s="27" t="inlineStr">
        <is>
          <t>Werner Dlamini</t>
        </is>
      </c>
      <c r="C446" s="27" t="inlineStr">
        <is>
          <t>+27473980392</t>
        </is>
      </c>
      <c r="D446" s="27" t="inlineStr">
        <is>
          <t>KwaZulu-Natal</t>
        </is>
      </c>
      <c r="E446" s="27" t="inlineStr">
        <is>
          <t>Richards Bay</t>
        </is>
      </c>
      <c r="F446" s="41" t="n">
        <v>46190</v>
      </c>
      <c r="G446" s="27" t="inlineStr">
        <is>
          <t>Dormant</t>
        </is>
      </c>
      <c r="H446" s="27">
        <f>TRUE()</f>
        <v/>
      </c>
    </row>
    <row r="447" ht="15" customHeight="1" s="24">
      <c r="A447" s="27" t="n">
        <v>166297</v>
      </c>
      <c r="B447" s="27" t="inlineStr">
        <is>
          <t>Anika Adams</t>
        </is>
      </c>
      <c r="C447" s="27" t="inlineStr">
        <is>
          <t>+27479036221</t>
        </is>
      </c>
      <c r="D447" s="27" t="inlineStr">
        <is>
          <t>Mpumalanga</t>
        </is>
      </c>
      <c r="E447" s="27" t="inlineStr">
        <is>
          <t>Secunda</t>
        </is>
      </c>
      <c r="F447" s="41" t="n">
        <v>45430</v>
      </c>
      <c r="G447" s="27" t="inlineStr">
        <is>
          <t>Occasional</t>
        </is>
      </c>
      <c r="H447" s="27">
        <f>TRUE()</f>
        <v/>
      </c>
    </row>
    <row r="448" ht="15" customHeight="1" s="24">
      <c r="A448" s="27" t="n">
        <v>224687</v>
      </c>
      <c r="B448" s="27" t="inlineStr">
        <is>
          <t>Chloe Maluleke</t>
        </is>
      </c>
      <c r="C448" s="27" t="inlineStr">
        <is>
          <t>+27479906065</t>
        </is>
      </c>
      <c r="D448" s="27" t="inlineStr">
        <is>
          <t>KwaZulu-Natal</t>
        </is>
      </c>
      <c r="E448" s="27" t="inlineStr">
        <is>
          <t>Richards Bay</t>
        </is>
      </c>
      <c r="F448" s="41" t="n">
        <v>45085</v>
      </c>
      <c r="G448" s="27" t="inlineStr">
        <is>
          <t>Frequent</t>
        </is>
      </c>
      <c r="H448" s="27">
        <f>FALSE()</f>
        <v/>
      </c>
    </row>
    <row r="449" ht="15" customHeight="1" s="24">
      <c r="A449" s="27" t="n">
        <v>366837</v>
      </c>
      <c r="B449" s="27" t="inlineStr">
        <is>
          <t>Megan Adams</t>
        </is>
      </c>
      <c r="C449" s="27" t="inlineStr">
        <is>
          <t>+27473671164</t>
        </is>
      </c>
      <c r="D449" s="27" t="inlineStr">
        <is>
          <t>Western Cape</t>
        </is>
      </c>
      <c r="E449" s="27" t="inlineStr">
        <is>
          <t>Stellenbosch</t>
        </is>
      </c>
      <c r="F449" s="41" t="n">
        <v>44559</v>
      </c>
      <c r="G449" s="27" t="inlineStr">
        <is>
          <t>Occasional</t>
        </is>
      </c>
      <c r="H449" s="27">
        <f>TRUE()</f>
        <v/>
      </c>
    </row>
    <row r="450" ht="15" customHeight="1" s="24">
      <c r="A450" s="27" t="n">
        <v>224913</v>
      </c>
      <c r="B450" s="27" t="inlineStr">
        <is>
          <t>Ayanda van der Merwe</t>
        </is>
      </c>
      <c r="C450" s="27" t="inlineStr">
        <is>
          <t>+27479023676</t>
        </is>
      </c>
      <c r="D450" s="27" t="inlineStr">
        <is>
          <t>Gauteng</t>
        </is>
      </c>
      <c r="E450" s="27" t="inlineStr">
        <is>
          <t>Johannesburg</t>
        </is>
      </c>
      <c r="F450" s="41" t="n">
        <v>45278</v>
      </c>
      <c r="G450" s="27" t="inlineStr">
        <is>
          <t>Regular</t>
        </is>
      </c>
      <c r="H450" s="27">
        <f>TRUE()</f>
        <v/>
      </c>
    </row>
    <row r="451" ht="15" customHeight="1" s="24">
      <c r="A451" s="27" t="n">
        <v>246840</v>
      </c>
      <c r="B451" s="27" t="inlineStr">
        <is>
          <t>Bongani Khumalo</t>
        </is>
      </c>
      <c r="C451" s="27" t="inlineStr">
        <is>
          <t>+27478935167</t>
        </is>
      </c>
      <c r="D451" s="27" t="inlineStr">
        <is>
          <t>Limpopo</t>
        </is>
      </c>
      <c r="E451" s="27" t="inlineStr">
        <is>
          <t>Tzaneen</t>
        </is>
      </c>
      <c r="F451" s="41" t="n">
        <v>45238</v>
      </c>
      <c r="G451" s="27" t="inlineStr">
        <is>
          <t>Frequent</t>
        </is>
      </c>
      <c r="H451" s="27">
        <f>FALSE()</f>
        <v/>
      </c>
    </row>
    <row r="452" ht="15" customHeight="1" s="24">
      <c r="A452" s="27" t="n">
        <v>77279</v>
      </c>
      <c r="B452" s="27" t="inlineStr">
        <is>
          <t>Daniel van der Merwe</t>
        </is>
      </c>
      <c r="C452" s="27" t="inlineStr">
        <is>
          <t>+27472150737</t>
        </is>
      </c>
      <c r="D452" s="27" t="inlineStr">
        <is>
          <t>Eastern Cape</t>
        </is>
      </c>
      <c r="E452" s="27" t="inlineStr">
        <is>
          <t>Gqeberha</t>
        </is>
      </c>
      <c r="F452" s="41" t="n">
        <v>46125</v>
      </c>
      <c r="G452" s="27" t="inlineStr">
        <is>
          <t>Regular</t>
        </is>
      </c>
      <c r="H452" s="27">
        <f>TRUE()</f>
        <v/>
      </c>
    </row>
    <row r="453" ht="15" customHeight="1" s="24">
      <c r="A453" s="27" t="n">
        <v>331765</v>
      </c>
      <c r="B453" s="27" t="inlineStr">
        <is>
          <t>Emma Venter</t>
        </is>
      </c>
      <c r="C453" s="27" t="inlineStr">
        <is>
          <t>+27473317881</t>
        </is>
      </c>
      <c r="D453" s="27" t="inlineStr">
        <is>
          <t>Eastern Cape</t>
        </is>
      </c>
      <c r="E453" s="27" t="inlineStr">
        <is>
          <t>Mthatha</t>
        </is>
      </c>
      <c r="F453" s="41" t="n">
        <v>45554</v>
      </c>
      <c r="G453" s="27" t="inlineStr">
        <is>
          <t>Dormant</t>
        </is>
      </c>
      <c r="H453" s="27">
        <f>TRUE()</f>
        <v/>
      </c>
    </row>
    <row r="454" ht="15" customHeight="1" s="24">
      <c r="A454" s="27" t="n">
        <v>4203</v>
      </c>
      <c r="B454" s="27" t="inlineStr">
        <is>
          <t>Bongani Pillay</t>
        </is>
      </c>
      <c r="C454" s="27" t="inlineStr">
        <is>
          <t>+27476304472</t>
        </is>
      </c>
      <c r="D454" s="27" t="inlineStr">
        <is>
          <t>Eastern Cape</t>
        </is>
      </c>
      <c r="E454" s="27" t="inlineStr">
        <is>
          <t>Gqeberha</t>
        </is>
      </c>
      <c r="F454" s="41" t="n">
        <v>45932</v>
      </c>
      <c r="G454" s="27" t="inlineStr">
        <is>
          <t>Dormant</t>
        </is>
      </c>
      <c r="H454" s="27">
        <f>TRUE()</f>
        <v/>
      </c>
    </row>
    <row r="455" ht="15" customHeight="1" s="24">
      <c r="A455" s="27" t="n">
        <v>56740</v>
      </c>
      <c r="B455" s="27" t="inlineStr">
        <is>
          <t>Lerato Khumalo</t>
        </is>
      </c>
      <c r="C455" s="27" t="inlineStr">
        <is>
          <t>+27472833482</t>
        </is>
      </c>
      <c r="D455" s="27" t="inlineStr">
        <is>
          <t>Gauteng</t>
        </is>
      </c>
      <c r="E455" s="27" t="inlineStr">
        <is>
          <t>Roodepoort</t>
        </is>
      </c>
      <c r="F455" s="41" t="n">
        <v>45593</v>
      </c>
      <c r="G455" s="27" t="inlineStr">
        <is>
          <t>Regular</t>
        </is>
      </c>
      <c r="H455" s="27">
        <f>TRUE()</f>
        <v/>
      </c>
    </row>
    <row r="456" ht="15" customHeight="1" s="24">
      <c r="A456" s="27" t="n">
        <v>119693</v>
      </c>
      <c r="B456" s="27" t="inlineStr">
        <is>
          <t>Khanyi Daniels</t>
        </is>
      </c>
      <c r="C456" s="27" t="inlineStr">
        <is>
          <t>+27476880565</t>
        </is>
      </c>
      <c r="D456" s="27" t="inlineStr">
        <is>
          <t>KwaZulu-Natal</t>
        </is>
      </c>
      <c r="E456" s="27" t="inlineStr">
        <is>
          <t>Richards Bay</t>
        </is>
      </c>
      <c r="F456" s="41" t="n">
        <v>45959</v>
      </c>
      <c r="G456" s="27" t="inlineStr">
        <is>
          <t>Regular</t>
        </is>
      </c>
      <c r="H456" s="27">
        <f>TRUE()</f>
        <v/>
      </c>
    </row>
    <row r="457" ht="15" customHeight="1" s="24">
      <c r="A457" s="27" t="n">
        <v>52447</v>
      </c>
      <c r="B457" s="27" t="inlineStr">
        <is>
          <t>Daniel Mahlangu</t>
        </is>
      </c>
      <c r="C457" s="27" t="inlineStr">
        <is>
          <t>+27478068106</t>
        </is>
      </c>
      <c r="D457" s="27" t="inlineStr">
        <is>
          <t>Western Cape</t>
        </is>
      </c>
      <c r="E457" s="27" t="inlineStr">
        <is>
          <t>Bellville</t>
        </is>
      </c>
      <c r="F457" s="41" t="n">
        <v>44677</v>
      </c>
      <c r="G457" s="27" t="inlineStr">
        <is>
          <t>Regular</t>
        </is>
      </c>
      <c r="H457" s="27">
        <f>TRUE()</f>
        <v/>
      </c>
    </row>
    <row r="458" ht="15" customHeight="1" s="24">
      <c r="A458" s="27" t="n">
        <v>186127</v>
      </c>
      <c r="B458" s="27" t="inlineStr">
        <is>
          <t>Riaan Pretorius</t>
        </is>
      </c>
      <c r="C458" s="27" t="inlineStr">
        <is>
          <t>+27474615989</t>
        </is>
      </c>
      <c r="D458" s="27" t="inlineStr">
        <is>
          <t>KwaZulu-Natal</t>
        </is>
      </c>
      <c r="E458" s="27" t="inlineStr">
        <is>
          <t>Pinetown</t>
        </is>
      </c>
      <c r="F458" s="41" t="n">
        <v>44896</v>
      </c>
      <c r="G458" s="27" t="inlineStr">
        <is>
          <t>Occasional</t>
        </is>
      </c>
      <c r="H458" s="27">
        <f>TRUE()</f>
        <v/>
      </c>
    </row>
    <row r="459" ht="15" customHeight="1" s="24">
      <c r="A459" s="27" t="n">
        <v>227240</v>
      </c>
      <c r="B459" s="27" t="inlineStr">
        <is>
          <t>Sarah Mabaso</t>
        </is>
      </c>
      <c r="C459" s="27" t="inlineStr">
        <is>
          <t>+27471331106</t>
        </is>
      </c>
      <c r="D459" s="27" t="inlineStr">
        <is>
          <t>Limpopo</t>
        </is>
      </c>
      <c r="E459" s="27" t="inlineStr">
        <is>
          <t>Tzaneen</t>
        </is>
      </c>
      <c r="F459" s="41" t="n">
        <v>44441</v>
      </c>
      <c r="G459" s="27" t="inlineStr">
        <is>
          <t>Occasional</t>
        </is>
      </c>
      <c r="H459" s="27">
        <f>TRUE()</f>
        <v/>
      </c>
    </row>
    <row r="460" ht="15" customHeight="1" s="24">
      <c r="A460" s="27" t="n">
        <v>136113</v>
      </c>
      <c r="B460" s="27" t="inlineStr">
        <is>
          <t>Naledi Mthembu</t>
        </is>
      </c>
      <c r="C460" s="27" t="inlineStr">
        <is>
          <t>+27472582965</t>
        </is>
      </c>
      <c r="D460" s="27" t="inlineStr">
        <is>
          <t>Western Cape</t>
        </is>
      </c>
      <c r="E460" s="27" t="inlineStr">
        <is>
          <t>Paarl</t>
        </is>
      </c>
      <c r="F460" s="41" t="n">
        <v>44572</v>
      </c>
      <c r="G460" s="27" t="inlineStr">
        <is>
          <t>Occasional</t>
        </is>
      </c>
      <c r="H460" s="27">
        <f>TRUE()</f>
        <v/>
      </c>
    </row>
    <row r="461" ht="15" customHeight="1" s="24">
      <c r="A461" s="27" t="n">
        <v>75593</v>
      </c>
      <c r="B461" s="27" t="inlineStr">
        <is>
          <t>Riaan Maluleke</t>
        </is>
      </c>
      <c r="C461" s="27" t="inlineStr">
        <is>
          <t>+27478379757</t>
        </is>
      </c>
      <c r="D461" s="27" t="inlineStr">
        <is>
          <t>Western Cape</t>
        </is>
      </c>
      <c r="E461" s="27" t="inlineStr">
        <is>
          <t>Cape Town</t>
        </is>
      </c>
      <c r="F461" s="41" t="n">
        <v>45104</v>
      </c>
      <c r="G461" s="27" t="inlineStr">
        <is>
          <t>Regular</t>
        </is>
      </c>
      <c r="H461" s="27">
        <f>TRUE()</f>
        <v/>
      </c>
    </row>
    <row r="462" ht="15" customHeight="1" s="24">
      <c r="A462" s="27" t="n">
        <v>316886</v>
      </c>
      <c r="B462" s="27" t="inlineStr">
        <is>
          <t>Pieter Pillay</t>
        </is>
      </c>
      <c r="C462" s="27" t="inlineStr">
        <is>
          <t>+27474298881</t>
        </is>
      </c>
      <c r="D462" s="27" t="inlineStr">
        <is>
          <t>Mpumalanga</t>
        </is>
      </c>
      <c r="E462" s="27" t="inlineStr">
        <is>
          <t>Mbombela</t>
        </is>
      </c>
      <c r="F462" s="41" t="n">
        <v>45678</v>
      </c>
      <c r="G462" s="27" t="inlineStr">
        <is>
          <t>Regular</t>
        </is>
      </c>
      <c r="H462" s="27">
        <f>TRUE()</f>
        <v/>
      </c>
    </row>
    <row r="463" ht="15" customHeight="1" s="24">
      <c r="A463" s="27" t="n">
        <v>55808</v>
      </c>
      <c r="B463" s="27" t="inlineStr">
        <is>
          <t>Ayanda Pillay</t>
        </is>
      </c>
      <c r="C463" s="27" t="inlineStr">
        <is>
          <t>+27473410725</t>
        </is>
      </c>
      <c r="D463" s="27" t="inlineStr">
        <is>
          <t>Free State</t>
        </is>
      </c>
      <c r="E463" s="27" t="inlineStr">
        <is>
          <t>Welkom</t>
        </is>
      </c>
      <c r="F463" s="41" t="n">
        <v>44901</v>
      </c>
      <c r="G463" s="27" t="inlineStr">
        <is>
          <t>Occasional</t>
        </is>
      </c>
      <c r="H463" s="27">
        <f>TRUE()</f>
        <v/>
      </c>
    </row>
    <row r="464" ht="15" customHeight="1" s="24">
      <c r="A464" s="27" t="n">
        <v>106972</v>
      </c>
      <c r="B464" s="27" t="inlineStr">
        <is>
          <t>Fatima Khumalo</t>
        </is>
      </c>
      <c r="C464" s="27" t="inlineStr">
        <is>
          <t>+27474577157</t>
        </is>
      </c>
      <c r="D464" s="27" t="inlineStr">
        <is>
          <t>Gauteng</t>
        </is>
      </c>
      <c r="E464" s="27" t="inlineStr">
        <is>
          <t>Johannesburg</t>
        </is>
      </c>
      <c r="F464" s="41" t="n">
        <v>44461</v>
      </c>
      <c r="G464" s="27" t="inlineStr">
        <is>
          <t>Occasional</t>
        </is>
      </c>
      <c r="H464" s="27">
        <f>TRUE()</f>
        <v/>
      </c>
    </row>
    <row r="465" ht="15" customHeight="1" s="24">
      <c r="A465" s="27" t="n">
        <v>148691</v>
      </c>
      <c r="B465" s="27" t="inlineStr">
        <is>
          <t>Sarah Venter</t>
        </is>
      </c>
      <c r="C465" s="27" t="inlineStr">
        <is>
          <t>+27479121204</t>
        </is>
      </c>
      <c r="D465" s="27" t="inlineStr">
        <is>
          <t>Gauteng</t>
        </is>
      </c>
      <c r="E465" s="27" t="inlineStr">
        <is>
          <t>Johannesburg</t>
        </is>
      </c>
      <c r="F465" s="41" t="n">
        <v>44774</v>
      </c>
      <c r="G465" s="27" t="inlineStr">
        <is>
          <t>Dormant</t>
        </is>
      </c>
      <c r="H465" s="27">
        <f>TRUE()</f>
        <v/>
      </c>
    </row>
    <row r="466" ht="15" customHeight="1" s="24">
      <c r="A466" s="27" t="n">
        <v>140898</v>
      </c>
      <c r="B466" s="27" t="inlineStr">
        <is>
          <t>Khanyi Fourie</t>
        </is>
      </c>
      <c r="C466" s="27" t="inlineStr">
        <is>
          <t>+27472376602</t>
        </is>
      </c>
      <c r="D466" s="27" t="inlineStr">
        <is>
          <t>Eastern Cape</t>
        </is>
      </c>
      <c r="E466" s="27" t="inlineStr">
        <is>
          <t>Uitenhage</t>
        </is>
      </c>
      <c r="F466" s="41" t="n">
        <v>45885</v>
      </c>
      <c r="G466" s="27" t="inlineStr">
        <is>
          <t>Regular</t>
        </is>
      </c>
      <c r="H466" s="27">
        <f>TRUE()</f>
        <v/>
      </c>
    </row>
    <row r="467" ht="15" customHeight="1" s="24">
      <c r="A467" s="27" t="n">
        <v>62460</v>
      </c>
      <c r="B467" s="27" t="inlineStr">
        <is>
          <t>Zanele Venter</t>
        </is>
      </c>
      <c r="C467" s="27" t="inlineStr">
        <is>
          <t>+27473907580</t>
        </is>
      </c>
      <c r="D467" s="27" t="inlineStr">
        <is>
          <t>Western Cape</t>
        </is>
      </c>
      <c r="E467" s="27" t="inlineStr">
        <is>
          <t>Cape Town</t>
        </is>
      </c>
      <c r="F467" s="41" t="n">
        <v>46181</v>
      </c>
      <c r="G467" s="27" t="inlineStr">
        <is>
          <t>Regular</t>
        </is>
      </c>
      <c r="H467" s="27">
        <f>TRUE()</f>
        <v/>
      </c>
    </row>
    <row r="468" ht="15" customHeight="1" s="24">
      <c r="A468" s="27" t="n">
        <v>293851</v>
      </c>
      <c r="B468" s="27" t="inlineStr">
        <is>
          <t>Mandla Mahlangu</t>
        </is>
      </c>
      <c r="C468" s="27" t="inlineStr">
        <is>
          <t>+27476177109</t>
        </is>
      </c>
      <c r="D468" s="27" t="inlineStr">
        <is>
          <t>North West</t>
        </is>
      </c>
      <c r="E468" s="27" t="inlineStr">
        <is>
          <t>Klerksdorp</t>
        </is>
      </c>
      <c r="F468" s="41" t="n">
        <v>44419</v>
      </c>
      <c r="G468" s="27" t="inlineStr">
        <is>
          <t>Occasional</t>
        </is>
      </c>
      <c r="H468" s="27">
        <f>FALSE()</f>
        <v/>
      </c>
    </row>
    <row r="469" ht="15" customHeight="1" s="24">
      <c r="A469" s="27" t="n">
        <v>247688</v>
      </c>
      <c r="B469" s="27" t="inlineStr">
        <is>
          <t>Precious Nkosi</t>
        </is>
      </c>
      <c r="C469" s="27" t="inlineStr">
        <is>
          <t>+27479101788</t>
        </is>
      </c>
      <c r="D469" s="27" t="inlineStr">
        <is>
          <t>Western Cape</t>
        </is>
      </c>
      <c r="E469" s="27" t="inlineStr">
        <is>
          <t>Table View</t>
        </is>
      </c>
      <c r="F469" s="41" t="n">
        <v>45733</v>
      </c>
      <c r="G469" s="27" t="inlineStr">
        <is>
          <t>Occasional</t>
        </is>
      </c>
      <c r="H469" s="27">
        <f>TRUE()</f>
        <v/>
      </c>
    </row>
    <row r="470" ht="15" customHeight="1" s="24">
      <c r="A470" s="27" t="n">
        <v>367844</v>
      </c>
      <c r="B470" s="27" t="inlineStr">
        <is>
          <t>Riaan Tshabalala</t>
        </is>
      </c>
      <c r="C470" s="27" t="inlineStr">
        <is>
          <t>+27473073773</t>
        </is>
      </c>
      <c r="D470" s="27" t="inlineStr">
        <is>
          <t>Limpopo</t>
        </is>
      </c>
      <c r="E470" s="27" t="inlineStr">
        <is>
          <t>Polokwane</t>
        </is>
      </c>
      <c r="F470" s="41" t="n">
        <v>44323</v>
      </c>
      <c r="G470" s="27" t="inlineStr">
        <is>
          <t>Occasional</t>
        </is>
      </c>
      <c r="H470" s="27">
        <f>TRUE()</f>
        <v/>
      </c>
    </row>
    <row r="471" ht="15" customHeight="1" s="24">
      <c r="A471" s="27" t="n">
        <v>101901</v>
      </c>
      <c r="B471" s="27" t="inlineStr">
        <is>
          <t>Daniel Daniels</t>
        </is>
      </c>
      <c r="C471" s="27" t="inlineStr">
        <is>
          <t>+27472626168</t>
        </is>
      </c>
      <c r="D471" s="27" t="inlineStr">
        <is>
          <t>Gauteng</t>
        </is>
      </c>
      <c r="E471" s="27" t="inlineStr">
        <is>
          <t>Pretoria</t>
        </is>
      </c>
      <c r="F471" s="41" t="n">
        <v>45747</v>
      </c>
      <c r="G471" s="27" t="inlineStr">
        <is>
          <t>Dormant</t>
        </is>
      </c>
      <c r="H471" s="27">
        <f>TRUE()</f>
        <v/>
      </c>
    </row>
    <row r="472" ht="15" customHeight="1" s="24">
      <c r="A472" s="27" t="n">
        <v>295697</v>
      </c>
      <c r="B472" s="27" t="inlineStr">
        <is>
          <t>Zanele Mthembu</t>
        </is>
      </c>
      <c r="C472" s="27" t="inlineStr">
        <is>
          <t>+27471101217</t>
        </is>
      </c>
      <c r="D472" s="27" t="inlineStr">
        <is>
          <t>Gauteng</t>
        </is>
      </c>
      <c r="E472" s="27" t="inlineStr">
        <is>
          <t>Midrand</t>
        </is>
      </c>
      <c r="F472" s="41" t="n">
        <v>45240</v>
      </c>
      <c r="G472" s="27" t="inlineStr">
        <is>
          <t>Dormant</t>
        </is>
      </c>
      <c r="H472" s="27">
        <f>TRUE()</f>
        <v/>
      </c>
    </row>
    <row r="473" ht="15" customHeight="1" s="24">
      <c r="A473" s="27" t="n">
        <v>216262</v>
      </c>
      <c r="B473" s="27" t="inlineStr">
        <is>
          <t>Daniel Naidoo</t>
        </is>
      </c>
      <c r="C473" s="27" t="inlineStr">
        <is>
          <t>+27472252533</t>
        </is>
      </c>
      <c r="D473" s="27" t="inlineStr">
        <is>
          <t>Gauteng</t>
        </is>
      </c>
      <c r="E473" s="27" t="inlineStr">
        <is>
          <t>Johannesburg</t>
        </is>
      </c>
      <c r="F473" s="41" t="n">
        <v>45296</v>
      </c>
      <c r="G473" s="27" t="inlineStr">
        <is>
          <t>Occasional</t>
        </is>
      </c>
      <c r="H473" s="27">
        <f>TRUE()</f>
        <v/>
      </c>
    </row>
    <row r="474" ht="15" customHeight="1" s="24">
      <c r="A474" s="27" t="n">
        <v>160394</v>
      </c>
      <c r="B474" s="27" t="inlineStr">
        <is>
          <t>Fatima Daniels</t>
        </is>
      </c>
      <c r="C474" s="27" t="inlineStr">
        <is>
          <t>+27473705438</t>
        </is>
      </c>
      <c r="D474" s="27" t="inlineStr">
        <is>
          <t>KwaZulu-Natal</t>
        </is>
      </c>
      <c r="E474" s="27" t="inlineStr">
        <is>
          <t>Umhlanga</t>
        </is>
      </c>
      <c r="F474" s="41" t="n">
        <v>44631</v>
      </c>
      <c r="G474" s="27" t="inlineStr">
        <is>
          <t>Dormant</t>
        </is>
      </c>
      <c r="H474" s="27">
        <f>TRUE()</f>
        <v/>
      </c>
    </row>
    <row r="475" ht="15" customHeight="1" s="24">
      <c r="A475" s="27" t="n">
        <v>17136</v>
      </c>
      <c r="B475" s="27" t="inlineStr">
        <is>
          <t>Nomvula Botha</t>
        </is>
      </c>
      <c r="C475" s="27" t="inlineStr">
        <is>
          <t>+27474815189</t>
        </is>
      </c>
      <c r="D475" s="27" t="inlineStr">
        <is>
          <t>Gauteng</t>
        </is>
      </c>
      <c r="E475" s="27" t="inlineStr">
        <is>
          <t>Pretoria</t>
        </is>
      </c>
      <c r="F475" s="41" t="n">
        <v>46115</v>
      </c>
      <c r="G475" s="27" t="inlineStr">
        <is>
          <t>Dormant</t>
        </is>
      </c>
      <c r="H475" s="27">
        <f>TRUE()</f>
        <v/>
      </c>
    </row>
    <row r="476" ht="15" customHeight="1" s="24">
      <c r="A476" s="27" t="n">
        <v>371863</v>
      </c>
      <c r="B476" s="27" t="inlineStr">
        <is>
          <t>Mandla Khumalo</t>
        </is>
      </c>
      <c r="C476" s="27" t="inlineStr">
        <is>
          <t>+27478158409</t>
        </is>
      </c>
      <c r="D476" s="27" t="inlineStr">
        <is>
          <t>KwaZulu-Natal</t>
        </is>
      </c>
      <c r="E476" s="27" t="inlineStr">
        <is>
          <t>Newcastle</t>
        </is>
      </c>
      <c r="F476" s="41" t="n">
        <v>45364</v>
      </c>
      <c r="G476" s="27" t="inlineStr">
        <is>
          <t>Frequent</t>
        </is>
      </c>
      <c r="H476" s="27">
        <f>TRUE()</f>
        <v/>
      </c>
    </row>
    <row r="477" ht="15" customHeight="1" s="24">
      <c r="A477" s="27" t="n">
        <v>389979</v>
      </c>
      <c r="B477" s="27" t="inlineStr">
        <is>
          <t>Jaco Jacobs</t>
        </is>
      </c>
      <c r="C477" s="27" t="inlineStr">
        <is>
          <t>+27475375075</t>
        </is>
      </c>
      <c r="D477" s="27" t="inlineStr">
        <is>
          <t>Free State</t>
        </is>
      </c>
      <c r="E477" s="27" t="inlineStr">
        <is>
          <t>Bloemfontein</t>
        </is>
      </c>
      <c r="F477" s="41" t="n">
        <v>45412</v>
      </c>
      <c r="G477" s="27" t="inlineStr">
        <is>
          <t>Occasional</t>
        </is>
      </c>
      <c r="H477" s="27">
        <f>TRUE()</f>
        <v/>
      </c>
    </row>
    <row r="478" ht="15" customHeight="1" s="24">
      <c r="A478" s="27" t="n">
        <v>265670</v>
      </c>
      <c r="B478" s="27" t="inlineStr">
        <is>
          <t>Tshepo Tshabalala</t>
        </is>
      </c>
      <c r="C478" s="27" t="inlineStr">
        <is>
          <t>+27477509150</t>
        </is>
      </c>
      <c r="D478" s="27" t="inlineStr">
        <is>
          <t>Eastern Cape</t>
        </is>
      </c>
      <c r="E478" s="27" t="inlineStr">
        <is>
          <t>Gqeberha</t>
        </is>
      </c>
      <c r="F478" s="41" t="n">
        <v>45444</v>
      </c>
      <c r="G478" s="27" t="inlineStr">
        <is>
          <t>Dormant</t>
        </is>
      </c>
      <c r="H478" s="27">
        <f>TRUE()</f>
        <v/>
      </c>
    </row>
    <row r="479" ht="15" customHeight="1" s="24">
      <c r="A479" s="27" t="n">
        <v>47616</v>
      </c>
      <c r="B479" s="27" t="inlineStr">
        <is>
          <t>Riaan Khumalo</t>
        </is>
      </c>
      <c r="C479" s="27" t="inlineStr">
        <is>
          <t>+27478570495</t>
        </is>
      </c>
      <c r="D479" s="27" t="inlineStr">
        <is>
          <t>Gauteng</t>
        </is>
      </c>
      <c r="E479" s="27" t="inlineStr">
        <is>
          <t>Soweto</t>
        </is>
      </c>
      <c r="F479" s="41" t="n">
        <v>44506</v>
      </c>
      <c r="G479" s="27" t="inlineStr">
        <is>
          <t>Occasional</t>
        </is>
      </c>
      <c r="H479" s="27">
        <f>FALSE()</f>
        <v/>
      </c>
    </row>
    <row r="480" ht="15" customHeight="1" s="24">
      <c r="A480" s="27" t="n">
        <v>312986</v>
      </c>
      <c r="B480" s="27" t="inlineStr">
        <is>
          <t>Bongani Mabaso</t>
        </is>
      </c>
      <c r="C480" s="27" t="inlineStr">
        <is>
          <t>+27473152667</t>
        </is>
      </c>
      <c r="D480" s="27" t="inlineStr">
        <is>
          <t>Gauteng</t>
        </is>
      </c>
      <c r="E480" s="27" t="inlineStr">
        <is>
          <t>Johannesburg</t>
        </is>
      </c>
      <c r="F480" s="41" t="n">
        <v>46025</v>
      </c>
      <c r="G480" s="27" t="inlineStr">
        <is>
          <t>Occasional</t>
        </is>
      </c>
      <c r="H480" s="27">
        <f>TRUE()</f>
        <v/>
      </c>
    </row>
    <row r="481" ht="15" customHeight="1" s="24">
      <c r="A481" s="27" t="n">
        <v>332253</v>
      </c>
      <c r="B481" s="27" t="inlineStr">
        <is>
          <t>Lwazi Mahlangu</t>
        </is>
      </c>
      <c r="C481" s="27" t="inlineStr">
        <is>
          <t>+27472287839</t>
        </is>
      </c>
      <c r="D481" s="27" t="inlineStr">
        <is>
          <t>KwaZulu-Natal</t>
        </is>
      </c>
      <c r="E481" s="27" t="inlineStr">
        <is>
          <t>Pietermaritzburg</t>
        </is>
      </c>
      <c r="F481" s="41" t="n">
        <v>45129</v>
      </c>
      <c r="G481" s="27" t="inlineStr">
        <is>
          <t>Regular</t>
        </is>
      </c>
      <c r="H481" s="27">
        <f>TRUE()</f>
        <v/>
      </c>
    </row>
    <row r="482" ht="15" customHeight="1" s="24">
      <c r="A482" s="27" t="n">
        <v>232798</v>
      </c>
      <c r="B482" s="27" t="inlineStr">
        <is>
          <t>Precious Hendricks</t>
        </is>
      </c>
      <c r="C482" s="27" t="inlineStr">
        <is>
          <t>+27474971335</t>
        </is>
      </c>
      <c r="D482" s="27" t="inlineStr">
        <is>
          <t>KwaZulu-Natal</t>
        </is>
      </c>
      <c r="E482" s="27" t="inlineStr">
        <is>
          <t>Richards Bay</t>
        </is>
      </c>
      <c r="F482" s="41" t="n">
        <v>44818</v>
      </c>
      <c r="G482" s="27" t="inlineStr">
        <is>
          <t>Occasional</t>
        </is>
      </c>
      <c r="H482" s="27">
        <f>FALSE()</f>
        <v/>
      </c>
    </row>
    <row r="483" ht="15" customHeight="1" s="24">
      <c r="A483" s="27" t="n">
        <v>192834</v>
      </c>
      <c r="B483" s="27" t="inlineStr">
        <is>
          <t>Lwazi Mokoena</t>
        </is>
      </c>
      <c r="C483" s="27" t="inlineStr">
        <is>
          <t>+27475319616</t>
        </is>
      </c>
      <c r="D483" s="27" t="inlineStr">
        <is>
          <t>Free State</t>
        </is>
      </c>
      <c r="E483" s="27" t="inlineStr">
        <is>
          <t>Bethlehem</t>
        </is>
      </c>
      <c r="F483" s="41" t="n">
        <v>45288</v>
      </c>
      <c r="G483" s="27" t="inlineStr">
        <is>
          <t>Occasional</t>
        </is>
      </c>
      <c r="H483" s="27">
        <f>TRUE()</f>
        <v/>
      </c>
    </row>
    <row r="484" ht="15" customHeight="1" s="24">
      <c r="A484" s="27" t="n">
        <v>263200</v>
      </c>
      <c r="B484" s="27" t="inlineStr">
        <is>
          <t>Bongani Naidoo</t>
        </is>
      </c>
      <c r="C484" s="27" t="inlineStr">
        <is>
          <t>+27472981388</t>
        </is>
      </c>
      <c r="D484" s="27" t="inlineStr">
        <is>
          <t>Gauteng</t>
        </is>
      </c>
      <c r="E484" s="27" t="inlineStr">
        <is>
          <t>Johannesburg</t>
        </is>
      </c>
      <c r="F484" s="41" t="n">
        <v>44384</v>
      </c>
      <c r="G484" s="27" t="inlineStr">
        <is>
          <t>Dormant</t>
        </is>
      </c>
      <c r="H484" s="27">
        <f>TRUE()</f>
        <v/>
      </c>
    </row>
    <row r="485" ht="15" customHeight="1" s="24">
      <c r="A485" s="27" t="n">
        <v>327206</v>
      </c>
      <c r="B485" s="27" t="inlineStr">
        <is>
          <t>Zanele Daniels</t>
        </is>
      </c>
      <c r="C485" s="27" t="inlineStr">
        <is>
          <t>+27476339489</t>
        </is>
      </c>
      <c r="D485" s="27" t="inlineStr">
        <is>
          <t>Gauteng</t>
        </is>
      </c>
      <c r="E485" s="27" t="inlineStr">
        <is>
          <t>Johannesburg</t>
        </is>
      </c>
      <c r="F485" s="41" t="n">
        <v>44915</v>
      </c>
      <c r="G485" s="27" t="inlineStr">
        <is>
          <t>Occasional</t>
        </is>
      </c>
      <c r="H485" s="27">
        <f>TRUE()</f>
        <v/>
      </c>
    </row>
    <row r="486" ht="15" customHeight="1" s="24">
      <c r="A486" s="27" t="n">
        <v>266566</v>
      </c>
      <c r="B486" s="27" t="inlineStr">
        <is>
          <t>Refilwe Khumalo</t>
        </is>
      </c>
      <c r="C486" s="27" t="inlineStr">
        <is>
          <t>+27477169275</t>
        </is>
      </c>
      <c r="D486" s="27" t="inlineStr">
        <is>
          <t>KwaZulu-Natal</t>
        </is>
      </c>
      <c r="E486" s="27" t="inlineStr">
        <is>
          <t>Newcastle</t>
        </is>
      </c>
      <c r="F486" s="41" t="n">
        <v>44566</v>
      </c>
      <c r="G486" s="27" t="inlineStr">
        <is>
          <t>Regular</t>
        </is>
      </c>
      <c r="H486" s="27">
        <f>TRUE()</f>
        <v/>
      </c>
    </row>
    <row r="487" ht="15" customHeight="1" s="24">
      <c r="A487" s="27" t="n">
        <v>236798</v>
      </c>
      <c r="B487" s="27" t="inlineStr">
        <is>
          <t>Zanele Dlamini</t>
        </is>
      </c>
      <c r="C487" s="27" t="inlineStr">
        <is>
          <t>+27477946166</t>
        </is>
      </c>
      <c r="D487" s="27" t="inlineStr">
        <is>
          <t>KwaZulu-Natal</t>
        </is>
      </c>
      <c r="E487" s="27" t="inlineStr">
        <is>
          <t>Pinetown</t>
        </is>
      </c>
      <c r="F487" s="41" t="n">
        <v>46004</v>
      </c>
      <c r="G487" s="27" t="inlineStr">
        <is>
          <t>Dormant</t>
        </is>
      </c>
      <c r="H487" s="27">
        <f>TRUE()</f>
        <v/>
      </c>
    </row>
    <row r="488" ht="15" customHeight="1" s="24">
      <c r="A488" s="27" t="n">
        <v>194396</v>
      </c>
      <c r="B488" s="27" t="inlineStr">
        <is>
          <t>Werner Pillay</t>
        </is>
      </c>
      <c r="C488" s="27" t="inlineStr">
        <is>
          <t>+27472652560</t>
        </is>
      </c>
      <c r="D488" s="27" t="inlineStr">
        <is>
          <t>Eastern Cape</t>
        </is>
      </c>
      <c r="E488" s="27" t="inlineStr">
        <is>
          <t>Uitenhage</t>
        </is>
      </c>
      <c r="F488" s="41" t="n">
        <v>45707</v>
      </c>
      <c r="G488" s="27" t="inlineStr">
        <is>
          <t>Regular</t>
        </is>
      </c>
      <c r="H488" s="27">
        <f>TRUE()</f>
        <v/>
      </c>
    </row>
    <row r="489" ht="15" customHeight="1" s="24">
      <c r="A489" s="27" t="n">
        <v>345091</v>
      </c>
      <c r="B489" s="27" t="inlineStr">
        <is>
          <t>Lerato Dlamini</t>
        </is>
      </c>
      <c r="C489" s="27" t="inlineStr">
        <is>
          <t>+27473865964</t>
        </is>
      </c>
      <c r="D489" s="27" t="inlineStr">
        <is>
          <t>Western Cape</t>
        </is>
      </c>
      <c r="E489" s="27" t="inlineStr">
        <is>
          <t>Stellenbosch</t>
        </is>
      </c>
      <c r="F489" s="41" t="n">
        <v>46052</v>
      </c>
      <c r="G489" s="27" t="inlineStr">
        <is>
          <t>Occasional</t>
        </is>
      </c>
      <c r="H489" s="27">
        <f>TRUE()</f>
        <v/>
      </c>
    </row>
    <row r="490" ht="15" customHeight="1" s="24">
      <c r="A490" s="27" t="n">
        <v>217928</v>
      </c>
      <c r="B490" s="27" t="inlineStr">
        <is>
          <t>Werner Tshabalala</t>
        </is>
      </c>
      <c r="C490" s="27" t="inlineStr">
        <is>
          <t>+27473356919</t>
        </is>
      </c>
      <c r="D490" s="27" t="inlineStr">
        <is>
          <t>KwaZulu-Natal</t>
        </is>
      </c>
      <c r="E490" s="27" t="inlineStr">
        <is>
          <t>Richards Bay</t>
        </is>
      </c>
      <c r="F490" s="41" t="n">
        <v>44874</v>
      </c>
      <c r="G490" s="27" t="inlineStr">
        <is>
          <t>Regular</t>
        </is>
      </c>
      <c r="H490" s="27">
        <f>TRUE()</f>
        <v/>
      </c>
    </row>
    <row r="491" ht="15" customHeight="1" s="24">
      <c r="A491" s="27" t="n">
        <v>246261</v>
      </c>
      <c r="B491" s="27" t="inlineStr">
        <is>
          <t>Lwazi Naidoo</t>
        </is>
      </c>
      <c r="C491" s="27" t="inlineStr">
        <is>
          <t>+27472313352</t>
        </is>
      </c>
      <c r="D491" s="27" t="inlineStr">
        <is>
          <t>Mpumalanga</t>
        </is>
      </c>
      <c r="E491" s="27" t="inlineStr">
        <is>
          <t>Witbank</t>
        </is>
      </c>
      <c r="F491" s="41" t="n">
        <v>44980</v>
      </c>
      <c r="G491" s="27" t="inlineStr">
        <is>
          <t>Frequent</t>
        </is>
      </c>
      <c r="H491" s="27">
        <f>TRUE()</f>
        <v/>
      </c>
    </row>
    <row r="492" ht="15" customHeight="1" s="24">
      <c r="A492" s="27" t="n">
        <v>24206</v>
      </c>
      <c r="B492" s="27" t="inlineStr">
        <is>
          <t>Refilwe Mokoena</t>
        </is>
      </c>
      <c r="C492" s="27" t="inlineStr">
        <is>
          <t>+27471547800</t>
        </is>
      </c>
      <c r="D492" s="27" t="inlineStr">
        <is>
          <t>Free State</t>
        </is>
      </c>
      <c r="E492" s="27" t="inlineStr">
        <is>
          <t>Bethlehem</t>
        </is>
      </c>
      <c r="F492" s="41" t="n">
        <v>45489</v>
      </c>
      <c r="G492" s="27" t="inlineStr">
        <is>
          <t>Frequent</t>
        </is>
      </c>
      <c r="H492" s="27">
        <f>TRUE()</f>
        <v/>
      </c>
    </row>
    <row r="493" ht="15" customHeight="1" s="24">
      <c r="A493" s="27" t="n">
        <v>186651</v>
      </c>
      <c r="B493" s="27" t="inlineStr">
        <is>
          <t>Khanyi Pretorius</t>
        </is>
      </c>
      <c r="C493" s="27" t="inlineStr">
        <is>
          <t>+27471411670</t>
        </is>
      </c>
      <c r="D493" s="27" t="inlineStr">
        <is>
          <t>North West</t>
        </is>
      </c>
      <c r="E493" s="27" t="inlineStr">
        <is>
          <t>Klerksdorp</t>
        </is>
      </c>
      <c r="F493" s="41" t="n">
        <v>45848</v>
      </c>
      <c r="G493" s="27" t="inlineStr">
        <is>
          <t>Occasional</t>
        </is>
      </c>
      <c r="H493" s="27">
        <f>TRUE()</f>
        <v/>
      </c>
    </row>
    <row r="494" ht="15" customHeight="1" s="24">
      <c r="A494" s="27" t="n">
        <v>142999</v>
      </c>
      <c r="B494" s="27" t="inlineStr">
        <is>
          <t>Ayanda Khumalo</t>
        </is>
      </c>
      <c r="C494" s="27" t="inlineStr">
        <is>
          <t>+27471542510</t>
        </is>
      </c>
      <c r="D494" s="27" t="inlineStr">
        <is>
          <t>Gauteng</t>
        </is>
      </c>
      <c r="E494" s="27" t="inlineStr">
        <is>
          <t>Soweto</t>
        </is>
      </c>
      <c r="F494" s="41" t="n">
        <v>45944</v>
      </c>
      <c r="G494" s="27" t="inlineStr">
        <is>
          <t>Regular</t>
        </is>
      </c>
      <c r="H494" s="27">
        <f>TRUE()</f>
        <v/>
      </c>
    </row>
    <row r="495" ht="15" customHeight="1" s="24">
      <c r="A495" s="27" t="n">
        <v>83520</v>
      </c>
      <c r="B495" s="27" t="inlineStr">
        <is>
          <t>Lwazi Mokoena</t>
        </is>
      </c>
      <c r="C495" s="27" t="inlineStr">
        <is>
          <t>+27477315204</t>
        </is>
      </c>
      <c r="D495" s="27" t="inlineStr">
        <is>
          <t>Free State</t>
        </is>
      </c>
      <c r="E495" s="27" t="inlineStr">
        <is>
          <t>Kroonstad</t>
        </is>
      </c>
      <c r="F495" s="41" t="n">
        <v>44301</v>
      </c>
      <c r="G495" s="27" t="inlineStr">
        <is>
          <t>Occasional</t>
        </is>
      </c>
      <c r="H495" s="27">
        <f>TRUE()</f>
        <v/>
      </c>
    </row>
    <row r="496" ht="15" customHeight="1" s="24">
      <c r="A496" s="27" t="n">
        <v>253425</v>
      </c>
      <c r="B496" s="27" t="inlineStr">
        <is>
          <t>Chloe Smith</t>
        </is>
      </c>
      <c r="C496" s="27" t="inlineStr">
        <is>
          <t>+27473579431</t>
        </is>
      </c>
      <c r="D496" s="27" t="inlineStr">
        <is>
          <t>Western Cape</t>
        </is>
      </c>
      <c r="E496" s="27" t="inlineStr">
        <is>
          <t>Cape Town</t>
        </is>
      </c>
      <c r="F496" s="41" t="n">
        <v>46136</v>
      </c>
      <c r="G496" s="27" t="inlineStr">
        <is>
          <t>Occasional</t>
        </is>
      </c>
      <c r="H496" s="27">
        <f>TRUE()</f>
        <v/>
      </c>
    </row>
    <row r="497" ht="15" customHeight="1" s="24">
      <c r="A497" s="27" t="n">
        <v>348913</v>
      </c>
      <c r="B497" s="27" t="inlineStr">
        <is>
          <t>Naledi Daniels</t>
        </is>
      </c>
      <c r="C497" s="27" t="inlineStr">
        <is>
          <t>+27473370461</t>
        </is>
      </c>
      <c r="D497" s="27" t="inlineStr">
        <is>
          <t>Northern Cape</t>
        </is>
      </c>
      <c r="E497" s="27" t="inlineStr">
        <is>
          <t>Upington</t>
        </is>
      </c>
      <c r="F497" s="41" t="n">
        <v>44319</v>
      </c>
      <c r="G497" s="27" t="inlineStr">
        <is>
          <t>Occasional</t>
        </is>
      </c>
      <c r="H497" s="27">
        <f>FALSE()</f>
        <v/>
      </c>
    </row>
    <row r="498" ht="15" customHeight="1" s="24">
      <c r="A498" s="27" t="n">
        <v>380900</v>
      </c>
      <c r="B498" s="27" t="inlineStr">
        <is>
          <t>Naledi Mahlangu</t>
        </is>
      </c>
      <c r="C498" s="27" t="inlineStr">
        <is>
          <t>+27473423433</t>
        </is>
      </c>
      <c r="D498" s="27" t="inlineStr">
        <is>
          <t>Gauteng</t>
        </is>
      </c>
      <c r="E498" s="27" t="inlineStr">
        <is>
          <t>Johannesburg</t>
        </is>
      </c>
      <c r="F498" s="41" t="n">
        <v>44886</v>
      </c>
      <c r="G498" s="27" t="inlineStr">
        <is>
          <t>Occasional</t>
        </is>
      </c>
      <c r="H498" s="27">
        <f>TRUE()</f>
        <v/>
      </c>
    </row>
    <row r="499" ht="15" customHeight="1" s="24">
      <c r="A499" s="27" t="n">
        <v>267374</v>
      </c>
      <c r="B499" s="27" t="inlineStr">
        <is>
          <t>Sarah Mahlangu</t>
        </is>
      </c>
      <c r="C499" s="27" t="inlineStr">
        <is>
          <t>+27474660739</t>
        </is>
      </c>
      <c r="D499" s="27" t="inlineStr">
        <is>
          <t>Mpumalanga</t>
        </is>
      </c>
      <c r="E499" s="27" t="inlineStr">
        <is>
          <t>Witbank</t>
        </is>
      </c>
      <c r="F499" s="41" t="n">
        <v>45060</v>
      </c>
      <c r="G499" s="27" t="inlineStr">
        <is>
          <t>Regular</t>
        </is>
      </c>
      <c r="H499" s="27">
        <f>TRUE()</f>
        <v/>
      </c>
    </row>
    <row r="500" ht="15" customHeight="1" s="24">
      <c r="A500" s="27" t="n">
        <v>123571</v>
      </c>
      <c r="B500" s="27" t="inlineStr">
        <is>
          <t>Werner Maluleke</t>
        </is>
      </c>
      <c r="C500" s="27" t="inlineStr">
        <is>
          <t>+27473708917</t>
        </is>
      </c>
      <c r="D500" s="27" t="inlineStr">
        <is>
          <t>Western Cape</t>
        </is>
      </c>
      <c r="E500" s="27" t="inlineStr">
        <is>
          <t>George</t>
        </is>
      </c>
      <c r="F500" s="41" t="n">
        <v>44754</v>
      </c>
      <c r="G500" s="27" t="inlineStr">
        <is>
          <t>Occasional</t>
        </is>
      </c>
      <c r="H500" s="27">
        <f>TRUE()</f>
        <v/>
      </c>
    </row>
    <row r="501" ht="15" customHeight="1" s="24">
      <c r="A501" s="27" t="n">
        <v>327997</v>
      </c>
      <c r="B501" s="27" t="inlineStr">
        <is>
          <t>Pieter van der Merwe</t>
        </is>
      </c>
      <c r="C501" s="27" t="inlineStr">
        <is>
          <t>+27474723831</t>
        </is>
      </c>
      <c r="D501" s="27" t="inlineStr">
        <is>
          <t>Limpopo</t>
        </is>
      </c>
      <c r="E501" s="27" t="inlineStr">
        <is>
          <t>Tzaneen</t>
        </is>
      </c>
      <c r="F501" s="41" t="n">
        <v>45795</v>
      </c>
      <c r="G501" s="27" t="inlineStr">
        <is>
          <t>Regular</t>
        </is>
      </c>
      <c r="H501" s="27">
        <f>TRUE()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21" customWidth="1" style="23" min="2" max="2"/>
    <col width="15" customWidth="1" style="23" min="3" max="3"/>
    <col width="14" customWidth="1" style="23" min="4" max="4"/>
    <col width="12" customWidth="1" style="23" min="5" max="5"/>
  </cols>
  <sheetData>
    <row r="1" ht="15" customHeight="1" s="24">
      <c r="A1" s="28" t="inlineStr">
        <is>
          <t>courier_id</t>
        </is>
      </c>
      <c r="B1" s="28" t="inlineStr">
        <is>
          <t>courier_name</t>
        </is>
      </c>
      <c r="C1" s="28" t="inlineStr">
        <is>
          <t>region</t>
        </is>
      </c>
      <c r="D1" s="28" t="inlineStr">
        <is>
          <t>vehicle_type</t>
        </is>
      </c>
      <c r="E1" s="28" t="inlineStr">
        <is>
          <t>hired_date</t>
        </is>
      </c>
    </row>
    <row r="2" ht="15" customHeight="1" s="24">
      <c r="A2" s="27" t="n">
        <v>1</v>
      </c>
      <c r="B2" s="27" t="inlineStr">
        <is>
          <t>Jenna Talbot</t>
        </is>
      </c>
      <c r="C2" s="27" t="inlineStr">
        <is>
          <t>KwaZulu-Natal</t>
        </is>
      </c>
      <c r="D2" s="27" t="inlineStr">
        <is>
          <t>Motorcycle</t>
        </is>
      </c>
      <c r="E2" s="41" t="n">
        <v>43920</v>
      </c>
    </row>
    <row r="3" ht="15" customHeight="1" s="24">
      <c r="A3" s="27" t="n">
        <v>2</v>
      </c>
      <c r="B3" s="27" t="inlineStr">
        <is>
          <t>Mr Julian Carroll</t>
        </is>
      </c>
      <c r="C3" s="27" t="inlineStr">
        <is>
          <t>Limpopo</t>
        </is>
      </c>
      <c r="D3" s="27" t="inlineStr">
        <is>
          <t>4-Ton Truck</t>
        </is>
      </c>
      <c r="E3" s="41" t="n">
        <v>43448</v>
      </c>
    </row>
    <row r="4" ht="15" customHeight="1" s="24">
      <c r="A4" s="27" t="n">
        <v>3</v>
      </c>
      <c r="B4" s="27" t="inlineStr">
        <is>
          <t>Gerard Chamberlain</t>
        </is>
      </c>
      <c r="C4" s="27" t="inlineStr">
        <is>
          <t>Gauteng</t>
        </is>
      </c>
      <c r="D4" s="27" t="inlineStr">
        <is>
          <t>Motorcycle</t>
        </is>
      </c>
      <c r="E4" s="41" t="n">
        <v>44238</v>
      </c>
    </row>
    <row r="5" ht="15" customHeight="1" s="24">
      <c r="A5" s="27" t="n">
        <v>4</v>
      </c>
      <c r="B5" s="27" t="inlineStr">
        <is>
          <t>Alex Hughes-Smith</t>
        </is>
      </c>
      <c r="C5" s="27" t="inlineStr">
        <is>
          <t>Gauteng</t>
        </is>
      </c>
      <c r="D5" s="27" t="inlineStr">
        <is>
          <t>Motorcycle</t>
        </is>
      </c>
      <c r="E5" s="41" t="n">
        <v>43858</v>
      </c>
    </row>
    <row r="6" ht="15" customHeight="1" s="24">
      <c r="A6" s="27" t="n">
        <v>5</v>
      </c>
      <c r="B6" s="27" t="inlineStr">
        <is>
          <t>Leigh Burgess</t>
        </is>
      </c>
      <c r="C6" s="27" t="inlineStr">
        <is>
          <t>Gauteng</t>
        </is>
      </c>
      <c r="D6" s="27" t="inlineStr">
        <is>
          <t>4-Ton Truck</t>
        </is>
      </c>
      <c r="E6" s="41" t="n">
        <v>44675</v>
      </c>
    </row>
    <row r="7" ht="15" customHeight="1" s="24">
      <c r="A7" s="27" t="n">
        <v>6</v>
      </c>
      <c r="B7" s="27" t="inlineStr">
        <is>
          <t>Mr Phillip Lloyd</t>
        </is>
      </c>
      <c r="C7" s="27" t="inlineStr">
        <is>
          <t>Eastern Cape</t>
        </is>
      </c>
      <c r="D7" s="27" t="inlineStr">
        <is>
          <t>Panel Van</t>
        </is>
      </c>
      <c r="E7" s="41" t="n">
        <v>43690</v>
      </c>
    </row>
    <row r="8" ht="15" customHeight="1" s="24">
      <c r="A8" s="27" t="n">
        <v>7</v>
      </c>
      <c r="B8" s="27" t="inlineStr">
        <is>
          <t>Dr Peter Bevan</t>
        </is>
      </c>
      <c r="C8" s="27" t="inlineStr">
        <is>
          <t>North West</t>
        </is>
      </c>
      <c r="D8" s="27" t="inlineStr">
        <is>
          <t>1-Ton Bakkie</t>
        </is>
      </c>
      <c r="E8" s="41" t="n">
        <v>43768</v>
      </c>
    </row>
    <row r="9" ht="15" customHeight="1" s="24">
      <c r="A9" s="27" t="n">
        <v>8</v>
      </c>
      <c r="B9" s="27" t="inlineStr">
        <is>
          <t>Mr Julian Browne</t>
        </is>
      </c>
      <c r="C9" s="27" t="inlineStr">
        <is>
          <t>Gauteng</t>
        </is>
      </c>
      <c r="D9" s="27" t="inlineStr">
        <is>
          <t>Motorcycle</t>
        </is>
      </c>
      <c r="E9" s="41" t="n">
        <v>45652</v>
      </c>
    </row>
    <row r="10" ht="15" customHeight="1" s="24">
      <c r="A10" s="27" t="n">
        <v>9</v>
      </c>
      <c r="B10" s="27" t="inlineStr">
        <is>
          <t>Brett Hill</t>
        </is>
      </c>
      <c r="C10" s="27" t="inlineStr">
        <is>
          <t>Limpopo</t>
        </is>
      </c>
      <c r="D10" s="27" t="inlineStr">
        <is>
          <t>Motorcycle</t>
        </is>
      </c>
      <c r="E10" s="41" t="n">
        <v>45313</v>
      </c>
    </row>
    <row r="11" ht="15" customHeight="1" s="24">
      <c r="A11" s="27" t="n">
        <v>10</v>
      </c>
      <c r="B11" s="27" t="inlineStr">
        <is>
          <t>Joel Stephens</t>
        </is>
      </c>
      <c r="C11" s="27" t="inlineStr">
        <is>
          <t>Gauteng</t>
        </is>
      </c>
      <c r="D11" s="27" t="inlineStr">
        <is>
          <t>Motorcycle</t>
        </is>
      </c>
      <c r="E11" s="41" t="n">
        <v>45261</v>
      </c>
    </row>
    <row r="12" ht="15" customHeight="1" s="24">
      <c r="A12" s="27" t="n">
        <v>11</v>
      </c>
      <c r="B12" s="27" t="inlineStr">
        <is>
          <t>Dr Stewart Sharp</t>
        </is>
      </c>
      <c r="C12" s="27" t="inlineStr">
        <is>
          <t>KwaZulu-Natal</t>
        </is>
      </c>
      <c r="D12" s="27" t="inlineStr">
        <is>
          <t>1-Ton Bakkie</t>
        </is>
      </c>
      <c r="E12" s="41" t="n">
        <v>43982</v>
      </c>
    </row>
    <row r="13" ht="15" customHeight="1" s="24">
      <c r="A13" s="27" t="n">
        <v>12</v>
      </c>
      <c r="B13" s="27" t="inlineStr">
        <is>
          <t>Allan Burke</t>
        </is>
      </c>
      <c r="C13" s="27" t="inlineStr">
        <is>
          <t>Eastern Cape</t>
        </is>
      </c>
      <c r="D13" s="27" t="inlineStr">
        <is>
          <t>Panel Van</t>
        </is>
      </c>
      <c r="E13" s="41" t="n">
        <v>45643</v>
      </c>
    </row>
    <row r="14" ht="15" customHeight="1" s="24">
      <c r="A14" s="27" t="n">
        <v>13</v>
      </c>
      <c r="B14" s="27" t="inlineStr">
        <is>
          <t>Francis Bartlett</t>
        </is>
      </c>
      <c r="C14" s="27" t="inlineStr">
        <is>
          <t>Mpumalanga</t>
        </is>
      </c>
      <c r="D14" s="27" t="inlineStr">
        <is>
          <t>Panel Van</t>
        </is>
      </c>
      <c r="E14" s="41" t="n">
        <v>43856</v>
      </c>
    </row>
    <row r="15" ht="15" customHeight="1" s="24">
      <c r="A15" s="27" t="n">
        <v>14</v>
      </c>
      <c r="B15" s="27" t="inlineStr">
        <is>
          <t>Frank Power-Mitchell</t>
        </is>
      </c>
      <c r="C15" s="27" t="inlineStr">
        <is>
          <t>Free State</t>
        </is>
      </c>
      <c r="D15" s="27" t="inlineStr">
        <is>
          <t>4-Ton Truck</t>
        </is>
      </c>
      <c r="E15" s="41" t="n">
        <v>45101</v>
      </c>
    </row>
    <row r="16" ht="15" customHeight="1" s="24">
      <c r="A16" s="27" t="n">
        <v>15</v>
      </c>
      <c r="B16" s="27" t="inlineStr">
        <is>
          <t>Dr Elliot Jones</t>
        </is>
      </c>
      <c r="C16" s="27" t="inlineStr">
        <is>
          <t>Eastern Cape</t>
        </is>
      </c>
      <c r="D16" s="27" t="inlineStr">
        <is>
          <t>8-Ton Truck</t>
        </is>
      </c>
      <c r="E16" s="41" t="n">
        <v>45204</v>
      </c>
    </row>
    <row r="17" ht="15" customHeight="1" s="24">
      <c r="A17" s="27" t="n">
        <v>16</v>
      </c>
      <c r="B17" s="27" t="inlineStr">
        <is>
          <t>Valerie Williams</t>
        </is>
      </c>
      <c r="C17" s="27" t="inlineStr">
        <is>
          <t>Western Cape</t>
        </is>
      </c>
      <c r="D17" s="27" t="inlineStr">
        <is>
          <t>Motorcycle</t>
        </is>
      </c>
      <c r="E17" s="41" t="n">
        <v>43821</v>
      </c>
    </row>
    <row r="18" ht="15" customHeight="1" s="24">
      <c r="A18" s="27" t="n">
        <v>17</v>
      </c>
      <c r="B18" s="27" t="inlineStr">
        <is>
          <t>Gareth Henry-Goodwin</t>
        </is>
      </c>
      <c r="C18" s="27" t="inlineStr">
        <is>
          <t>Gauteng</t>
        </is>
      </c>
      <c r="D18" s="27" t="inlineStr">
        <is>
          <t>Panel Van</t>
        </is>
      </c>
      <c r="E18" s="41" t="n">
        <v>44758</v>
      </c>
    </row>
    <row r="19" ht="15" customHeight="1" s="24">
      <c r="A19" s="27" t="n">
        <v>18</v>
      </c>
      <c r="B19" s="27" t="inlineStr">
        <is>
          <t>Simon Khan</t>
        </is>
      </c>
      <c r="C19" s="27" t="inlineStr">
        <is>
          <t>KwaZulu-Natal</t>
        </is>
      </c>
      <c r="D19" s="27" t="inlineStr">
        <is>
          <t>1-Ton Bakkie</t>
        </is>
      </c>
      <c r="E19" s="41" t="n">
        <v>43346</v>
      </c>
    </row>
    <row r="20" ht="15" customHeight="1" s="24">
      <c r="A20" s="27" t="n">
        <v>19</v>
      </c>
      <c r="B20" s="27" t="inlineStr">
        <is>
          <t>Lorraine Faulkner</t>
        </is>
      </c>
      <c r="C20" s="27" t="inlineStr">
        <is>
          <t>North West</t>
        </is>
      </c>
      <c r="D20" s="27" t="inlineStr">
        <is>
          <t>1-Ton Bakkie</t>
        </is>
      </c>
      <c r="E20" s="41" t="n">
        <v>43997</v>
      </c>
    </row>
    <row r="21" ht="15" customHeight="1" s="24">
      <c r="A21" s="27" t="n">
        <v>20</v>
      </c>
      <c r="B21" s="27" t="inlineStr">
        <is>
          <t>Kenneth Collins-Miles</t>
        </is>
      </c>
      <c r="C21" s="27" t="inlineStr">
        <is>
          <t>Eastern Cape</t>
        </is>
      </c>
      <c r="D21" s="27" t="inlineStr">
        <is>
          <t>4-Ton Truck</t>
        </is>
      </c>
      <c r="E21" s="41" t="n">
        <v>44476</v>
      </c>
    </row>
    <row r="22" ht="15" customHeight="1" s="24">
      <c r="A22" s="27" t="n">
        <v>21</v>
      </c>
      <c r="B22" s="27" t="inlineStr">
        <is>
          <t>Donald Sanderson</t>
        </is>
      </c>
      <c r="C22" s="27" t="inlineStr">
        <is>
          <t>KwaZulu-Natal</t>
        </is>
      </c>
      <c r="D22" s="27" t="inlineStr">
        <is>
          <t>1-Ton Bakkie</t>
        </is>
      </c>
      <c r="E22" s="41" t="n">
        <v>44923</v>
      </c>
    </row>
    <row r="23" ht="15" customHeight="1" s="24">
      <c r="A23" s="27" t="n">
        <v>22</v>
      </c>
      <c r="B23" s="27" t="inlineStr">
        <is>
          <t>Anna McCarthy</t>
        </is>
      </c>
      <c r="C23" s="27" t="inlineStr">
        <is>
          <t>Gauteng</t>
        </is>
      </c>
      <c r="D23" s="27" t="inlineStr">
        <is>
          <t>1-Ton Bakkie</t>
        </is>
      </c>
      <c r="E23" s="41" t="n">
        <v>43907</v>
      </c>
    </row>
    <row r="24" ht="15" customHeight="1" s="24">
      <c r="A24" s="27" t="n">
        <v>23</v>
      </c>
      <c r="B24" s="27" t="inlineStr">
        <is>
          <t>Mr Gerard Palmer</t>
        </is>
      </c>
      <c r="C24" s="27" t="inlineStr">
        <is>
          <t>Gauteng</t>
        </is>
      </c>
      <c r="D24" s="27" t="inlineStr">
        <is>
          <t>Motorcycle</t>
        </is>
      </c>
      <c r="E24" s="41" t="n">
        <v>45074</v>
      </c>
    </row>
    <row r="25" ht="15" customHeight="1" s="24">
      <c r="A25" s="27" t="n">
        <v>24</v>
      </c>
      <c r="B25" s="27" t="inlineStr">
        <is>
          <t>Stacey Burns</t>
        </is>
      </c>
      <c r="C25" s="27" t="inlineStr">
        <is>
          <t>Limpopo</t>
        </is>
      </c>
      <c r="D25" s="27" t="inlineStr">
        <is>
          <t>Panel Van</t>
        </is>
      </c>
      <c r="E25" s="41" t="n">
        <v>44849</v>
      </c>
    </row>
    <row r="26" ht="15" customHeight="1" s="24">
      <c r="A26" s="27" t="n">
        <v>25</v>
      </c>
      <c r="B26" s="27" t="inlineStr">
        <is>
          <t>Dr Sara Morris</t>
        </is>
      </c>
      <c r="C26" s="27" t="inlineStr">
        <is>
          <t>KwaZulu-Natal</t>
        </is>
      </c>
      <c r="D26" s="27" t="inlineStr">
        <is>
          <t>Panel Van</t>
        </is>
      </c>
      <c r="E26" s="41" t="n">
        <v>45573</v>
      </c>
    </row>
    <row r="27" ht="15" customHeight="1" s="24">
      <c r="A27" s="27" t="n">
        <v>26</v>
      </c>
      <c r="B27" s="27" t="inlineStr">
        <is>
          <t>Josh Bartlett</t>
        </is>
      </c>
      <c r="C27" s="27" t="inlineStr">
        <is>
          <t>Free State</t>
        </is>
      </c>
      <c r="D27" s="27" t="inlineStr">
        <is>
          <t>1-Ton Bakkie</t>
        </is>
      </c>
      <c r="E27" s="41" t="n">
        <v>42863</v>
      </c>
    </row>
    <row r="28" ht="15" customHeight="1" s="24">
      <c r="A28" s="27" t="n">
        <v>27</v>
      </c>
      <c r="B28" s="27" t="inlineStr">
        <is>
          <t>Jamie Sharpe</t>
        </is>
      </c>
      <c r="C28" s="27" t="inlineStr">
        <is>
          <t>Western Cape</t>
        </is>
      </c>
      <c r="D28" s="27" t="inlineStr">
        <is>
          <t>Panel Van</t>
        </is>
      </c>
      <c r="E28" s="41" t="n">
        <v>44422</v>
      </c>
    </row>
    <row r="29" ht="15" customHeight="1" s="24">
      <c r="A29" s="27" t="n">
        <v>28</v>
      </c>
      <c r="B29" s="27" t="inlineStr">
        <is>
          <t>Stephen McCarthy</t>
        </is>
      </c>
      <c r="C29" s="27" t="inlineStr">
        <is>
          <t>Mpumalanga</t>
        </is>
      </c>
      <c r="D29" s="27" t="inlineStr">
        <is>
          <t>Panel Van</t>
        </is>
      </c>
      <c r="E29" s="41" t="n">
        <v>45078</v>
      </c>
    </row>
    <row r="30" ht="15" customHeight="1" s="24">
      <c r="A30" s="27" t="n">
        <v>29</v>
      </c>
      <c r="B30" s="27" t="inlineStr">
        <is>
          <t>Declan Roberts</t>
        </is>
      </c>
      <c r="C30" s="27" t="inlineStr">
        <is>
          <t>Gauteng</t>
        </is>
      </c>
      <c r="D30" s="27" t="inlineStr">
        <is>
          <t>Panel Van</t>
        </is>
      </c>
      <c r="E30" s="41" t="n">
        <v>44122</v>
      </c>
    </row>
    <row r="31" ht="15" customHeight="1" s="24">
      <c r="A31" s="27" t="n">
        <v>30</v>
      </c>
      <c r="B31" s="27" t="inlineStr">
        <is>
          <t>Jake Gray-Bell</t>
        </is>
      </c>
      <c r="C31" s="27" t="inlineStr">
        <is>
          <t>Gauteng</t>
        </is>
      </c>
      <c r="D31" s="27" t="inlineStr">
        <is>
          <t>8-Ton Truck</t>
        </is>
      </c>
      <c r="E31" s="41" t="n">
        <v>43720</v>
      </c>
    </row>
    <row r="32" ht="15" customHeight="1" s="24">
      <c r="A32" s="27" t="n">
        <v>31</v>
      </c>
      <c r="B32" s="27" t="inlineStr">
        <is>
          <t>Vincent Payne</t>
        </is>
      </c>
      <c r="C32" s="27" t="inlineStr">
        <is>
          <t>KwaZulu-Natal</t>
        </is>
      </c>
      <c r="D32" s="27" t="inlineStr">
        <is>
          <t>Panel Van</t>
        </is>
      </c>
      <c r="E32" s="41" t="n">
        <v>44646</v>
      </c>
    </row>
    <row r="33" ht="15" customHeight="1" s="24">
      <c r="A33" s="27" t="n">
        <v>32</v>
      </c>
      <c r="B33" s="27" t="inlineStr">
        <is>
          <t>Mrs Patricia Graham</t>
        </is>
      </c>
      <c r="C33" s="27" t="inlineStr">
        <is>
          <t>Gauteng</t>
        </is>
      </c>
      <c r="D33" s="27" t="inlineStr">
        <is>
          <t>1-Ton Bakkie</t>
        </is>
      </c>
      <c r="E33" s="41" t="n">
        <v>44254</v>
      </c>
    </row>
    <row r="34" ht="15" customHeight="1" s="24">
      <c r="A34" s="27" t="n">
        <v>33</v>
      </c>
      <c r="B34" s="27" t="inlineStr">
        <is>
          <t>Kate Clayton</t>
        </is>
      </c>
      <c r="C34" s="27" t="inlineStr">
        <is>
          <t>Free State</t>
        </is>
      </c>
      <c r="D34" s="27" t="inlineStr">
        <is>
          <t>1-Ton Bakkie</t>
        </is>
      </c>
      <c r="E34" s="41" t="n">
        <v>44147</v>
      </c>
    </row>
    <row r="35" ht="15" customHeight="1" s="24">
      <c r="A35" s="27" t="n">
        <v>34</v>
      </c>
      <c r="B35" s="27" t="inlineStr">
        <is>
          <t>Janice Mills-Murphy</t>
        </is>
      </c>
      <c r="C35" s="27" t="inlineStr">
        <is>
          <t>Mpumalanga</t>
        </is>
      </c>
      <c r="D35" s="27" t="inlineStr">
        <is>
          <t>Panel Van</t>
        </is>
      </c>
      <c r="E35" s="41" t="n">
        <v>45950</v>
      </c>
    </row>
    <row r="36" ht="15" customHeight="1" s="24">
      <c r="A36" s="27" t="n">
        <v>35</v>
      </c>
      <c r="B36" s="27" t="inlineStr">
        <is>
          <t>Dr Olivia Mitchell</t>
        </is>
      </c>
      <c r="C36" s="27" t="inlineStr">
        <is>
          <t>KwaZulu-Natal</t>
        </is>
      </c>
      <c r="D36" s="27" t="inlineStr">
        <is>
          <t>Panel Van</t>
        </is>
      </c>
      <c r="E36" s="41" t="n">
        <v>44124</v>
      </c>
    </row>
    <row r="37" ht="15" customHeight="1" s="24">
      <c r="A37" s="27" t="n">
        <v>36</v>
      </c>
      <c r="B37" s="27" t="inlineStr">
        <is>
          <t>Dr Malcolm Lee</t>
        </is>
      </c>
      <c r="C37" s="27" t="inlineStr">
        <is>
          <t>Western Cape</t>
        </is>
      </c>
      <c r="D37" s="27" t="inlineStr">
        <is>
          <t>Panel Van</t>
        </is>
      </c>
      <c r="E37" s="41" t="n">
        <v>43444</v>
      </c>
    </row>
    <row r="38" ht="15" customHeight="1" s="24">
      <c r="A38" s="27" t="n">
        <v>37</v>
      </c>
      <c r="B38" s="27" t="inlineStr">
        <is>
          <t>John Morris</t>
        </is>
      </c>
      <c r="C38" s="27" t="inlineStr">
        <is>
          <t>Western Cape</t>
        </is>
      </c>
      <c r="D38" s="27" t="inlineStr">
        <is>
          <t>1-Ton Bakkie</t>
        </is>
      </c>
      <c r="E38" s="41" t="n">
        <v>42790</v>
      </c>
    </row>
    <row r="39" ht="15" customHeight="1" s="24">
      <c r="A39" s="27" t="n">
        <v>38</v>
      </c>
      <c r="B39" s="27" t="inlineStr">
        <is>
          <t>Melanie Wilson</t>
        </is>
      </c>
      <c r="C39" s="27" t="inlineStr">
        <is>
          <t>Eastern Cape</t>
        </is>
      </c>
      <c r="D39" s="27" t="inlineStr">
        <is>
          <t>Motorcycle</t>
        </is>
      </c>
      <c r="E39" s="41" t="n">
        <v>43122</v>
      </c>
    </row>
    <row r="40" ht="15" customHeight="1" s="24">
      <c r="A40" s="27" t="n">
        <v>39</v>
      </c>
      <c r="B40" s="27" t="inlineStr">
        <is>
          <t>Gail Thomas</t>
        </is>
      </c>
      <c r="C40" s="27" t="inlineStr">
        <is>
          <t>Gauteng</t>
        </is>
      </c>
      <c r="D40" s="27" t="inlineStr">
        <is>
          <t>4-Ton Truck</t>
        </is>
      </c>
      <c r="E40" s="41" t="n">
        <v>44499</v>
      </c>
    </row>
    <row r="41" ht="15" customHeight="1" s="24">
      <c r="A41" s="27" t="n">
        <v>40</v>
      </c>
      <c r="B41" s="27" t="inlineStr">
        <is>
          <t>Catherine Ryan</t>
        </is>
      </c>
      <c r="C41" s="27" t="inlineStr">
        <is>
          <t>KwaZulu-Natal</t>
        </is>
      </c>
      <c r="D41" s="27" t="inlineStr">
        <is>
          <t>1-Ton Bakkie</t>
        </is>
      </c>
      <c r="E41" s="41" t="n">
        <v>43425</v>
      </c>
    </row>
    <row r="42" ht="15" customHeight="1" s="24">
      <c r="A42" s="27" t="n">
        <v>41</v>
      </c>
      <c r="B42" s="27" t="inlineStr">
        <is>
          <t>Dorothy Wyatt</t>
        </is>
      </c>
      <c r="C42" s="27" t="inlineStr">
        <is>
          <t>Gauteng</t>
        </is>
      </c>
      <c r="D42" s="27" t="inlineStr">
        <is>
          <t>Panel Van</t>
        </is>
      </c>
      <c r="E42" s="41" t="n">
        <v>43095</v>
      </c>
    </row>
    <row r="43" ht="15" customHeight="1" s="24">
      <c r="A43" s="27" t="n">
        <v>42</v>
      </c>
      <c r="B43" s="27" t="inlineStr">
        <is>
          <t>Jenna Davies</t>
        </is>
      </c>
      <c r="C43" s="27" t="inlineStr">
        <is>
          <t>North West</t>
        </is>
      </c>
      <c r="D43" s="27" t="inlineStr">
        <is>
          <t>Motorcycle</t>
        </is>
      </c>
      <c r="E43" s="41" t="n">
        <v>43890</v>
      </c>
    </row>
    <row r="44" ht="15" customHeight="1" s="24">
      <c r="A44" s="27" t="n">
        <v>43</v>
      </c>
      <c r="B44" s="27" t="inlineStr">
        <is>
          <t>Raymond Hall</t>
        </is>
      </c>
      <c r="C44" s="27" t="inlineStr">
        <is>
          <t>KwaZulu-Natal</t>
        </is>
      </c>
      <c r="D44" s="27" t="inlineStr">
        <is>
          <t>Motorcycle</t>
        </is>
      </c>
      <c r="E44" s="41" t="n">
        <v>43525</v>
      </c>
    </row>
    <row r="45" ht="15" customHeight="1" s="24">
      <c r="A45" s="27" t="n">
        <v>44</v>
      </c>
      <c r="B45" s="27" t="inlineStr">
        <is>
          <t>Sheila Thompson-Jenkins</t>
        </is>
      </c>
      <c r="C45" s="27" t="inlineStr">
        <is>
          <t>Limpopo</t>
        </is>
      </c>
      <c r="D45" s="27" t="inlineStr">
        <is>
          <t>Motorcycle</t>
        </is>
      </c>
      <c r="E45" s="41" t="n">
        <v>44497</v>
      </c>
    </row>
    <row r="46" ht="15" customHeight="1" s="24">
      <c r="A46" s="27" t="n">
        <v>45</v>
      </c>
      <c r="B46" s="27" t="inlineStr">
        <is>
          <t>Kevin Hobbs-O'Brien</t>
        </is>
      </c>
      <c r="C46" s="27" t="inlineStr">
        <is>
          <t>North West</t>
        </is>
      </c>
      <c r="D46" s="27" t="inlineStr">
        <is>
          <t>Motorcycle</t>
        </is>
      </c>
      <c r="E46" s="41" t="n">
        <v>42920</v>
      </c>
    </row>
    <row r="47" ht="15" customHeight="1" s="24">
      <c r="A47" s="27" t="n">
        <v>46</v>
      </c>
      <c r="B47" s="27" t="inlineStr">
        <is>
          <t>Michelle Whitehead-Murray</t>
        </is>
      </c>
      <c r="C47" s="27" t="inlineStr">
        <is>
          <t>KwaZulu-Natal</t>
        </is>
      </c>
      <c r="D47" s="27" t="inlineStr">
        <is>
          <t>Motorcycle</t>
        </is>
      </c>
      <c r="E47" s="41" t="n">
        <v>45956</v>
      </c>
    </row>
    <row r="48" ht="15" customHeight="1" s="24">
      <c r="A48" s="27" t="n">
        <v>47</v>
      </c>
      <c r="B48" s="27" t="inlineStr">
        <is>
          <t>Declan Walker</t>
        </is>
      </c>
      <c r="C48" s="27" t="inlineStr">
        <is>
          <t>Gauteng</t>
        </is>
      </c>
      <c r="D48" s="27" t="inlineStr">
        <is>
          <t>8-Ton Truck</t>
        </is>
      </c>
      <c r="E48" s="41" t="n">
        <v>45729</v>
      </c>
    </row>
    <row r="49" ht="15" customHeight="1" s="24">
      <c r="A49" s="27" t="n">
        <v>48</v>
      </c>
      <c r="B49" s="27" t="inlineStr">
        <is>
          <t>Dr Sandra Wallis</t>
        </is>
      </c>
      <c r="C49" s="27" t="inlineStr">
        <is>
          <t>KwaZulu-Natal</t>
        </is>
      </c>
      <c r="D49" s="27" t="inlineStr">
        <is>
          <t>1-Ton Bakkie</t>
        </is>
      </c>
      <c r="E49" s="41" t="n">
        <v>45593</v>
      </c>
    </row>
    <row r="50" ht="15" customHeight="1" s="24">
      <c r="A50" s="27" t="n">
        <v>49</v>
      </c>
      <c r="B50" s="27" t="inlineStr">
        <is>
          <t>Terry Smith-Harrison</t>
        </is>
      </c>
      <c r="C50" s="27" t="inlineStr">
        <is>
          <t>Eastern Cape</t>
        </is>
      </c>
      <c r="D50" s="27" t="inlineStr">
        <is>
          <t>4-Ton Truck</t>
        </is>
      </c>
      <c r="E50" s="41" t="n">
        <v>43299</v>
      </c>
    </row>
    <row r="51" ht="15" customHeight="1" s="24">
      <c r="A51" s="27" t="n">
        <v>50</v>
      </c>
      <c r="B51" s="27" t="inlineStr">
        <is>
          <t>Amelia Foster-O'Neill</t>
        </is>
      </c>
      <c r="C51" s="27" t="inlineStr">
        <is>
          <t>Western Cape</t>
        </is>
      </c>
      <c r="D51" s="27" t="inlineStr">
        <is>
          <t>Panel Van</t>
        </is>
      </c>
      <c r="E51" s="41" t="n">
        <v>45084</v>
      </c>
    </row>
    <row r="52" ht="15" customHeight="1" s="24">
      <c r="A52" s="27" t="n">
        <v>51</v>
      </c>
      <c r="B52" s="27" t="inlineStr">
        <is>
          <t>Michael Ward</t>
        </is>
      </c>
      <c r="C52" s="27" t="inlineStr">
        <is>
          <t>Gauteng</t>
        </is>
      </c>
      <c r="D52" s="27" t="inlineStr">
        <is>
          <t>1-Ton Bakkie</t>
        </is>
      </c>
      <c r="E52" s="41" t="n">
        <v>42780</v>
      </c>
    </row>
    <row r="53" ht="15" customHeight="1" s="24">
      <c r="A53" s="27" t="n">
        <v>52</v>
      </c>
      <c r="B53" s="27" t="inlineStr">
        <is>
          <t>Miss Janet Lowe</t>
        </is>
      </c>
      <c r="C53" s="27" t="inlineStr">
        <is>
          <t>Gauteng</t>
        </is>
      </c>
      <c r="D53" s="27" t="inlineStr">
        <is>
          <t>4-Ton Truck</t>
        </is>
      </c>
      <c r="E53" s="41" t="n">
        <v>45102</v>
      </c>
    </row>
    <row r="54" ht="15" customHeight="1" s="24">
      <c r="A54" s="27" t="n">
        <v>53</v>
      </c>
      <c r="B54" s="27" t="inlineStr">
        <is>
          <t>Mrs Anna Fuller</t>
        </is>
      </c>
      <c r="C54" s="27" t="inlineStr">
        <is>
          <t>Limpopo</t>
        </is>
      </c>
      <c r="D54" s="27" t="inlineStr">
        <is>
          <t>Motorcycle</t>
        </is>
      </c>
      <c r="E54" s="41" t="n">
        <v>45356</v>
      </c>
    </row>
    <row r="55" ht="15" customHeight="1" s="24">
      <c r="A55" s="27" t="n">
        <v>54</v>
      </c>
      <c r="B55" s="27" t="inlineStr">
        <is>
          <t>Alexandra Hunt</t>
        </is>
      </c>
      <c r="C55" s="27" t="inlineStr">
        <is>
          <t>Limpopo</t>
        </is>
      </c>
      <c r="D55" s="27" t="inlineStr">
        <is>
          <t>1-Ton Bakkie</t>
        </is>
      </c>
      <c r="E55" s="41" t="n">
        <v>43668</v>
      </c>
    </row>
    <row r="56" ht="15" customHeight="1" s="24">
      <c r="A56" s="27" t="n">
        <v>55</v>
      </c>
      <c r="B56" s="27" t="inlineStr">
        <is>
          <t>Bernard Goddard</t>
        </is>
      </c>
      <c r="C56" s="27" t="inlineStr">
        <is>
          <t>Gauteng</t>
        </is>
      </c>
      <c r="D56" s="27" t="inlineStr">
        <is>
          <t>4-Ton Truck</t>
        </is>
      </c>
      <c r="E56" s="41" t="n">
        <v>44259</v>
      </c>
    </row>
    <row r="57" ht="15" customHeight="1" s="24">
      <c r="A57" s="27" t="n">
        <v>56</v>
      </c>
      <c r="B57" s="27" t="inlineStr">
        <is>
          <t>Ms Amber Arnold</t>
        </is>
      </c>
      <c r="C57" s="27" t="inlineStr">
        <is>
          <t>Mpumalanga</t>
        </is>
      </c>
      <c r="D57" s="27" t="inlineStr">
        <is>
          <t>4-Ton Truck</t>
        </is>
      </c>
      <c r="E57" s="41" t="n">
        <v>45784</v>
      </c>
    </row>
    <row r="58" ht="15" customHeight="1" s="24">
      <c r="A58" s="27" t="n">
        <v>57</v>
      </c>
      <c r="B58" s="27" t="inlineStr">
        <is>
          <t>Cheryl Mann-Powell</t>
        </is>
      </c>
      <c r="C58" s="27" t="inlineStr">
        <is>
          <t>KwaZulu-Natal</t>
        </is>
      </c>
      <c r="D58" s="27" t="inlineStr">
        <is>
          <t>Panel Van</t>
        </is>
      </c>
      <c r="E58" s="41" t="n">
        <v>43387</v>
      </c>
    </row>
    <row r="59" ht="15" customHeight="1" s="24">
      <c r="A59" s="27" t="n">
        <v>58</v>
      </c>
      <c r="B59" s="27" t="inlineStr">
        <is>
          <t>Donald Williams</t>
        </is>
      </c>
      <c r="C59" s="27" t="inlineStr">
        <is>
          <t>Gauteng</t>
        </is>
      </c>
      <c r="D59" s="27" t="inlineStr">
        <is>
          <t>4-Ton Truck</t>
        </is>
      </c>
      <c r="E59" s="41" t="n">
        <v>44508</v>
      </c>
    </row>
    <row r="60" ht="15" customHeight="1" s="24">
      <c r="A60" s="27" t="n">
        <v>59</v>
      </c>
      <c r="B60" s="27" t="inlineStr">
        <is>
          <t>Bryan Phillips-Barton</t>
        </is>
      </c>
      <c r="C60" s="27" t="inlineStr">
        <is>
          <t>KwaZulu-Natal</t>
        </is>
      </c>
      <c r="D60" s="27" t="inlineStr">
        <is>
          <t>Panel Van</t>
        </is>
      </c>
      <c r="E60" s="41" t="n">
        <v>43734</v>
      </c>
    </row>
    <row r="61" ht="15" customHeight="1" s="24">
      <c r="A61" s="27" t="n">
        <v>60</v>
      </c>
      <c r="B61" s="27" t="inlineStr">
        <is>
          <t>Mr Bradley Wallace</t>
        </is>
      </c>
      <c r="C61" s="27" t="inlineStr">
        <is>
          <t>Limpopo</t>
        </is>
      </c>
      <c r="D61" s="27" t="inlineStr">
        <is>
          <t>Motorcycle</t>
        </is>
      </c>
      <c r="E61" s="41" t="n">
        <v>43269</v>
      </c>
    </row>
    <row r="62" ht="15" customHeight="1" s="24">
      <c r="A62" s="27" t="n">
        <v>61</v>
      </c>
      <c r="B62" s="27" t="inlineStr">
        <is>
          <t>Kate Pearce</t>
        </is>
      </c>
      <c r="C62" s="27" t="inlineStr">
        <is>
          <t>Eastern Cape</t>
        </is>
      </c>
      <c r="D62" s="27" t="inlineStr">
        <is>
          <t>Motorcycle</t>
        </is>
      </c>
      <c r="E62" s="41" t="n">
        <v>44975</v>
      </c>
    </row>
    <row r="63" ht="15" customHeight="1" s="24">
      <c r="A63" s="27" t="n">
        <v>62</v>
      </c>
      <c r="B63" s="27" t="inlineStr">
        <is>
          <t>Karl Holt</t>
        </is>
      </c>
      <c r="C63" s="27" t="inlineStr">
        <is>
          <t>Western Cape</t>
        </is>
      </c>
      <c r="D63" s="27" t="inlineStr">
        <is>
          <t>Panel Van</t>
        </is>
      </c>
      <c r="E63" s="41" t="n">
        <v>45857</v>
      </c>
    </row>
    <row r="64" ht="15" customHeight="1" s="24">
      <c r="A64" s="27" t="n">
        <v>63</v>
      </c>
      <c r="B64" s="27" t="inlineStr">
        <is>
          <t>Ben Clayton</t>
        </is>
      </c>
      <c r="C64" s="27" t="inlineStr">
        <is>
          <t>KwaZulu-Natal</t>
        </is>
      </c>
      <c r="D64" s="27" t="inlineStr">
        <is>
          <t>Motorcycle</t>
        </is>
      </c>
      <c r="E64" s="41" t="n">
        <v>44593</v>
      </c>
    </row>
    <row r="65" ht="15" customHeight="1" s="24">
      <c r="A65" s="27" t="n">
        <v>64</v>
      </c>
      <c r="B65" s="27" t="inlineStr">
        <is>
          <t>Stacey Roberts</t>
        </is>
      </c>
      <c r="C65" s="27" t="inlineStr">
        <is>
          <t>KwaZulu-Natal</t>
        </is>
      </c>
      <c r="D65" s="27" t="inlineStr">
        <is>
          <t>Motorcycle</t>
        </is>
      </c>
      <c r="E65" s="41" t="n">
        <v>44399</v>
      </c>
    </row>
    <row r="66" ht="15" customHeight="1" s="24">
      <c r="A66" s="27" t="n">
        <v>65</v>
      </c>
      <c r="B66" s="27" t="inlineStr">
        <is>
          <t>Miss Hilary Harrison</t>
        </is>
      </c>
      <c r="C66" s="27" t="inlineStr">
        <is>
          <t>KwaZulu-Natal</t>
        </is>
      </c>
      <c r="D66" s="27" t="inlineStr">
        <is>
          <t>Motorcycle</t>
        </is>
      </c>
      <c r="E66" s="41" t="n">
        <v>44489</v>
      </c>
    </row>
    <row r="67" ht="15" customHeight="1" s="24">
      <c r="A67" s="27" t="n">
        <v>66</v>
      </c>
      <c r="B67" s="27" t="inlineStr">
        <is>
          <t>Ashleigh Boyle-Wells</t>
        </is>
      </c>
      <c r="C67" s="27" t="inlineStr">
        <is>
          <t>KwaZulu-Natal</t>
        </is>
      </c>
      <c r="D67" s="27" t="inlineStr">
        <is>
          <t>4-Ton Truck</t>
        </is>
      </c>
      <c r="E67" s="41" t="n">
        <v>43246</v>
      </c>
    </row>
    <row r="68" ht="15" customHeight="1" s="24">
      <c r="A68" s="27" t="n">
        <v>67</v>
      </c>
      <c r="B68" s="27" t="inlineStr">
        <is>
          <t>Alice Atkinson</t>
        </is>
      </c>
      <c r="C68" s="27" t="inlineStr">
        <is>
          <t>Western Cape</t>
        </is>
      </c>
      <c r="D68" s="27" t="inlineStr">
        <is>
          <t>4-Ton Truck</t>
        </is>
      </c>
      <c r="E68" s="41" t="n">
        <v>43397</v>
      </c>
    </row>
    <row r="69" ht="15" customHeight="1" s="24">
      <c r="A69" s="27" t="n">
        <v>68</v>
      </c>
      <c r="B69" s="27" t="inlineStr">
        <is>
          <t>Ricky Reed</t>
        </is>
      </c>
      <c r="C69" s="27" t="inlineStr">
        <is>
          <t>Western Cape</t>
        </is>
      </c>
      <c r="D69" s="27" t="inlineStr">
        <is>
          <t>4-Ton Truck</t>
        </is>
      </c>
      <c r="E69" s="41" t="n">
        <v>45151</v>
      </c>
    </row>
    <row r="70" ht="15" customHeight="1" s="24">
      <c r="A70" s="27" t="n">
        <v>69</v>
      </c>
      <c r="B70" s="27" t="inlineStr">
        <is>
          <t>Frank Berry-Hughes</t>
        </is>
      </c>
      <c r="C70" s="27" t="inlineStr">
        <is>
          <t>Gauteng</t>
        </is>
      </c>
      <c r="D70" s="27" t="inlineStr">
        <is>
          <t>Panel Van</t>
        </is>
      </c>
      <c r="E70" s="41" t="n">
        <v>44660</v>
      </c>
    </row>
    <row r="71" ht="15" customHeight="1" s="24">
      <c r="A71" s="27" t="n">
        <v>70</v>
      </c>
      <c r="B71" s="27" t="inlineStr">
        <is>
          <t>Mr Jordan Harris</t>
        </is>
      </c>
      <c r="C71" s="27" t="inlineStr">
        <is>
          <t>KwaZulu-Natal</t>
        </is>
      </c>
      <c r="D71" s="27" t="inlineStr">
        <is>
          <t>4-Ton Truck</t>
        </is>
      </c>
      <c r="E71" s="41" t="n">
        <v>43504</v>
      </c>
    </row>
    <row r="72" ht="15" customHeight="1" s="24">
      <c r="A72" s="27" t="n">
        <v>71</v>
      </c>
      <c r="B72" s="27" t="inlineStr">
        <is>
          <t>Ms Natasha Adams</t>
        </is>
      </c>
      <c r="C72" s="27" t="inlineStr">
        <is>
          <t>Gauteng</t>
        </is>
      </c>
      <c r="D72" s="27" t="inlineStr">
        <is>
          <t>Panel Van</t>
        </is>
      </c>
      <c r="E72" s="41" t="n">
        <v>42799</v>
      </c>
    </row>
    <row r="73" ht="15" customHeight="1" s="24">
      <c r="A73" s="27" t="n">
        <v>72</v>
      </c>
      <c r="B73" s="27" t="inlineStr">
        <is>
          <t>Dr Julia Hill</t>
        </is>
      </c>
      <c r="C73" s="27" t="inlineStr">
        <is>
          <t>Eastern Cape</t>
        </is>
      </c>
      <c r="D73" s="27" t="inlineStr">
        <is>
          <t>Panel Van</t>
        </is>
      </c>
      <c r="E73" s="41" t="n">
        <v>43352</v>
      </c>
    </row>
    <row r="74" ht="15" customHeight="1" s="24">
      <c r="A74" s="27" t="n">
        <v>73</v>
      </c>
      <c r="B74" s="27" t="inlineStr">
        <is>
          <t>Miss Stacey Campbell</t>
        </is>
      </c>
      <c r="C74" s="27" t="inlineStr">
        <is>
          <t>KwaZulu-Natal</t>
        </is>
      </c>
      <c r="D74" s="27" t="inlineStr">
        <is>
          <t>Panel Van</t>
        </is>
      </c>
      <c r="E74" s="41" t="n">
        <v>44395</v>
      </c>
    </row>
    <row r="75" ht="15" customHeight="1" s="24">
      <c r="A75" s="27" t="n">
        <v>74</v>
      </c>
      <c r="B75" s="27" t="inlineStr">
        <is>
          <t>Natasha Smith-O'Neill</t>
        </is>
      </c>
      <c r="C75" s="27" t="inlineStr">
        <is>
          <t>Eastern Cape</t>
        </is>
      </c>
      <c r="D75" s="27" t="inlineStr">
        <is>
          <t>Motorcycle</t>
        </is>
      </c>
      <c r="E75" s="41" t="n">
        <v>43615</v>
      </c>
    </row>
    <row r="76" ht="15" customHeight="1" s="24">
      <c r="A76" s="27" t="n">
        <v>75</v>
      </c>
      <c r="B76" s="27" t="inlineStr">
        <is>
          <t>Sally Baldwin</t>
        </is>
      </c>
      <c r="C76" s="27" t="inlineStr">
        <is>
          <t>Gauteng</t>
        </is>
      </c>
      <c r="D76" s="27" t="inlineStr">
        <is>
          <t>1-Ton Bakkie</t>
        </is>
      </c>
      <c r="E76" s="41" t="n">
        <v>45137</v>
      </c>
    </row>
    <row r="77" ht="15" customHeight="1" s="24">
      <c r="A77" s="27" t="n">
        <v>76</v>
      </c>
      <c r="B77" s="27" t="inlineStr">
        <is>
          <t>Leigh Gallagher</t>
        </is>
      </c>
      <c r="C77" s="27" t="inlineStr">
        <is>
          <t>KwaZulu-Natal</t>
        </is>
      </c>
      <c r="D77" s="27" t="inlineStr">
        <is>
          <t>Panel Van</t>
        </is>
      </c>
      <c r="E77" s="41" t="n">
        <v>44635</v>
      </c>
    </row>
    <row r="78" ht="15" customHeight="1" s="24">
      <c r="A78" s="27" t="n">
        <v>77</v>
      </c>
      <c r="B78" s="27" t="inlineStr">
        <is>
          <t>Jodie White</t>
        </is>
      </c>
      <c r="C78" s="27" t="inlineStr">
        <is>
          <t>Gauteng</t>
        </is>
      </c>
      <c r="D78" s="27" t="inlineStr">
        <is>
          <t>8-Ton Truck</t>
        </is>
      </c>
      <c r="E78" s="41" t="n">
        <v>43220</v>
      </c>
    </row>
    <row r="79" ht="15" customHeight="1" s="24">
      <c r="A79" s="27" t="n">
        <v>78</v>
      </c>
      <c r="B79" s="27" t="inlineStr">
        <is>
          <t>Marcus Anderson</t>
        </is>
      </c>
      <c r="C79" s="27" t="inlineStr">
        <is>
          <t>Gauteng</t>
        </is>
      </c>
      <c r="D79" s="27" t="inlineStr">
        <is>
          <t>Motorcycle</t>
        </is>
      </c>
      <c r="E79" s="41" t="n">
        <v>43697</v>
      </c>
    </row>
    <row r="80" ht="15" customHeight="1" s="24">
      <c r="A80" s="27" t="n">
        <v>79</v>
      </c>
      <c r="B80" s="27" t="inlineStr">
        <is>
          <t>Alison Doyle</t>
        </is>
      </c>
      <c r="C80" s="27" t="inlineStr">
        <is>
          <t>Limpopo</t>
        </is>
      </c>
      <c r="D80" s="27" t="inlineStr">
        <is>
          <t>Motorcycle</t>
        </is>
      </c>
      <c r="E80" s="41" t="n">
        <v>42853</v>
      </c>
    </row>
    <row r="81" ht="15" customHeight="1" s="24">
      <c r="A81" s="27" t="n">
        <v>80</v>
      </c>
      <c r="B81" s="27" t="inlineStr">
        <is>
          <t>Ms Kathleen Brown</t>
        </is>
      </c>
      <c r="C81" s="27" t="inlineStr">
        <is>
          <t>Gauteng</t>
        </is>
      </c>
      <c r="D81" s="27" t="inlineStr">
        <is>
          <t>Panel Van</t>
        </is>
      </c>
      <c r="E81" s="41" t="n">
        <v>42870</v>
      </c>
    </row>
    <row r="82" ht="15" customHeight="1" s="24">
      <c r="A82" s="27" t="n">
        <v>81</v>
      </c>
      <c r="B82" s="27" t="inlineStr">
        <is>
          <t>Philip Robertson</t>
        </is>
      </c>
      <c r="C82" s="27" t="inlineStr">
        <is>
          <t>Gauteng</t>
        </is>
      </c>
      <c r="D82" s="27" t="inlineStr">
        <is>
          <t>Motorcycle</t>
        </is>
      </c>
      <c r="E82" s="41" t="n">
        <v>45206</v>
      </c>
    </row>
    <row r="83" ht="15" customHeight="1" s="24">
      <c r="A83" s="27" t="n">
        <v>82</v>
      </c>
      <c r="B83" s="27" t="inlineStr">
        <is>
          <t>Julia Harris</t>
        </is>
      </c>
      <c r="C83" s="27" t="inlineStr">
        <is>
          <t>KwaZulu-Natal</t>
        </is>
      </c>
      <c r="D83" s="27" t="inlineStr">
        <is>
          <t>8-Ton Truck</t>
        </is>
      </c>
      <c r="E83" s="41" t="n">
        <v>44008</v>
      </c>
    </row>
    <row r="84" ht="15" customHeight="1" s="24">
      <c r="A84" s="27" t="n">
        <v>83</v>
      </c>
      <c r="B84" s="27" t="inlineStr">
        <is>
          <t>Frances Taylor</t>
        </is>
      </c>
      <c r="C84" s="27" t="inlineStr">
        <is>
          <t>KwaZulu-Natal</t>
        </is>
      </c>
      <c r="D84" s="27" t="inlineStr">
        <is>
          <t>Panel Van</t>
        </is>
      </c>
      <c r="E84" s="41" t="n">
        <v>45632</v>
      </c>
    </row>
    <row r="85" ht="15" customHeight="1" s="24">
      <c r="A85" s="27" t="n">
        <v>84</v>
      </c>
      <c r="B85" s="27" t="inlineStr">
        <is>
          <t>Lee Wong</t>
        </is>
      </c>
      <c r="C85" s="27" t="inlineStr">
        <is>
          <t>North West</t>
        </is>
      </c>
      <c r="D85" s="27" t="inlineStr">
        <is>
          <t>Panel Van</t>
        </is>
      </c>
      <c r="E85" s="41" t="n">
        <v>43505</v>
      </c>
    </row>
    <row r="86" ht="15" customHeight="1" s="24">
      <c r="A86" s="27" t="n">
        <v>85</v>
      </c>
      <c r="B86" s="27" t="inlineStr">
        <is>
          <t>Patrick Jones</t>
        </is>
      </c>
      <c r="C86" s="27" t="inlineStr">
        <is>
          <t>Northern Cape</t>
        </is>
      </c>
      <c r="D86" s="27" t="inlineStr">
        <is>
          <t>1-Ton Bakkie</t>
        </is>
      </c>
      <c r="E86" s="41" t="n">
        <v>43792</v>
      </c>
    </row>
    <row r="87" ht="15" customHeight="1" s="24">
      <c r="A87" s="27" t="n">
        <v>86</v>
      </c>
      <c r="B87" s="27" t="inlineStr">
        <is>
          <t>Ronald Gallagher</t>
        </is>
      </c>
      <c r="C87" s="27" t="inlineStr">
        <is>
          <t>KwaZulu-Natal</t>
        </is>
      </c>
      <c r="D87" s="27" t="inlineStr">
        <is>
          <t>Panel Van</t>
        </is>
      </c>
      <c r="E87" s="41" t="n">
        <v>44416</v>
      </c>
    </row>
    <row r="88" ht="15" customHeight="1" s="24">
      <c r="A88" s="27" t="n">
        <v>87</v>
      </c>
      <c r="B88" s="27" t="inlineStr">
        <is>
          <t>Hayley Singh</t>
        </is>
      </c>
      <c r="C88" s="27" t="inlineStr">
        <is>
          <t>Gauteng</t>
        </is>
      </c>
      <c r="D88" s="27" t="inlineStr">
        <is>
          <t>Motorcycle</t>
        </is>
      </c>
      <c r="E88" s="41" t="n">
        <v>43658</v>
      </c>
    </row>
    <row r="89" ht="15" customHeight="1" s="24">
      <c r="A89" s="27" t="n">
        <v>88</v>
      </c>
      <c r="B89" s="27" t="inlineStr">
        <is>
          <t>Kevin Fuller</t>
        </is>
      </c>
      <c r="C89" s="27" t="inlineStr">
        <is>
          <t>Western Cape</t>
        </is>
      </c>
      <c r="D89" s="27" t="inlineStr">
        <is>
          <t>Panel Van</t>
        </is>
      </c>
      <c r="E89" s="41" t="n">
        <v>44245</v>
      </c>
    </row>
    <row r="90" ht="15" customHeight="1" s="24">
      <c r="A90" s="27" t="n">
        <v>89</v>
      </c>
      <c r="B90" s="27" t="inlineStr">
        <is>
          <t>Dr Deborah Mellor</t>
        </is>
      </c>
      <c r="C90" s="27" t="inlineStr">
        <is>
          <t>Western Cape</t>
        </is>
      </c>
      <c r="D90" s="27" t="inlineStr">
        <is>
          <t>Motorcycle</t>
        </is>
      </c>
      <c r="E90" s="41" t="n">
        <v>43138</v>
      </c>
    </row>
    <row r="91" ht="15" customHeight="1" s="24">
      <c r="A91" s="27" t="n">
        <v>90</v>
      </c>
      <c r="B91" s="27" t="inlineStr">
        <is>
          <t>Richard Hayes</t>
        </is>
      </c>
      <c r="C91" s="27" t="inlineStr">
        <is>
          <t>Western Cape</t>
        </is>
      </c>
      <c r="D91" s="27" t="inlineStr">
        <is>
          <t>1-Ton Bakkie</t>
        </is>
      </c>
      <c r="E91" s="41" t="n">
        <v>42992</v>
      </c>
    </row>
    <row r="92" ht="15" customHeight="1" s="24">
      <c r="A92" s="27" t="n">
        <v>91</v>
      </c>
      <c r="B92" s="27" t="inlineStr">
        <is>
          <t>Dr Luke Turner</t>
        </is>
      </c>
      <c r="C92" s="27" t="inlineStr">
        <is>
          <t>Gauteng</t>
        </is>
      </c>
      <c r="D92" s="27" t="inlineStr">
        <is>
          <t>1-Ton Bakkie</t>
        </is>
      </c>
      <c r="E92" s="41" t="n">
        <v>45563</v>
      </c>
    </row>
    <row r="93" ht="15" customHeight="1" s="24">
      <c r="A93" s="27" t="n">
        <v>92</v>
      </c>
      <c r="B93" s="27" t="inlineStr">
        <is>
          <t>Ashleigh Miller</t>
        </is>
      </c>
      <c r="C93" s="27" t="inlineStr">
        <is>
          <t>Gauteng</t>
        </is>
      </c>
      <c r="D93" s="27" t="inlineStr">
        <is>
          <t>Motorcycle</t>
        </is>
      </c>
      <c r="E93" s="41" t="n">
        <v>43541</v>
      </c>
    </row>
    <row r="94" ht="15" customHeight="1" s="24">
      <c r="A94" s="27" t="n">
        <v>93</v>
      </c>
      <c r="B94" s="27" t="inlineStr">
        <is>
          <t>Joel James</t>
        </is>
      </c>
      <c r="C94" s="27" t="inlineStr">
        <is>
          <t>Gauteng</t>
        </is>
      </c>
      <c r="D94" s="27" t="inlineStr">
        <is>
          <t>1-Ton Bakkie</t>
        </is>
      </c>
      <c r="E94" s="41" t="n">
        <v>43071</v>
      </c>
    </row>
    <row r="95" ht="15" customHeight="1" s="24">
      <c r="A95" s="27" t="n">
        <v>94</v>
      </c>
      <c r="B95" s="27" t="inlineStr">
        <is>
          <t>Amber Palmer</t>
        </is>
      </c>
      <c r="C95" s="27" t="inlineStr">
        <is>
          <t>KwaZulu-Natal</t>
        </is>
      </c>
      <c r="D95" s="27" t="inlineStr">
        <is>
          <t>1-Ton Bakkie</t>
        </is>
      </c>
      <c r="E95" s="41" t="n">
        <v>43660</v>
      </c>
    </row>
    <row r="96" ht="15" customHeight="1" s="24">
      <c r="A96" s="27" t="n">
        <v>95</v>
      </c>
      <c r="B96" s="27" t="inlineStr">
        <is>
          <t>Kieran Taylor</t>
        </is>
      </c>
      <c r="C96" s="27" t="inlineStr">
        <is>
          <t>Eastern Cape</t>
        </is>
      </c>
      <c r="D96" s="27" t="inlineStr">
        <is>
          <t>Panel Van</t>
        </is>
      </c>
      <c r="E96" s="41" t="n">
        <v>44114</v>
      </c>
    </row>
    <row r="97" ht="15" customHeight="1" s="24">
      <c r="A97" s="27" t="n">
        <v>96</v>
      </c>
      <c r="B97" s="27" t="inlineStr">
        <is>
          <t>Miss Ruth Houghton</t>
        </is>
      </c>
      <c r="C97" s="27" t="inlineStr">
        <is>
          <t>North West</t>
        </is>
      </c>
      <c r="D97" s="27" t="inlineStr">
        <is>
          <t>Panel Van</t>
        </is>
      </c>
      <c r="E97" s="41" t="n">
        <v>44328</v>
      </c>
    </row>
    <row r="98" ht="15" customHeight="1" s="24">
      <c r="A98" s="27" t="n">
        <v>97</v>
      </c>
      <c r="B98" s="27" t="inlineStr">
        <is>
          <t>Adam May</t>
        </is>
      </c>
      <c r="C98" s="27" t="inlineStr">
        <is>
          <t>Gauteng</t>
        </is>
      </c>
      <c r="D98" s="27" t="inlineStr">
        <is>
          <t>Panel Van</t>
        </is>
      </c>
      <c r="E98" s="41" t="n">
        <v>45251</v>
      </c>
    </row>
    <row r="99" ht="15" customHeight="1" s="24">
      <c r="A99" s="27" t="n">
        <v>98</v>
      </c>
      <c r="B99" s="27" t="inlineStr">
        <is>
          <t>Aimee Kelly</t>
        </is>
      </c>
      <c r="C99" s="27" t="inlineStr">
        <is>
          <t>Limpopo</t>
        </is>
      </c>
      <c r="D99" s="27" t="inlineStr">
        <is>
          <t>Panel Van</t>
        </is>
      </c>
      <c r="E99" s="41" t="n">
        <v>45436</v>
      </c>
    </row>
    <row r="100" ht="15" customHeight="1" s="24">
      <c r="A100" s="27" t="n">
        <v>99</v>
      </c>
      <c r="B100" s="27" t="inlineStr">
        <is>
          <t>Simon Fraser</t>
        </is>
      </c>
      <c r="C100" s="27" t="inlineStr">
        <is>
          <t>Gauteng</t>
        </is>
      </c>
      <c r="D100" s="27" t="inlineStr">
        <is>
          <t>Panel Van</t>
        </is>
      </c>
      <c r="E100" s="41" t="n">
        <v>43694</v>
      </c>
    </row>
    <row r="101" ht="15" customHeight="1" s="24">
      <c r="A101" s="27" t="n">
        <v>100</v>
      </c>
      <c r="B101" s="27" t="inlineStr">
        <is>
          <t>Julia Tucker</t>
        </is>
      </c>
      <c r="C101" s="27" t="inlineStr">
        <is>
          <t>Gauteng</t>
        </is>
      </c>
      <c r="D101" s="27" t="inlineStr">
        <is>
          <t>Motorcycle</t>
        </is>
      </c>
      <c r="E101" s="41" t="n">
        <v>43454</v>
      </c>
    </row>
    <row r="102" ht="15" customHeight="1" s="24">
      <c r="A102" s="27" t="n">
        <v>101</v>
      </c>
      <c r="B102" s="27" t="inlineStr">
        <is>
          <t>Yvonne Price</t>
        </is>
      </c>
      <c r="C102" s="27" t="inlineStr">
        <is>
          <t>Eastern Cape</t>
        </is>
      </c>
      <c r="D102" s="27" t="inlineStr">
        <is>
          <t>Panel Van</t>
        </is>
      </c>
      <c r="E102" s="41" t="n">
        <v>43142</v>
      </c>
    </row>
    <row r="103" ht="15" customHeight="1" s="24">
      <c r="A103" s="27" t="n">
        <v>102</v>
      </c>
      <c r="B103" s="27" t="inlineStr">
        <is>
          <t>Damian Harris</t>
        </is>
      </c>
      <c r="C103" s="27" t="inlineStr">
        <is>
          <t>Gauteng</t>
        </is>
      </c>
      <c r="D103" s="27" t="inlineStr">
        <is>
          <t>1-Ton Bakkie</t>
        </is>
      </c>
      <c r="E103" s="41" t="n">
        <v>43255</v>
      </c>
    </row>
    <row r="104" ht="15" customHeight="1" s="24">
      <c r="A104" s="27" t="n">
        <v>103</v>
      </c>
      <c r="B104" s="27" t="inlineStr">
        <is>
          <t>Dawn Goddard</t>
        </is>
      </c>
      <c r="C104" s="27" t="inlineStr">
        <is>
          <t>North West</t>
        </is>
      </c>
      <c r="D104" s="27" t="inlineStr">
        <is>
          <t>Panel Van</t>
        </is>
      </c>
      <c r="E104" s="41" t="n">
        <v>42829</v>
      </c>
    </row>
    <row r="105" ht="15" customHeight="1" s="24">
      <c r="A105" s="27" t="n">
        <v>104</v>
      </c>
      <c r="B105" s="27" t="inlineStr">
        <is>
          <t>Julian Hammond-Barnes</t>
        </is>
      </c>
      <c r="C105" s="27" t="inlineStr">
        <is>
          <t>Free State</t>
        </is>
      </c>
      <c r="D105" s="27" t="inlineStr">
        <is>
          <t>8-Ton Truck</t>
        </is>
      </c>
      <c r="E105" s="41" t="n">
        <v>42739</v>
      </c>
    </row>
    <row r="106" ht="15" customHeight="1" s="24">
      <c r="A106" s="27" t="n">
        <v>105</v>
      </c>
      <c r="B106" s="27" t="inlineStr">
        <is>
          <t>Aimee Wright-Roberts</t>
        </is>
      </c>
      <c r="C106" s="27" t="inlineStr">
        <is>
          <t>Gauteng</t>
        </is>
      </c>
      <c r="D106" s="27" t="inlineStr">
        <is>
          <t>Motorcycle</t>
        </is>
      </c>
      <c r="E106" s="41" t="n">
        <v>44110</v>
      </c>
    </row>
    <row r="107" ht="15" customHeight="1" s="24">
      <c r="A107" s="27" t="n">
        <v>106</v>
      </c>
      <c r="B107" s="27" t="inlineStr">
        <is>
          <t>Kirsty Clark</t>
        </is>
      </c>
      <c r="C107" s="27" t="inlineStr">
        <is>
          <t>Gauteng</t>
        </is>
      </c>
      <c r="D107" s="27" t="inlineStr">
        <is>
          <t>Panel Van</t>
        </is>
      </c>
      <c r="E107" s="41" t="n">
        <v>44728</v>
      </c>
    </row>
    <row r="108" ht="15" customHeight="1" s="24">
      <c r="A108" s="27" t="n">
        <v>107</v>
      </c>
      <c r="B108" s="27" t="inlineStr">
        <is>
          <t>Josephine Bray</t>
        </is>
      </c>
      <c r="C108" s="27" t="inlineStr">
        <is>
          <t>Gauteng</t>
        </is>
      </c>
      <c r="D108" s="27" t="inlineStr">
        <is>
          <t>1-Ton Bakkie</t>
        </is>
      </c>
      <c r="E108" s="41" t="n">
        <v>45427</v>
      </c>
    </row>
    <row r="109" ht="15" customHeight="1" s="24">
      <c r="A109" s="27" t="n">
        <v>108</v>
      </c>
      <c r="B109" s="27" t="inlineStr">
        <is>
          <t>Rachel Hammond-Thompson</t>
        </is>
      </c>
      <c r="C109" s="27" t="inlineStr">
        <is>
          <t>North West</t>
        </is>
      </c>
      <c r="D109" s="27" t="inlineStr">
        <is>
          <t>Panel Van</t>
        </is>
      </c>
      <c r="E109" s="41" t="n">
        <v>43805</v>
      </c>
    </row>
    <row r="110" ht="15" customHeight="1" s="24">
      <c r="A110" s="27" t="n">
        <v>109</v>
      </c>
      <c r="B110" s="27" t="inlineStr">
        <is>
          <t>Hilary Morris-Pearce</t>
        </is>
      </c>
      <c r="C110" s="27" t="inlineStr">
        <is>
          <t>Gauteng</t>
        </is>
      </c>
      <c r="D110" s="27" t="inlineStr">
        <is>
          <t>8-Ton Truck</t>
        </is>
      </c>
      <c r="E110" s="41" t="n">
        <v>43685</v>
      </c>
    </row>
    <row r="111" ht="15" customHeight="1" s="24">
      <c r="A111" s="27" t="n">
        <v>110</v>
      </c>
      <c r="B111" s="27" t="inlineStr">
        <is>
          <t>Beverley Harvey-Holmes</t>
        </is>
      </c>
      <c r="C111" s="27" t="inlineStr">
        <is>
          <t>Limpopo</t>
        </is>
      </c>
      <c r="D111" s="27" t="inlineStr">
        <is>
          <t>Panel Van</t>
        </is>
      </c>
      <c r="E111" s="41" t="n">
        <v>44937</v>
      </c>
    </row>
    <row r="112" ht="15" customHeight="1" s="24">
      <c r="A112" s="27" t="n">
        <v>111</v>
      </c>
      <c r="B112" s="27" t="inlineStr">
        <is>
          <t>Reece Hewitt-Knight</t>
        </is>
      </c>
      <c r="C112" s="27" t="inlineStr">
        <is>
          <t>KwaZulu-Natal</t>
        </is>
      </c>
      <c r="D112" s="27" t="inlineStr">
        <is>
          <t>Panel Van</t>
        </is>
      </c>
      <c r="E112" s="41" t="n">
        <v>44827</v>
      </c>
    </row>
    <row r="113" ht="15" customHeight="1" s="24">
      <c r="A113" s="27" t="n">
        <v>112</v>
      </c>
      <c r="B113" s="27" t="inlineStr">
        <is>
          <t>Gerald Francis</t>
        </is>
      </c>
      <c r="C113" s="27" t="inlineStr">
        <is>
          <t>Eastern Cape</t>
        </is>
      </c>
      <c r="D113" s="27" t="inlineStr">
        <is>
          <t>Panel Van</t>
        </is>
      </c>
      <c r="E113" s="41" t="n">
        <v>45003</v>
      </c>
    </row>
    <row r="114" ht="15" customHeight="1" s="24">
      <c r="A114" s="27" t="n">
        <v>113</v>
      </c>
      <c r="B114" s="27" t="inlineStr">
        <is>
          <t>Alexandra Hunter</t>
        </is>
      </c>
      <c r="C114" s="27" t="inlineStr">
        <is>
          <t>Gauteng</t>
        </is>
      </c>
      <c r="D114" s="27" t="inlineStr">
        <is>
          <t>Panel Van</t>
        </is>
      </c>
      <c r="E114" s="41" t="n">
        <v>43294</v>
      </c>
    </row>
    <row r="115" ht="15" customHeight="1" s="24">
      <c r="A115" s="27" t="n">
        <v>114</v>
      </c>
      <c r="B115" s="27" t="inlineStr">
        <is>
          <t>Malcolm Payne</t>
        </is>
      </c>
      <c r="C115" s="27" t="inlineStr">
        <is>
          <t>Mpumalanga</t>
        </is>
      </c>
      <c r="D115" s="27" t="inlineStr">
        <is>
          <t>1-Ton Bakkie</t>
        </is>
      </c>
      <c r="E115" s="41" t="n">
        <v>42882</v>
      </c>
    </row>
    <row r="116" ht="15" customHeight="1" s="24">
      <c r="A116" s="27" t="n">
        <v>115</v>
      </c>
      <c r="B116" s="27" t="inlineStr">
        <is>
          <t>Hazel Lee</t>
        </is>
      </c>
      <c r="C116" s="27" t="inlineStr">
        <is>
          <t>Eastern Cape</t>
        </is>
      </c>
      <c r="D116" s="27" t="inlineStr">
        <is>
          <t>1-Ton Bakkie</t>
        </is>
      </c>
      <c r="E116" s="41" t="n">
        <v>44526</v>
      </c>
    </row>
    <row r="117" ht="15" customHeight="1" s="24">
      <c r="A117" s="27" t="n">
        <v>116</v>
      </c>
      <c r="B117" s="27" t="inlineStr">
        <is>
          <t>Billy Watson</t>
        </is>
      </c>
      <c r="C117" s="27" t="inlineStr">
        <is>
          <t>Gauteng</t>
        </is>
      </c>
      <c r="D117" s="27" t="inlineStr">
        <is>
          <t>Motorcycle</t>
        </is>
      </c>
      <c r="E117" s="41" t="n">
        <v>44110</v>
      </c>
    </row>
    <row r="118" ht="15" customHeight="1" s="24">
      <c r="A118" s="27" t="n">
        <v>117</v>
      </c>
      <c r="B118" s="27" t="inlineStr">
        <is>
          <t>Dr Gerard Thomas</t>
        </is>
      </c>
      <c r="C118" s="27" t="inlineStr">
        <is>
          <t>Gauteng</t>
        </is>
      </c>
      <c r="D118" s="27" t="inlineStr">
        <is>
          <t>1-Ton Bakkie</t>
        </is>
      </c>
      <c r="E118" s="41" t="n">
        <v>43584</v>
      </c>
    </row>
    <row r="119" ht="15" customHeight="1" s="24">
      <c r="A119" s="27" t="n">
        <v>118</v>
      </c>
      <c r="B119" s="27" t="inlineStr">
        <is>
          <t>Mr Damian Reynolds</t>
        </is>
      </c>
      <c r="C119" s="27" t="inlineStr">
        <is>
          <t>Western Cape</t>
        </is>
      </c>
      <c r="D119" s="27" t="inlineStr">
        <is>
          <t>1-Ton Bakkie</t>
        </is>
      </c>
      <c r="E119" s="41" t="n">
        <v>45915</v>
      </c>
    </row>
    <row r="120" ht="15" customHeight="1" s="24">
      <c r="A120" s="27" t="n">
        <v>119</v>
      </c>
      <c r="B120" s="27" t="inlineStr">
        <is>
          <t>Bradley Clayton</t>
        </is>
      </c>
      <c r="C120" s="27" t="inlineStr">
        <is>
          <t>Western Cape</t>
        </is>
      </c>
      <c r="D120" s="27" t="inlineStr">
        <is>
          <t>Panel Van</t>
        </is>
      </c>
      <c r="E120" s="41" t="n">
        <v>43258</v>
      </c>
    </row>
    <row r="121" ht="15" customHeight="1" s="24">
      <c r="A121" s="27" t="n">
        <v>120</v>
      </c>
      <c r="B121" s="27" t="inlineStr">
        <is>
          <t>Charlie Thomson</t>
        </is>
      </c>
      <c r="C121" s="27" t="inlineStr">
        <is>
          <t>Mpumalanga</t>
        </is>
      </c>
      <c r="D121" s="27" t="inlineStr">
        <is>
          <t>Panel Van</t>
        </is>
      </c>
      <c r="E121" s="41" t="n">
        <v>43639</v>
      </c>
    </row>
    <row r="122" ht="15" customHeight="1" s="24">
      <c r="A122" s="27" t="n">
        <v>121</v>
      </c>
      <c r="B122" s="27" t="inlineStr">
        <is>
          <t>Jordan Jones</t>
        </is>
      </c>
      <c r="C122" s="27" t="inlineStr">
        <is>
          <t>KwaZulu-Natal</t>
        </is>
      </c>
      <c r="D122" s="27" t="inlineStr">
        <is>
          <t>4-Ton Truck</t>
        </is>
      </c>
      <c r="E122" s="41" t="n">
        <v>45199</v>
      </c>
    </row>
    <row r="123" ht="15" customHeight="1" s="24">
      <c r="A123" s="27" t="n">
        <v>122</v>
      </c>
      <c r="B123" s="27" t="inlineStr">
        <is>
          <t>Miss Georgia Davies</t>
        </is>
      </c>
      <c r="C123" s="27" t="inlineStr">
        <is>
          <t>North West</t>
        </is>
      </c>
      <c r="D123" s="27" t="inlineStr">
        <is>
          <t>1-Ton Bakkie</t>
        </is>
      </c>
      <c r="E123" s="41" t="n">
        <v>44475</v>
      </c>
    </row>
    <row r="124" ht="15" customHeight="1" s="24">
      <c r="A124" s="27" t="n">
        <v>123</v>
      </c>
      <c r="B124" s="27" t="inlineStr">
        <is>
          <t>Mr Roger Ali</t>
        </is>
      </c>
      <c r="C124" s="27" t="inlineStr">
        <is>
          <t>Gauteng</t>
        </is>
      </c>
      <c r="D124" s="27" t="inlineStr">
        <is>
          <t>Motorcycle</t>
        </is>
      </c>
      <c r="E124" s="41" t="n">
        <v>43496</v>
      </c>
    </row>
    <row r="125" ht="15" customHeight="1" s="24">
      <c r="A125" s="27" t="n">
        <v>124</v>
      </c>
      <c r="B125" s="27" t="inlineStr">
        <is>
          <t>Gareth Adams</t>
        </is>
      </c>
      <c r="C125" s="27" t="inlineStr">
        <is>
          <t>Mpumalanga</t>
        </is>
      </c>
      <c r="D125" s="27" t="inlineStr">
        <is>
          <t>Panel Van</t>
        </is>
      </c>
      <c r="E125" s="41" t="n">
        <v>44502</v>
      </c>
    </row>
    <row r="126" ht="15" customHeight="1" s="24">
      <c r="A126" s="27" t="n">
        <v>125</v>
      </c>
      <c r="B126" s="27" t="inlineStr">
        <is>
          <t>Mrs Carole Nicholson</t>
        </is>
      </c>
      <c r="C126" s="27" t="inlineStr">
        <is>
          <t>North West</t>
        </is>
      </c>
      <c r="D126" s="27" t="inlineStr">
        <is>
          <t>1-Ton Bakkie</t>
        </is>
      </c>
      <c r="E126" s="41" t="n">
        <v>44113</v>
      </c>
    </row>
    <row r="127" ht="15" customHeight="1" s="24">
      <c r="A127" s="27" t="n">
        <v>126</v>
      </c>
      <c r="B127" s="27" t="inlineStr">
        <is>
          <t>Georgia Clark-Clements</t>
        </is>
      </c>
      <c r="C127" s="27" t="inlineStr">
        <is>
          <t>Eastern Cape</t>
        </is>
      </c>
      <c r="D127" s="27" t="inlineStr">
        <is>
          <t>4-Ton Truck</t>
        </is>
      </c>
      <c r="E127" s="41" t="n">
        <v>43591</v>
      </c>
    </row>
    <row r="128" ht="15" customHeight="1" s="24">
      <c r="A128" s="27" t="n">
        <v>127</v>
      </c>
      <c r="B128" s="27" t="inlineStr">
        <is>
          <t>Mr Hugh Taylor</t>
        </is>
      </c>
      <c r="C128" s="27" t="inlineStr">
        <is>
          <t>Free State</t>
        </is>
      </c>
      <c r="D128" s="27" t="inlineStr">
        <is>
          <t>Panel Van</t>
        </is>
      </c>
      <c r="E128" s="41" t="n">
        <v>44940</v>
      </c>
    </row>
    <row r="129" ht="15" customHeight="1" s="24">
      <c r="A129" s="27" t="n">
        <v>128</v>
      </c>
      <c r="B129" s="27" t="inlineStr">
        <is>
          <t>Russell Holloway</t>
        </is>
      </c>
      <c r="C129" s="27" t="inlineStr">
        <is>
          <t>KwaZulu-Natal</t>
        </is>
      </c>
      <c r="D129" s="27" t="inlineStr">
        <is>
          <t>4-Ton Truck</t>
        </is>
      </c>
      <c r="E129" s="41" t="n">
        <v>45295</v>
      </c>
    </row>
    <row r="130" ht="15" customHeight="1" s="24">
      <c r="A130" s="27" t="n">
        <v>129</v>
      </c>
      <c r="B130" s="27" t="inlineStr">
        <is>
          <t>Jeremy Johnson</t>
        </is>
      </c>
      <c r="C130" s="27" t="inlineStr">
        <is>
          <t>Limpopo</t>
        </is>
      </c>
      <c r="D130" s="27" t="inlineStr">
        <is>
          <t>Panel Van</t>
        </is>
      </c>
      <c r="E130" s="41" t="n">
        <v>42961</v>
      </c>
    </row>
    <row r="131" ht="15" customHeight="1" s="24">
      <c r="A131" s="27" t="n">
        <v>130</v>
      </c>
      <c r="B131" s="27" t="inlineStr">
        <is>
          <t>Terry Williams</t>
        </is>
      </c>
      <c r="C131" s="27" t="inlineStr">
        <is>
          <t>Gauteng</t>
        </is>
      </c>
      <c r="D131" s="27" t="inlineStr">
        <is>
          <t>Panel Van</t>
        </is>
      </c>
      <c r="E131" s="41" t="n">
        <v>42748</v>
      </c>
    </row>
    <row r="132" ht="15" customHeight="1" s="24">
      <c r="A132" s="27" t="n">
        <v>131</v>
      </c>
      <c r="B132" s="27" t="inlineStr">
        <is>
          <t>Clare Phillips</t>
        </is>
      </c>
      <c r="C132" s="27" t="inlineStr">
        <is>
          <t>KwaZulu-Natal</t>
        </is>
      </c>
      <c r="D132" s="27" t="inlineStr">
        <is>
          <t>1-Ton Bakkie</t>
        </is>
      </c>
      <c r="E132" s="41" t="n">
        <v>45703</v>
      </c>
    </row>
    <row r="133" ht="15" customHeight="1" s="24">
      <c r="A133" s="27" t="n">
        <v>132</v>
      </c>
      <c r="B133" s="27" t="inlineStr">
        <is>
          <t>Dawn Williams</t>
        </is>
      </c>
      <c r="C133" s="27" t="inlineStr">
        <is>
          <t>Western Cape</t>
        </is>
      </c>
      <c r="D133" s="27" t="inlineStr">
        <is>
          <t>Motorcycle</t>
        </is>
      </c>
      <c r="E133" s="41" t="n">
        <v>43481</v>
      </c>
    </row>
    <row r="134" ht="15" customHeight="1" s="24">
      <c r="A134" s="27" t="n">
        <v>133</v>
      </c>
      <c r="B134" s="27" t="inlineStr">
        <is>
          <t>Norman O'Neill-Simpson</t>
        </is>
      </c>
      <c r="C134" s="27" t="inlineStr">
        <is>
          <t>North West</t>
        </is>
      </c>
      <c r="D134" s="27" t="inlineStr">
        <is>
          <t>Motorcycle</t>
        </is>
      </c>
      <c r="E134" s="41" t="n">
        <v>43019</v>
      </c>
    </row>
    <row r="135" ht="15" customHeight="1" s="24">
      <c r="A135" s="27" t="n">
        <v>134</v>
      </c>
      <c r="B135" s="27" t="inlineStr">
        <is>
          <t>Trevor Ellis</t>
        </is>
      </c>
      <c r="C135" s="27" t="inlineStr">
        <is>
          <t>Free State</t>
        </is>
      </c>
      <c r="D135" s="27" t="inlineStr">
        <is>
          <t>1-Ton Bakkie</t>
        </is>
      </c>
      <c r="E135" s="41" t="n">
        <v>44682</v>
      </c>
    </row>
    <row r="136" ht="15" customHeight="1" s="24">
      <c r="A136" s="27" t="n">
        <v>135</v>
      </c>
      <c r="B136" s="27" t="inlineStr">
        <is>
          <t>Julia Brown-Miles</t>
        </is>
      </c>
      <c r="C136" s="27" t="inlineStr">
        <is>
          <t>Western Cape</t>
        </is>
      </c>
      <c r="D136" s="27" t="inlineStr">
        <is>
          <t>Motorcycle</t>
        </is>
      </c>
      <c r="E136" s="41" t="n">
        <v>43795</v>
      </c>
    </row>
    <row r="137" ht="15" customHeight="1" s="24">
      <c r="A137" s="27" t="n">
        <v>136</v>
      </c>
      <c r="B137" s="27" t="inlineStr">
        <is>
          <t>Amy Hall</t>
        </is>
      </c>
      <c r="C137" s="27" t="inlineStr">
        <is>
          <t>Mpumalanga</t>
        </is>
      </c>
      <c r="D137" s="27" t="inlineStr">
        <is>
          <t>Motorcycle</t>
        </is>
      </c>
      <c r="E137" s="41" t="n">
        <v>45749</v>
      </c>
    </row>
    <row r="138" ht="15" customHeight="1" s="24">
      <c r="A138" s="27" t="n">
        <v>137</v>
      </c>
      <c r="B138" s="27" t="inlineStr">
        <is>
          <t>Josephine Lee</t>
        </is>
      </c>
      <c r="C138" s="27" t="inlineStr">
        <is>
          <t>Mpumalanga</t>
        </is>
      </c>
      <c r="D138" s="27" t="inlineStr">
        <is>
          <t>Motorcycle</t>
        </is>
      </c>
      <c r="E138" s="41" t="n">
        <v>45891</v>
      </c>
    </row>
    <row r="139" ht="15" customHeight="1" s="24">
      <c r="A139" s="27" t="n">
        <v>138</v>
      </c>
      <c r="B139" s="27" t="inlineStr">
        <is>
          <t>Jacob Bond</t>
        </is>
      </c>
      <c r="C139" s="27" t="inlineStr">
        <is>
          <t>Limpopo</t>
        </is>
      </c>
      <c r="D139" s="27" t="inlineStr">
        <is>
          <t>Motorcycle</t>
        </is>
      </c>
      <c r="E139" s="41" t="n">
        <v>42767</v>
      </c>
    </row>
    <row r="140" ht="15" customHeight="1" s="24">
      <c r="A140" s="27" t="n">
        <v>139</v>
      </c>
      <c r="B140" s="27" t="inlineStr">
        <is>
          <t>Lynne Lee-Robinson</t>
        </is>
      </c>
      <c r="C140" s="27" t="inlineStr">
        <is>
          <t>Gauteng</t>
        </is>
      </c>
      <c r="D140" s="27" t="inlineStr">
        <is>
          <t>Motorcycle</t>
        </is>
      </c>
      <c r="E140" s="41" t="n">
        <v>43365</v>
      </c>
    </row>
    <row r="141" ht="15" customHeight="1" s="24">
      <c r="A141" s="27" t="n">
        <v>140</v>
      </c>
      <c r="B141" s="27" t="inlineStr">
        <is>
          <t>Carole Fisher</t>
        </is>
      </c>
      <c r="C141" s="27" t="inlineStr">
        <is>
          <t>Western Cape</t>
        </is>
      </c>
      <c r="D141" s="27" t="inlineStr">
        <is>
          <t>Panel Van</t>
        </is>
      </c>
      <c r="E141" s="41" t="n">
        <v>44709</v>
      </c>
    </row>
    <row r="142" ht="15" customHeight="1" s="24">
      <c r="A142" s="27" t="n">
        <v>141</v>
      </c>
      <c r="B142" s="27" t="inlineStr">
        <is>
          <t>Ms Abbie Buckley</t>
        </is>
      </c>
      <c r="C142" s="27" t="inlineStr">
        <is>
          <t>Western Cape</t>
        </is>
      </c>
      <c r="D142" s="27" t="inlineStr">
        <is>
          <t>4-Ton Truck</t>
        </is>
      </c>
      <c r="E142" s="41" t="n">
        <v>43840</v>
      </c>
    </row>
    <row r="143" ht="15" customHeight="1" s="24">
      <c r="A143" s="27" t="n">
        <v>142</v>
      </c>
      <c r="B143" s="27" t="inlineStr">
        <is>
          <t>Janet White</t>
        </is>
      </c>
      <c r="C143" s="27" t="inlineStr">
        <is>
          <t>Limpopo</t>
        </is>
      </c>
      <c r="D143" s="27" t="inlineStr">
        <is>
          <t>1-Ton Bakkie</t>
        </is>
      </c>
      <c r="E143" s="41" t="n">
        <v>42747</v>
      </c>
    </row>
    <row r="144" ht="15" customHeight="1" s="24">
      <c r="A144" s="27" t="n">
        <v>143</v>
      </c>
      <c r="B144" s="27" t="inlineStr">
        <is>
          <t>Dr Ronald McDonald</t>
        </is>
      </c>
      <c r="C144" s="27" t="inlineStr">
        <is>
          <t>Eastern Cape</t>
        </is>
      </c>
      <c r="D144" s="27" t="inlineStr">
        <is>
          <t>1-Ton Bakkie</t>
        </is>
      </c>
      <c r="E144" s="41" t="n">
        <v>44255</v>
      </c>
    </row>
    <row r="145" ht="15" customHeight="1" s="24">
      <c r="A145" s="27" t="n">
        <v>144</v>
      </c>
      <c r="B145" s="27" t="inlineStr">
        <is>
          <t>Aaron Perry</t>
        </is>
      </c>
      <c r="C145" s="27" t="inlineStr">
        <is>
          <t>Mpumalanga</t>
        </is>
      </c>
      <c r="D145" s="27" t="inlineStr">
        <is>
          <t>Motorcycle</t>
        </is>
      </c>
      <c r="E145" s="41" t="n">
        <v>44781</v>
      </c>
    </row>
    <row r="146" ht="15" customHeight="1" s="24">
      <c r="A146" s="27" t="n">
        <v>145</v>
      </c>
      <c r="B146" s="27" t="inlineStr">
        <is>
          <t>Leanne Smart-Jackson</t>
        </is>
      </c>
      <c r="C146" s="27" t="inlineStr">
        <is>
          <t>Free State</t>
        </is>
      </c>
      <c r="D146" s="27" t="inlineStr">
        <is>
          <t>Motorcycle</t>
        </is>
      </c>
      <c r="E146" s="41" t="n">
        <v>45987</v>
      </c>
    </row>
    <row r="147" ht="15" customHeight="1" s="24">
      <c r="A147" s="27" t="n">
        <v>146</v>
      </c>
      <c r="B147" s="27" t="inlineStr">
        <is>
          <t>Duncan Taylor</t>
        </is>
      </c>
      <c r="C147" s="27" t="inlineStr">
        <is>
          <t>Western Cape</t>
        </is>
      </c>
      <c r="D147" s="27" t="inlineStr">
        <is>
          <t>4-Ton Truck</t>
        </is>
      </c>
      <c r="E147" s="41" t="n">
        <v>44088</v>
      </c>
    </row>
    <row r="148" ht="15" customHeight="1" s="24">
      <c r="A148" s="27" t="n">
        <v>147</v>
      </c>
      <c r="B148" s="27" t="inlineStr">
        <is>
          <t>Max Jones</t>
        </is>
      </c>
      <c r="C148" s="27" t="inlineStr">
        <is>
          <t>Mpumalanga</t>
        </is>
      </c>
      <c r="D148" s="27" t="inlineStr">
        <is>
          <t>1-Ton Bakkie</t>
        </is>
      </c>
      <c r="E148" s="41" t="n">
        <v>45329</v>
      </c>
    </row>
    <row r="149" ht="15" customHeight="1" s="24">
      <c r="A149" s="27" t="n">
        <v>148</v>
      </c>
      <c r="B149" s="27" t="inlineStr">
        <is>
          <t>Dr Carole Begum</t>
        </is>
      </c>
      <c r="C149" s="27" t="inlineStr">
        <is>
          <t>Western Cape</t>
        </is>
      </c>
      <c r="D149" s="27" t="inlineStr">
        <is>
          <t>1-Ton Bakkie</t>
        </is>
      </c>
      <c r="E149" s="41" t="n">
        <v>44163</v>
      </c>
    </row>
    <row r="150" ht="15" customHeight="1" s="24">
      <c r="A150" s="27" t="n">
        <v>149</v>
      </c>
      <c r="B150" s="27" t="inlineStr">
        <is>
          <t>Mr Damien Smith</t>
        </is>
      </c>
      <c r="C150" s="27" t="inlineStr">
        <is>
          <t>Eastern Cape</t>
        </is>
      </c>
      <c r="D150" s="27" t="inlineStr">
        <is>
          <t>Panel Van</t>
        </is>
      </c>
      <c r="E150" s="41" t="n">
        <v>44941</v>
      </c>
    </row>
    <row r="151" ht="15" customHeight="1" s="24">
      <c r="A151" s="27" t="n">
        <v>150</v>
      </c>
      <c r="B151" s="27" t="inlineStr">
        <is>
          <t>Ms Chelsea Thomas</t>
        </is>
      </c>
      <c r="C151" s="27" t="inlineStr">
        <is>
          <t>Western Cape</t>
        </is>
      </c>
      <c r="D151" s="27" t="inlineStr">
        <is>
          <t>Panel Van</t>
        </is>
      </c>
      <c r="E151" s="41" t="n">
        <v>45914</v>
      </c>
    </row>
    <row r="152" ht="15" customHeight="1" s="24">
      <c r="A152" s="27" t="n">
        <v>151</v>
      </c>
      <c r="B152" s="27" t="inlineStr">
        <is>
          <t>Frank Cole-Barker</t>
        </is>
      </c>
      <c r="C152" s="27" t="inlineStr">
        <is>
          <t>Free State</t>
        </is>
      </c>
      <c r="D152" s="27" t="inlineStr">
        <is>
          <t>Panel Van</t>
        </is>
      </c>
      <c r="E152" s="41" t="n">
        <v>45404</v>
      </c>
    </row>
    <row r="153" ht="15" customHeight="1" s="24">
      <c r="A153" s="27" t="n">
        <v>152</v>
      </c>
      <c r="B153" s="27" t="inlineStr">
        <is>
          <t>Ms Mandy Arnold</t>
        </is>
      </c>
      <c r="C153" s="27" t="inlineStr">
        <is>
          <t>Mpumalanga</t>
        </is>
      </c>
      <c r="D153" s="27" t="inlineStr">
        <is>
          <t>Motorcycle</t>
        </is>
      </c>
      <c r="E153" s="41" t="n">
        <v>44977</v>
      </c>
    </row>
    <row r="154" ht="15" customHeight="1" s="24">
      <c r="A154" s="27" t="n">
        <v>153</v>
      </c>
      <c r="B154" s="27" t="inlineStr">
        <is>
          <t>Lynda Arnold</t>
        </is>
      </c>
      <c r="C154" s="27" t="inlineStr">
        <is>
          <t>Limpopo</t>
        </is>
      </c>
      <c r="D154" s="27" t="inlineStr">
        <is>
          <t>4-Ton Truck</t>
        </is>
      </c>
      <c r="E154" s="41" t="n">
        <v>45454</v>
      </c>
    </row>
    <row r="155" ht="15" customHeight="1" s="24">
      <c r="A155" s="27" t="n">
        <v>154</v>
      </c>
      <c r="B155" s="27" t="inlineStr">
        <is>
          <t>Mrs Beverley Spencer</t>
        </is>
      </c>
      <c r="C155" s="27" t="inlineStr">
        <is>
          <t>KwaZulu-Natal</t>
        </is>
      </c>
      <c r="D155" s="27" t="inlineStr">
        <is>
          <t>Panel Van</t>
        </is>
      </c>
      <c r="E155" s="41" t="n">
        <v>43381</v>
      </c>
    </row>
    <row r="156" ht="15" customHeight="1" s="24">
      <c r="A156" s="27" t="n">
        <v>155</v>
      </c>
      <c r="B156" s="27" t="inlineStr">
        <is>
          <t>Thomas Wood</t>
        </is>
      </c>
      <c r="C156" s="27" t="inlineStr">
        <is>
          <t>Western Cape</t>
        </is>
      </c>
      <c r="D156" s="27" t="inlineStr">
        <is>
          <t>Panel Van</t>
        </is>
      </c>
      <c r="E156" s="41" t="n">
        <v>45350</v>
      </c>
    </row>
    <row r="157" ht="15" customHeight="1" s="24">
      <c r="A157" s="27" t="n">
        <v>156</v>
      </c>
      <c r="B157" s="27" t="inlineStr">
        <is>
          <t>Ms Lisa Jones</t>
        </is>
      </c>
      <c r="C157" s="27" t="inlineStr">
        <is>
          <t>Mpumalanga</t>
        </is>
      </c>
      <c r="D157" s="27" t="inlineStr">
        <is>
          <t>Motorcycle</t>
        </is>
      </c>
      <c r="E157" s="41" t="n">
        <v>46012</v>
      </c>
    </row>
    <row r="158" ht="15" customHeight="1" s="24">
      <c r="A158" s="27" t="n">
        <v>157</v>
      </c>
      <c r="B158" s="27" t="inlineStr">
        <is>
          <t>Judith Johnson-Simmons</t>
        </is>
      </c>
      <c r="C158" s="27" t="inlineStr">
        <is>
          <t>Free State</t>
        </is>
      </c>
      <c r="D158" s="27" t="inlineStr">
        <is>
          <t>1-Ton Bakkie</t>
        </is>
      </c>
      <c r="E158" s="41" t="n">
        <v>45932</v>
      </c>
    </row>
    <row r="159" ht="15" customHeight="1" s="24">
      <c r="A159" s="27" t="n">
        <v>158</v>
      </c>
      <c r="B159" s="27" t="inlineStr">
        <is>
          <t>Maria Davis</t>
        </is>
      </c>
      <c r="C159" s="27" t="inlineStr">
        <is>
          <t>Northern Cape</t>
        </is>
      </c>
      <c r="D159" s="27" t="inlineStr">
        <is>
          <t>1-Ton Bakkie</t>
        </is>
      </c>
      <c r="E159" s="41" t="n">
        <v>43579</v>
      </c>
    </row>
    <row r="160" ht="15" customHeight="1" s="24">
      <c r="A160" s="27" t="n">
        <v>159</v>
      </c>
      <c r="B160" s="27" t="inlineStr">
        <is>
          <t>Dr Sam Johnson</t>
        </is>
      </c>
      <c r="C160" s="27" t="inlineStr">
        <is>
          <t>Limpopo</t>
        </is>
      </c>
      <c r="D160" s="27" t="inlineStr">
        <is>
          <t>Panel Van</t>
        </is>
      </c>
      <c r="E160" s="41" t="n">
        <v>44140</v>
      </c>
    </row>
    <row r="161" ht="15" customHeight="1" s="24">
      <c r="A161" s="27" t="n">
        <v>160</v>
      </c>
      <c r="B161" s="27" t="inlineStr">
        <is>
          <t>Dr Mathew Fowler</t>
        </is>
      </c>
      <c r="C161" s="27" t="inlineStr">
        <is>
          <t>Limpopo</t>
        </is>
      </c>
      <c r="D161" s="27" t="inlineStr">
        <is>
          <t>8-Ton Truck</t>
        </is>
      </c>
      <c r="E161" s="41" t="n">
        <v>44989</v>
      </c>
    </row>
    <row r="162" ht="15" customHeight="1" s="24">
      <c r="A162" s="27" t="n">
        <v>161</v>
      </c>
      <c r="B162" s="27" t="inlineStr">
        <is>
          <t>Elaine Yates</t>
        </is>
      </c>
      <c r="C162" s="27" t="inlineStr">
        <is>
          <t>Gauteng</t>
        </is>
      </c>
      <c r="D162" s="27" t="inlineStr">
        <is>
          <t>Motorcycle</t>
        </is>
      </c>
      <c r="E162" s="41" t="n">
        <v>42977</v>
      </c>
    </row>
    <row r="163" ht="15" customHeight="1" s="24">
      <c r="A163" s="27" t="n">
        <v>162</v>
      </c>
      <c r="B163" s="27" t="inlineStr">
        <is>
          <t>Pauline Morris-Williams</t>
        </is>
      </c>
      <c r="C163" s="27" t="inlineStr">
        <is>
          <t>Limpopo</t>
        </is>
      </c>
      <c r="D163" s="27" t="inlineStr">
        <is>
          <t>4-Ton Truck</t>
        </is>
      </c>
      <c r="E163" s="41" t="n">
        <v>44970</v>
      </c>
    </row>
    <row r="164" ht="15" customHeight="1" s="24">
      <c r="A164" s="27" t="n">
        <v>163</v>
      </c>
      <c r="B164" s="27" t="inlineStr">
        <is>
          <t>Ellie Campbell</t>
        </is>
      </c>
      <c r="C164" s="27" t="inlineStr">
        <is>
          <t>KwaZulu-Natal</t>
        </is>
      </c>
      <c r="D164" s="27" t="inlineStr">
        <is>
          <t>1-Ton Bakkie</t>
        </is>
      </c>
      <c r="E164" s="41" t="n">
        <v>43641</v>
      </c>
    </row>
    <row r="165" ht="15" customHeight="1" s="24">
      <c r="A165" s="27" t="n">
        <v>164</v>
      </c>
      <c r="B165" s="27" t="inlineStr">
        <is>
          <t>Melissa Thompson</t>
        </is>
      </c>
      <c r="C165" s="27" t="inlineStr">
        <is>
          <t>Mpumalanga</t>
        </is>
      </c>
      <c r="D165" s="27" t="inlineStr">
        <is>
          <t>4-Ton Truck</t>
        </is>
      </c>
      <c r="E165" s="41" t="n">
        <v>45527</v>
      </c>
    </row>
    <row r="166" ht="15" customHeight="1" s="24">
      <c r="A166" s="27" t="n">
        <v>165</v>
      </c>
      <c r="B166" s="27" t="inlineStr">
        <is>
          <t>Lauren Thomas-Coles</t>
        </is>
      </c>
      <c r="C166" s="27" t="inlineStr">
        <is>
          <t>Gauteng</t>
        </is>
      </c>
      <c r="D166" s="27" t="inlineStr">
        <is>
          <t>1-Ton Bakkie</t>
        </is>
      </c>
      <c r="E166" s="41" t="n">
        <v>44752</v>
      </c>
    </row>
    <row r="167" ht="15" customHeight="1" s="24">
      <c r="A167" s="27" t="n">
        <v>166</v>
      </c>
      <c r="B167" s="27" t="inlineStr">
        <is>
          <t>Eleanor Patel-Lane</t>
        </is>
      </c>
      <c r="C167" s="27" t="inlineStr">
        <is>
          <t>Free State</t>
        </is>
      </c>
      <c r="D167" s="27" t="inlineStr">
        <is>
          <t>Panel Van</t>
        </is>
      </c>
      <c r="E167" s="41" t="n">
        <v>44046</v>
      </c>
    </row>
    <row r="168" ht="15" customHeight="1" s="24">
      <c r="A168" s="27" t="n">
        <v>167</v>
      </c>
      <c r="B168" s="27" t="inlineStr">
        <is>
          <t>Russell Armstrong</t>
        </is>
      </c>
      <c r="C168" s="27" t="inlineStr">
        <is>
          <t>Western Cape</t>
        </is>
      </c>
      <c r="D168" s="27" t="inlineStr">
        <is>
          <t>Panel Van</t>
        </is>
      </c>
      <c r="E168" s="41" t="n">
        <v>42900</v>
      </c>
    </row>
    <row r="169" ht="15" customHeight="1" s="24">
      <c r="A169" s="27" t="n">
        <v>168</v>
      </c>
      <c r="B169" s="27" t="inlineStr">
        <is>
          <t>Mr Graham Jarvis</t>
        </is>
      </c>
      <c r="C169" s="27" t="inlineStr">
        <is>
          <t>Gauteng</t>
        </is>
      </c>
      <c r="D169" s="27" t="inlineStr">
        <is>
          <t>4-Ton Truck</t>
        </is>
      </c>
      <c r="E169" s="41" t="n">
        <v>45022</v>
      </c>
    </row>
    <row r="170" ht="15" customHeight="1" s="24">
      <c r="A170" s="27" t="n">
        <v>169</v>
      </c>
      <c r="B170" s="27" t="inlineStr">
        <is>
          <t>Karl Bibi</t>
        </is>
      </c>
      <c r="C170" s="27" t="inlineStr">
        <is>
          <t>Eastern Cape</t>
        </is>
      </c>
      <c r="D170" s="27" t="inlineStr">
        <is>
          <t>4-Ton Truck</t>
        </is>
      </c>
      <c r="E170" s="41" t="n">
        <v>44497</v>
      </c>
    </row>
    <row r="171" ht="15" customHeight="1" s="24">
      <c r="A171" s="27" t="n">
        <v>170</v>
      </c>
      <c r="B171" s="27" t="inlineStr">
        <is>
          <t>Rachael Walker</t>
        </is>
      </c>
      <c r="C171" s="27" t="inlineStr">
        <is>
          <t>Limpopo</t>
        </is>
      </c>
      <c r="D171" s="27" t="inlineStr">
        <is>
          <t>Panel Van</t>
        </is>
      </c>
      <c r="E171" s="41" t="n">
        <v>44792</v>
      </c>
    </row>
    <row r="172" ht="15" customHeight="1" s="24">
      <c r="A172" s="27" t="n">
        <v>171</v>
      </c>
      <c r="B172" s="27" t="inlineStr">
        <is>
          <t>Megan Hall</t>
        </is>
      </c>
      <c r="C172" s="27" t="inlineStr">
        <is>
          <t>Limpopo</t>
        </is>
      </c>
      <c r="D172" s="27" t="inlineStr">
        <is>
          <t>1-Ton Bakkie</t>
        </is>
      </c>
      <c r="E172" s="41" t="n">
        <v>42794</v>
      </c>
    </row>
    <row r="173" ht="15" customHeight="1" s="24">
      <c r="A173" s="27" t="n">
        <v>172</v>
      </c>
      <c r="B173" s="27" t="inlineStr">
        <is>
          <t>Fiona Smith-Potts</t>
        </is>
      </c>
      <c r="C173" s="27" t="inlineStr">
        <is>
          <t>Limpopo</t>
        </is>
      </c>
      <c r="D173" s="27" t="inlineStr">
        <is>
          <t>Panel Van</t>
        </is>
      </c>
      <c r="E173" s="41" t="n">
        <v>44169</v>
      </c>
    </row>
    <row r="174" ht="15" customHeight="1" s="24">
      <c r="A174" s="27" t="n">
        <v>173</v>
      </c>
      <c r="B174" s="27" t="inlineStr">
        <is>
          <t>Dr Gareth Davies</t>
        </is>
      </c>
      <c r="C174" s="27" t="inlineStr">
        <is>
          <t>Western Cape</t>
        </is>
      </c>
      <c r="D174" s="27" t="inlineStr">
        <is>
          <t>Motorcycle</t>
        </is>
      </c>
      <c r="E174" s="41" t="n">
        <v>45219</v>
      </c>
    </row>
    <row r="175" ht="15" customHeight="1" s="24">
      <c r="A175" s="27" t="n">
        <v>174</v>
      </c>
      <c r="B175" s="27" t="inlineStr">
        <is>
          <t>Deborah Williams</t>
        </is>
      </c>
      <c r="C175" s="27" t="inlineStr">
        <is>
          <t>Gauteng</t>
        </is>
      </c>
      <c r="D175" s="27" t="inlineStr">
        <is>
          <t>Motorcycle</t>
        </is>
      </c>
      <c r="E175" s="41" t="n">
        <v>45744</v>
      </c>
    </row>
    <row r="176" ht="15" customHeight="1" s="24">
      <c r="A176" s="27" t="n">
        <v>175</v>
      </c>
      <c r="B176" s="27" t="inlineStr">
        <is>
          <t>Miss Frances Hunt</t>
        </is>
      </c>
      <c r="C176" s="27" t="inlineStr">
        <is>
          <t>Mpumalanga</t>
        </is>
      </c>
      <c r="D176" s="27" t="inlineStr">
        <is>
          <t>1-Ton Bakkie</t>
        </is>
      </c>
      <c r="E176" s="41" t="n">
        <v>43889</v>
      </c>
    </row>
    <row r="177" ht="15" customHeight="1" s="24">
      <c r="A177" s="27" t="n">
        <v>176</v>
      </c>
      <c r="B177" s="27" t="inlineStr">
        <is>
          <t>Malcolm Murphy-Atkins</t>
        </is>
      </c>
      <c r="C177" s="27" t="inlineStr">
        <is>
          <t>Northern Cape</t>
        </is>
      </c>
      <c r="D177" s="27" t="inlineStr">
        <is>
          <t>1-Ton Bakkie</t>
        </is>
      </c>
      <c r="E177" s="41" t="n">
        <v>43563</v>
      </c>
    </row>
    <row r="178" ht="15" customHeight="1" s="24">
      <c r="A178" s="27" t="n">
        <v>177</v>
      </c>
      <c r="B178" s="27" t="inlineStr">
        <is>
          <t>Dr Michelle Smith</t>
        </is>
      </c>
      <c r="C178" s="27" t="inlineStr">
        <is>
          <t>Limpopo</t>
        </is>
      </c>
      <c r="D178" s="27" t="inlineStr">
        <is>
          <t>1-Ton Bakkie</t>
        </is>
      </c>
      <c r="E178" s="41" t="n">
        <v>45055</v>
      </c>
    </row>
    <row r="179" ht="15" customHeight="1" s="24">
      <c r="A179" s="27" t="n">
        <v>178</v>
      </c>
      <c r="B179" s="27" t="inlineStr">
        <is>
          <t>Antony Allen</t>
        </is>
      </c>
      <c r="C179" s="27" t="inlineStr">
        <is>
          <t>Gauteng</t>
        </is>
      </c>
      <c r="D179" s="27" t="inlineStr">
        <is>
          <t>Panel Van</t>
        </is>
      </c>
      <c r="E179" s="41" t="n">
        <v>43472</v>
      </c>
    </row>
    <row r="180" ht="15" customHeight="1" s="24">
      <c r="A180" s="27" t="n">
        <v>179</v>
      </c>
      <c r="B180" s="27" t="inlineStr">
        <is>
          <t>Sean Brown-Burke</t>
        </is>
      </c>
      <c r="C180" s="27" t="inlineStr">
        <is>
          <t>Limpopo</t>
        </is>
      </c>
      <c r="D180" s="27" t="inlineStr">
        <is>
          <t>Panel Van</t>
        </is>
      </c>
      <c r="E180" s="41" t="n">
        <v>45653</v>
      </c>
    </row>
    <row r="181" ht="15" customHeight="1" s="24">
      <c r="A181" s="27" t="n">
        <v>180</v>
      </c>
      <c r="B181" s="27" t="inlineStr">
        <is>
          <t>Miss Rebecca Armstrong</t>
        </is>
      </c>
      <c r="C181" s="27" t="inlineStr">
        <is>
          <t>KwaZulu-Natal</t>
        </is>
      </c>
      <c r="D181" s="27" t="inlineStr">
        <is>
          <t>Motorcycle</t>
        </is>
      </c>
      <c r="E181" s="41" t="n">
        <v>44806</v>
      </c>
    </row>
    <row r="182" ht="15" customHeight="1" s="24">
      <c r="A182" s="27" t="n">
        <v>181</v>
      </c>
      <c r="B182" s="27" t="inlineStr">
        <is>
          <t>Peter Walker</t>
        </is>
      </c>
      <c r="C182" s="27" t="inlineStr">
        <is>
          <t>Free State</t>
        </is>
      </c>
      <c r="D182" s="27" t="inlineStr">
        <is>
          <t>Motorcycle</t>
        </is>
      </c>
      <c r="E182" s="41" t="n">
        <v>45776</v>
      </c>
    </row>
    <row r="183" ht="15" customHeight="1" s="24">
      <c r="A183" s="27" t="n">
        <v>182</v>
      </c>
      <c r="B183" s="27" t="inlineStr">
        <is>
          <t>Frederick Lee-Cooke</t>
        </is>
      </c>
      <c r="C183" s="27" t="inlineStr">
        <is>
          <t>Gauteng</t>
        </is>
      </c>
      <c r="D183" s="27" t="inlineStr">
        <is>
          <t>Motorcycle</t>
        </is>
      </c>
      <c r="E183" s="41" t="n">
        <v>43361</v>
      </c>
    </row>
    <row r="184" ht="15" customHeight="1" s="24">
      <c r="A184" s="27" t="n">
        <v>183</v>
      </c>
      <c r="B184" s="27" t="inlineStr">
        <is>
          <t>Mr Leon Roberts</t>
        </is>
      </c>
      <c r="C184" s="27" t="inlineStr">
        <is>
          <t>Gauteng</t>
        </is>
      </c>
      <c r="D184" s="27" t="inlineStr">
        <is>
          <t>1-Ton Bakkie</t>
        </is>
      </c>
      <c r="E184" s="41" t="n">
        <v>43011</v>
      </c>
    </row>
    <row r="185" ht="15" customHeight="1" s="24">
      <c r="A185" s="27" t="n">
        <v>184</v>
      </c>
      <c r="B185" s="27" t="inlineStr">
        <is>
          <t>Ellie Bates</t>
        </is>
      </c>
      <c r="C185" s="27" t="inlineStr">
        <is>
          <t>Gauteng</t>
        </is>
      </c>
      <c r="D185" s="27" t="inlineStr">
        <is>
          <t>1-Ton Bakkie</t>
        </is>
      </c>
      <c r="E185" s="41" t="n">
        <v>45462</v>
      </c>
    </row>
    <row r="186" ht="15" customHeight="1" s="24">
      <c r="A186" s="27" t="n">
        <v>185</v>
      </c>
      <c r="B186" s="27" t="inlineStr">
        <is>
          <t>Annette Davey-Read</t>
        </is>
      </c>
      <c r="C186" s="27" t="inlineStr">
        <is>
          <t>Limpopo</t>
        </is>
      </c>
      <c r="D186" s="27" t="inlineStr">
        <is>
          <t>4-Ton Truck</t>
        </is>
      </c>
      <c r="E186" s="41" t="n">
        <v>43685</v>
      </c>
    </row>
    <row r="187" ht="15" customHeight="1" s="24">
      <c r="A187" s="27" t="n">
        <v>186</v>
      </c>
      <c r="B187" s="27" t="inlineStr">
        <is>
          <t>Brian Johnson</t>
        </is>
      </c>
      <c r="C187" s="27" t="inlineStr">
        <is>
          <t>Eastern Cape</t>
        </is>
      </c>
      <c r="D187" s="27" t="inlineStr">
        <is>
          <t>Motorcycle</t>
        </is>
      </c>
      <c r="E187" s="41" t="n">
        <v>43851</v>
      </c>
    </row>
    <row r="188" ht="15" customHeight="1" s="24">
      <c r="A188" s="27" t="n">
        <v>187</v>
      </c>
      <c r="B188" s="27" t="inlineStr">
        <is>
          <t>Brandon Thomas</t>
        </is>
      </c>
      <c r="C188" s="27" t="inlineStr">
        <is>
          <t>Limpopo</t>
        </is>
      </c>
      <c r="D188" s="27" t="inlineStr">
        <is>
          <t>1-Ton Bakkie</t>
        </is>
      </c>
      <c r="E188" s="41" t="n">
        <v>43616</v>
      </c>
    </row>
    <row r="189" ht="15" customHeight="1" s="24">
      <c r="A189" s="27" t="n">
        <v>188</v>
      </c>
      <c r="B189" s="27" t="inlineStr">
        <is>
          <t>Dr Andrew Jackson</t>
        </is>
      </c>
      <c r="C189" s="27" t="inlineStr">
        <is>
          <t>KwaZulu-Natal</t>
        </is>
      </c>
      <c r="D189" s="27" t="inlineStr">
        <is>
          <t>Panel Van</t>
        </is>
      </c>
      <c r="E189" s="41" t="n">
        <v>44119</v>
      </c>
    </row>
    <row r="190" ht="15" customHeight="1" s="24">
      <c r="A190" s="27" t="n">
        <v>189</v>
      </c>
      <c r="B190" s="27" t="inlineStr">
        <is>
          <t>Gary Green-Harris</t>
        </is>
      </c>
      <c r="C190" s="27" t="inlineStr">
        <is>
          <t>North West</t>
        </is>
      </c>
      <c r="D190" s="27" t="inlineStr">
        <is>
          <t>Panel Van</t>
        </is>
      </c>
      <c r="E190" s="41" t="n">
        <v>45688</v>
      </c>
    </row>
    <row r="191" ht="15" customHeight="1" s="24">
      <c r="A191" s="27" t="n">
        <v>190</v>
      </c>
      <c r="B191" s="27" t="inlineStr">
        <is>
          <t>Gavin Jarvis-Daniels</t>
        </is>
      </c>
      <c r="C191" s="27" t="inlineStr">
        <is>
          <t>KwaZulu-Natal</t>
        </is>
      </c>
      <c r="D191" s="27" t="inlineStr">
        <is>
          <t>1-Ton Bakkie</t>
        </is>
      </c>
      <c r="E191" s="41" t="n">
        <v>44977</v>
      </c>
    </row>
    <row r="192" ht="15" customHeight="1" s="24">
      <c r="A192" s="27" t="n">
        <v>191</v>
      </c>
      <c r="B192" s="27" t="inlineStr">
        <is>
          <t>Justin Hill</t>
        </is>
      </c>
      <c r="C192" s="27" t="inlineStr">
        <is>
          <t>Gauteng</t>
        </is>
      </c>
      <c r="D192" s="27" t="inlineStr">
        <is>
          <t>8-Ton Truck</t>
        </is>
      </c>
      <c r="E192" s="41" t="n">
        <v>42972</v>
      </c>
    </row>
    <row r="193" ht="15" customHeight="1" s="24">
      <c r="A193" s="27" t="n">
        <v>192</v>
      </c>
      <c r="B193" s="27" t="inlineStr">
        <is>
          <t>Jennifer Smith-West</t>
        </is>
      </c>
      <c r="C193" s="27" t="inlineStr">
        <is>
          <t>Limpopo</t>
        </is>
      </c>
      <c r="D193" s="27" t="inlineStr">
        <is>
          <t>Panel Van</t>
        </is>
      </c>
      <c r="E193" s="41" t="n">
        <v>45643</v>
      </c>
    </row>
    <row r="194" ht="15" customHeight="1" s="24">
      <c r="A194" s="27" t="n">
        <v>193</v>
      </c>
      <c r="B194" s="27" t="inlineStr">
        <is>
          <t>Sean Morris</t>
        </is>
      </c>
      <c r="C194" s="27" t="inlineStr">
        <is>
          <t>Western Cape</t>
        </is>
      </c>
      <c r="D194" s="27" t="inlineStr">
        <is>
          <t>1-Ton Bakkie</t>
        </is>
      </c>
      <c r="E194" s="41" t="n">
        <v>44185</v>
      </c>
    </row>
    <row r="195" ht="15" customHeight="1" s="24">
      <c r="A195" s="27" t="n">
        <v>194</v>
      </c>
      <c r="B195" s="27" t="inlineStr">
        <is>
          <t>Mrs Joan Robson</t>
        </is>
      </c>
      <c r="C195" s="27" t="inlineStr">
        <is>
          <t>Eastern Cape</t>
        </is>
      </c>
      <c r="D195" s="27" t="inlineStr">
        <is>
          <t>Motorcycle</t>
        </is>
      </c>
      <c r="E195" s="41" t="n">
        <v>45002</v>
      </c>
    </row>
    <row r="196" ht="15" customHeight="1" s="24">
      <c r="A196" s="27" t="n">
        <v>195</v>
      </c>
      <c r="B196" s="27" t="inlineStr">
        <is>
          <t>Jade Taylor</t>
        </is>
      </c>
      <c r="C196" s="27" t="inlineStr">
        <is>
          <t>KwaZulu-Natal</t>
        </is>
      </c>
      <c r="D196" s="27" t="inlineStr">
        <is>
          <t>Motorcycle</t>
        </is>
      </c>
      <c r="E196" s="41" t="n">
        <v>43936</v>
      </c>
    </row>
    <row r="197" ht="15" customHeight="1" s="24">
      <c r="A197" s="27" t="n">
        <v>196</v>
      </c>
      <c r="B197" s="27" t="inlineStr">
        <is>
          <t>Tom Robinson-Morgan</t>
        </is>
      </c>
      <c r="C197" s="27" t="inlineStr">
        <is>
          <t>Limpopo</t>
        </is>
      </c>
      <c r="D197" s="27" t="inlineStr">
        <is>
          <t>Motorcycle</t>
        </is>
      </c>
      <c r="E197" s="41" t="n">
        <v>43045</v>
      </c>
    </row>
    <row r="198" ht="15" customHeight="1" s="24">
      <c r="A198" s="27" t="n">
        <v>197</v>
      </c>
      <c r="B198" s="27" t="inlineStr">
        <is>
          <t>Dr Jordan Pearson</t>
        </is>
      </c>
      <c r="C198" s="27" t="inlineStr">
        <is>
          <t>Gauteng</t>
        </is>
      </c>
      <c r="D198" s="27" t="inlineStr">
        <is>
          <t>Motorcycle</t>
        </is>
      </c>
      <c r="E198" s="41" t="n">
        <v>44114</v>
      </c>
    </row>
    <row r="199" ht="15" customHeight="1" s="24">
      <c r="A199" s="27" t="n">
        <v>198</v>
      </c>
      <c r="B199" s="27" t="inlineStr">
        <is>
          <t>Holly Wilkinson</t>
        </is>
      </c>
      <c r="C199" s="27" t="inlineStr">
        <is>
          <t>Western Cape</t>
        </is>
      </c>
      <c r="D199" s="27" t="inlineStr">
        <is>
          <t>1-Ton Bakkie</t>
        </is>
      </c>
      <c r="E199" s="41" t="n">
        <v>43846</v>
      </c>
    </row>
    <row r="200" ht="15" customHeight="1" s="24">
      <c r="A200" s="27" t="n">
        <v>199</v>
      </c>
      <c r="B200" s="27" t="inlineStr">
        <is>
          <t>Jeffrey Davies</t>
        </is>
      </c>
      <c r="C200" s="27" t="inlineStr">
        <is>
          <t>KwaZulu-Natal</t>
        </is>
      </c>
      <c r="D200" s="27" t="inlineStr">
        <is>
          <t>Motorcycle</t>
        </is>
      </c>
      <c r="E200" s="41" t="n">
        <v>42794</v>
      </c>
    </row>
    <row r="201" ht="15" customHeight="1" s="24">
      <c r="A201" s="27" t="n">
        <v>200</v>
      </c>
      <c r="B201" s="27" t="inlineStr">
        <is>
          <t>Wayne Jackson</t>
        </is>
      </c>
      <c r="C201" s="27" t="inlineStr">
        <is>
          <t>Limpopo</t>
        </is>
      </c>
      <c r="D201" s="27" t="inlineStr">
        <is>
          <t>1-Ton Bakkie</t>
        </is>
      </c>
      <c r="E201" s="41" t="n">
        <v>45199</v>
      </c>
    </row>
    <row r="202" ht="15" customHeight="1" s="24">
      <c r="A202" s="27" t="n">
        <v>201</v>
      </c>
      <c r="B202" s="27" t="inlineStr">
        <is>
          <t>Dr Alexander Davies</t>
        </is>
      </c>
      <c r="C202" s="27" t="inlineStr">
        <is>
          <t>KwaZulu-Natal</t>
        </is>
      </c>
      <c r="D202" s="27" t="inlineStr">
        <is>
          <t>4-Ton Truck</t>
        </is>
      </c>
      <c r="E202" s="41" t="n">
        <v>45566</v>
      </c>
    </row>
    <row r="203" ht="15" customHeight="1" s="24">
      <c r="A203" s="27" t="n">
        <v>202</v>
      </c>
      <c r="B203" s="27" t="inlineStr">
        <is>
          <t>James Bibi</t>
        </is>
      </c>
      <c r="C203" s="27" t="inlineStr">
        <is>
          <t>Gauteng</t>
        </is>
      </c>
      <c r="D203" s="27" t="inlineStr">
        <is>
          <t>4-Ton Truck</t>
        </is>
      </c>
      <c r="E203" s="41" t="n">
        <v>45717</v>
      </c>
    </row>
    <row r="204" ht="15" customHeight="1" s="24">
      <c r="A204" s="27" t="n">
        <v>203</v>
      </c>
      <c r="B204" s="27" t="inlineStr">
        <is>
          <t>Ben Austin</t>
        </is>
      </c>
      <c r="C204" s="27" t="inlineStr">
        <is>
          <t>KwaZulu-Natal</t>
        </is>
      </c>
      <c r="D204" s="27" t="inlineStr">
        <is>
          <t>Motorcycle</t>
        </is>
      </c>
      <c r="E204" s="41" t="n">
        <v>43538</v>
      </c>
    </row>
    <row r="205" ht="15" customHeight="1" s="24">
      <c r="A205" s="27" t="n">
        <v>204</v>
      </c>
      <c r="B205" s="27" t="inlineStr">
        <is>
          <t>Josephine Collins</t>
        </is>
      </c>
      <c r="C205" s="27" t="inlineStr">
        <is>
          <t>Western Cape</t>
        </is>
      </c>
      <c r="D205" s="27" t="inlineStr">
        <is>
          <t>Motorcycle</t>
        </is>
      </c>
      <c r="E205" s="41" t="n">
        <v>44818</v>
      </c>
    </row>
    <row r="206" ht="15" customHeight="1" s="24">
      <c r="A206" s="27" t="n">
        <v>205</v>
      </c>
      <c r="B206" s="27" t="inlineStr">
        <is>
          <t>Dr Bruce Atkins</t>
        </is>
      </c>
      <c r="C206" s="27" t="inlineStr">
        <is>
          <t>Gauteng</t>
        </is>
      </c>
      <c r="D206" s="27" t="inlineStr">
        <is>
          <t>Panel Van</t>
        </is>
      </c>
      <c r="E206" s="41" t="n">
        <v>44483</v>
      </c>
    </row>
    <row r="207" ht="15" customHeight="1" s="24">
      <c r="A207" s="27" t="n">
        <v>206</v>
      </c>
      <c r="B207" s="27" t="inlineStr">
        <is>
          <t>Mrs Diane Thomas</t>
        </is>
      </c>
      <c r="C207" s="27" t="inlineStr">
        <is>
          <t>Eastern Cape</t>
        </is>
      </c>
      <c r="D207" s="27" t="inlineStr">
        <is>
          <t>Motorcycle</t>
        </is>
      </c>
      <c r="E207" s="41" t="n">
        <v>44694</v>
      </c>
    </row>
    <row r="208" ht="15" customHeight="1" s="24">
      <c r="A208" s="27" t="n">
        <v>207</v>
      </c>
      <c r="B208" s="27" t="inlineStr">
        <is>
          <t>Kathleen Turner</t>
        </is>
      </c>
      <c r="C208" s="27" t="inlineStr">
        <is>
          <t>KwaZulu-Natal</t>
        </is>
      </c>
      <c r="D208" s="27" t="inlineStr">
        <is>
          <t>Panel Van</t>
        </is>
      </c>
      <c r="E208" s="41" t="n">
        <v>45357</v>
      </c>
    </row>
    <row r="209" ht="15" customHeight="1" s="24">
      <c r="A209" s="27" t="n">
        <v>208</v>
      </c>
      <c r="B209" s="27" t="inlineStr">
        <is>
          <t>Sophie Henry</t>
        </is>
      </c>
      <c r="C209" s="27" t="inlineStr">
        <is>
          <t>KwaZulu-Natal</t>
        </is>
      </c>
      <c r="D209" s="27" t="inlineStr">
        <is>
          <t>Panel Van</t>
        </is>
      </c>
      <c r="E209" s="41" t="n">
        <v>43981</v>
      </c>
    </row>
    <row r="210" ht="15" customHeight="1" s="24">
      <c r="A210" s="27" t="n">
        <v>209</v>
      </c>
      <c r="B210" s="27" t="inlineStr">
        <is>
          <t>Joseph McCarthy</t>
        </is>
      </c>
      <c r="C210" s="27" t="inlineStr">
        <is>
          <t>Western Cape</t>
        </is>
      </c>
      <c r="D210" s="27" t="inlineStr">
        <is>
          <t>1-Ton Bakkie</t>
        </is>
      </c>
      <c r="E210" s="41" t="n">
        <v>43638</v>
      </c>
    </row>
    <row r="211" ht="15" customHeight="1" s="24">
      <c r="A211" s="27" t="n">
        <v>210</v>
      </c>
      <c r="B211" s="27" t="inlineStr">
        <is>
          <t>Dr Francesca Cox</t>
        </is>
      </c>
      <c r="C211" s="27" t="inlineStr">
        <is>
          <t>KwaZulu-Natal</t>
        </is>
      </c>
      <c r="D211" s="27" t="inlineStr">
        <is>
          <t>Motorcycle</t>
        </is>
      </c>
      <c r="E211" s="41" t="n">
        <v>44306</v>
      </c>
    </row>
    <row r="212" ht="15" customHeight="1" s="24">
      <c r="A212" s="27" t="n">
        <v>211</v>
      </c>
      <c r="B212" s="27" t="inlineStr">
        <is>
          <t>Lynne Waters</t>
        </is>
      </c>
      <c r="C212" s="27" t="inlineStr">
        <is>
          <t>Limpopo</t>
        </is>
      </c>
      <c r="D212" s="27" t="inlineStr">
        <is>
          <t>Motorcycle</t>
        </is>
      </c>
      <c r="E212" s="41" t="n">
        <v>44922</v>
      </c>
    </row>
    <row r="213" ht="15" customHeight="1" s="24">
      <c r="A213" s="27" t="n">
        <v>212</v>
      </c>
      <c r="B213" s="27" t="inlineStr">
        <is>
          <t>Dr Mohammad Miles</t>
        </is>
      </c>
      <c r="C213" s="27" t="inlineStr">
        <is>
          <t>Eastern Cape</t>
        </is>
      </c>
      <c r="D213" s="27" t="inlineStr">
        <is>
          <t>4-Ton Truck</t>
        </is>
      </c>
      <c r="E213" s="41" t="n">
        <v>44155</v>
      </c>
    </row>
    <row r="214" ht="15" customHeight="1" s="24">
      <c r="A214" s="27" t="n">
        <v>213</v>
      </c>
      <c r="B214" s="27" t="inlineStr">
        <is>
          <t>Christine Marshall-Brennan</t>
        </is>
      </c>
      <c r="C214" s="27" t="inlineStr">
        <is>
          <t>Limpopo</t>
        </is>
      </c>
      <c r="D214" s="27" t="inlineStr">
        <is>
          <t>8-Ton Truck</t>
        </is>
      </c>
      <c r="E214" s="41" t="n">
        <v>43732</v>
      </c>
    </row>
    <row r="215" ht="15" customHeight="1" s="24">
      <c r="A215" s="27" t="n">
        <v>214</v>
      </c>
      <c r="B215" s="27" t="inlineStr">
        <is>
          <t>Terence Davis</t>
        </is>
      </c>
      <c r="C215" s="27" t="inlineStr">
        <is>
          <t>Western Cape</t>
        </is>
      </c>
      <c r="D215" s="27" t="inlineStr">
        <is>
          <t>1-Ton Bakkie</t>
        </is>
      </c>
      <c r="E215" s="41" t="n">
        <v>42917</v>
      </c>
    </row>
    <row r="216" ht="15" customHeight="1" s="24">
      <c r="A216" s="27" t="n">
        <v>215</v>
      </c>
      <c r="B216" s="27" t="inlineStr">
        <is>
          <t>Amelia Owen</t>
        </is>
      </c>
      <c r="C216" s="27" t="inlineStr">
        <is>
          <t>KwaZulu-Natal</t>
        </is>
      </c>
      <c r="D216" s="27" t="inlineStr">
        <is>
          <t>Panel Van</t>
        </is>
      </c>
      <c r="E216" s="41" t="n">
        <v>44618</v>
      </c>
    </row>
    <row r="217" ht="15" customHeight="1" s="24">
      <c r="A217" s="27" t="n">
        <v>216</v>
      </c>
      <c r="B217" s="27" t="inlineStr">
        <is>
          <t>Antony Long</t>
        </is>
      </c>
      <c r="C217" s="27" t="inlineStr">
        <is>
          <t>Gauteng</t>
        </is>
      </c>
      <c r="D217" s="27" t="inlineStr">
        <is>
          <t>1-Ton Bakkie</t>
        </is>
      </c>
      <c r="E217" s="41" t="n">
        <v>42807</v>
      </c>
    </row>
    <row r="218" ht="15" customHeight="1" s="24">
      <c r="A218" s="27" t="n">
        <v>217</v>
      </c>
      <c r="B218" s="27" t="inlineStr">
        <is>
          <t>Barbara Morgan-Wells</t>
        </is>
      </c>
      <c r="C218" s="27" t="inlineStr">
        <is>
          <t>KwaZulu-Natal</t>
        </is>
      </c>
      <c r="D218" s="27" t="inlineStr">
        <is>
          <t>Motorcycle</t>
        </is>
      </c>
      <c r="E218" s="41" t="n">
        <v>44282</v>
      </c>
    </row>
    <row r="219" ht="15" customHeight="1" s="24">
      <c r="A219" s="27" t="n">
        <v>218</v>
      </c>
      <c r="B219" s="27" t="inlineStr">
        <is>
          <t>Dr Jordan Adams</t>
        </is>
      </c>
      <c r="C219" s="27" t="inlineStr">
        <is>
          <t>North West</t>
        </is>
      </c>
      <c r="D219" s="27" t="inlineStr">
        <is>
          <t>4-Ton Truck</t>
        </is>
      </c>
      <c r="E219" s="41" t="n">
        <v>44764</v>
      </c>
    </row>
    <row r="220" ht="15" customHeight="1" s="24">
      <c r="A220" s="27" t="n">
        <v>219</v>
      </c>
      <c r="B220" s="27" t="inlineStr">
        <is>
          <t>Stanley Anderson</t>
        </is>
      </c>
      <c r="C220" s="27" t="inlineStr">
        <is>
          <t>Gauteng</t>
        </is>
      </c>
      <c r="D220" s="27" t="inlineStr">
        <is>
          <t>Motorcycle</t>
        </is>
      </c>
      <c r="E220" s="41" t="n">
        <v>44250</v>
      </c>
    </row>
    <row r="221" ht="15" customHeight="1" s="24">
      <c r="A221" s="27" t="n">
        <v>220</v>
      </c>
      <c r="B221" s="27" t="inlineStr">
        <is>
          <t>Jessica Fitzgerald</t>
        </is>
      </c>
      <c r="C221" s="27" t="inlineStr">
        <is>
          <t>Gauteng</t>
        </is>
      </c>
      <c r="D221" s="27" t="inlineStr">
        <is>
          <t>1-Ton Bakkie</t>
        </is>
      </c>
      <c r="E221" s="41" t="n">
        <v>44410</v>
      </c>
    </row>
    <row r="222" ht="15" customHeight="1" s="24">
      <c r="A222" s="27" t="n">
        <v>221</v>
      </c>
      <c r="B222" s="27" t="inlineStr">
        <is>
          <t>Samantha Greenwood</t>
        </is>
      </c>
      <c r="C222" s="27" t="inlineStr">
        <is>
          <t>Eastern Cape</t>
        </is>
      </c>
      <c r="D222" s="27" t="inlineStr">
        <is>
          <t>Motorcycle</t>
        </is>
      </c>
      <c r="E222" s="41" t="n">
        <v>43647</v>
      </c>
    </row>
    <row r="223" ht="15" customHeight="1" s="24">
      <c r="A223" s="27" t="n">
        <v>222</v>
      </c>
      <c r="B223" s="27" t="inlineStr">
        <is>
          <t>Janet Burke</t>
        </is>
      </c>
      <c r="C223" s="27" t="inlineStr">
        <is>
          <t>Western Cape</t>
        </is>
      </c>
      <c r="D223" s="27" t="inlineStr">
        <is>
          <t>1-Ton Bakkie</t>
        </is>
      </c>
      <c r="E223" s="41" t="n">
        <v>43540</v>
      </c>
    </row>
    <row r="224" ht="15" customHeight="1" s="24">
      <c r="A224" s="27" t="n">
        <v>223</v>
      </c>
      <c r="B224" s="27" t="inlineStr">
        <is>
          <t>Stuart Grant</t>
        </is>
      </c>
      <c r="C224" s="27" t="inlineStr">
        <is>
          <t>North West</t>
        </is>
      </c>
      <c r="D224" s="27" t="inlineStr">
        <is>
          <t>1-Ton Bakkie</t>
        </is>
      </c>
      <c r="E224" s="41" t="n">
        <v>45511</v>
      </c>
    </row>
    <row r="225" ht="15" customHeight="1" s="24">
      <c r="A225" s="27" t="n">
        <v>224</v>
      </c>
      <c r="B225" s="27" t="inlineStr">
        <is>
          <t>Mr Roger Russell</t>
        </is>
      </c>
      <c r="C225" s="27" t="inlineStr">
        <is>
          <t>Gauteng</t>
        </is>
      </c>
      <c r="D225" s="27" t="inlineStr">
        <is>
          <t>1-Ton Bakkie</t>
        </is>
      </c>
      <c r="E225" s="41" t="n">
        <v>45668</v>
      </c>
    </row>
    <row r="226" ht="15" customHeight="1" s="24">
      <c r="A226" s="27" t="n">
        <v>225</v>
      </c>
      <c r="B226" s="27" t="inlineStr">
        <is>
          <t>Mr Ashley Taylor</t>
        </is>
      </c>
      <c r="C226" s="27" t="inlineStr">
        <is>
          <t>North West</t>
        </is>
      </c>
      <c r="D226" s="27" t="inlineStr">
        <is>
          <t>Panel Van</t>
        </is>
      </c>
      <c r="E226" s="41" t="n">
        <v>43262</v>
      </c>
    </row>
    <row r="227" ht="15" customHeight="1" s="24">
      <c r="A227" s="27" t="n">
        <v>226</v>
      </c>
      <c r="B227" s="27" t="inlineStr">
        <is>
          <t>Emily Henderson</t>
        </is>
      </c>
      <c r="C227" s="27" t="inlineStr">
        <is>
          <t>Limpopo</t>
        </is>
      </c>
      <c r="D227" s="27" t="inlineStr">
        <is>
          <t>1-Ton Bakkie</t>
        </is>
      </c>
      <c r="E227" s="41" t="n">
        <v>43414</v>
      </c>
    </row>
    <row r="228" ht="15" customHeight="1" s="24">
      <c r="A228" s="27" t="n">
        <v>227</v>
      </c>
      <c r="B228" s="27" t="inlineStr">
        <is>
          <t>Mr William Benson</t>
        </is>
      </c>
      <c r="C228" s="27" t="inlineStr">
        <is>
          <t>Limpopo</t>
        </is>
      </c>
      <c r="D228" s="27" t="inlineStr">
        <is>
          <t>Panel Van</t>
        </is>
      </c>
      <c r="E228" s="41" t="n">
        <v>43909</v>
      </c>
    </row>
    <row r="229" ht="15" customHeight="1" s="24">
      <c r="A229" s="27" t="n">
        <v>228</v>
      </c>
      <c r="B229" s="27" t="inlineStr">
        <is>
          <t>Emily Brown</t>
        </is>
      </c>
      <c r="C229" s="27" t="inlineStr">
        <is>
          <t>KwaZulu-Natal</t>
        </is>
      </c>
      <c r="D229" s="27" t="inlineStr">
        <is>
          <t>1-Ton Bakkie</t>
        </is>
      </c>
      <c r="E229" s="41" t="n">
        <v>45037</v>
      </c>
    </row>
    <row r="230" ht="15" customHeight="1" s="24">
      <c r="A230" s="27" t="n">
        <v>229</v>
      </c>
      <c r="B230" s="27" t="inlineStr">
        <is>
          <t>Mr Billy Turnbull</t>
        </is>
      </c>
      <c r="C230" s="27" t="inlineStr">
        <is>
          <t>KwaZulu-Natal</t>
        </is>
      </c>
      <c r="D230" s="27" t="inlineStr">
        <is>
          <t>Panel Van</t>
        </is>
      </c>
      <c r="E230" s="41" t="n">
        <v>42939</v>
      </c>
    </row>
    <row r="231" ht="15" customHeight="1" s="24">
      <c r="A231" s="27" t="n">
        <v>230</v>
      </c>
      <c r="B231" s="27" t="inlineStr">
        <is>
          <t>Holly Barnett</t>
        </is>
      </c>
      <c r="C231" s="27" t="inlineStr">
        <is>
          <t>Gauteng</t>
        </is>
      </c>
      <c r="D231" s="27" t="inlineStr">
        <is>
          <t>Panel Van</t>
        </is>
      </c>
      <c r="E231" s="41" t="n">
        <v>45325</v>
      </c>
    </row>
    <row r="232" ht="15" customHeight="1" s="24">
      <c r="A232" s="27" t="n">
        <v>231</v>
      </c>
      <c r="B232" s="27" t="inlineStr">
        <is>
          <t>Rhys Carey-Morris</t>
        </is>
      </c>
      <c r="C232" s="27" t="inlineStr">
        <is>
          <t>Limpopo</t>
        </is>
      </c>
      <c r="D232" s="27" t="inlineStr">
        <is>
          <t>1-Ton Bakkie</t>
        </is>
      </c>
      <c r="E232" s="41" t="n">
        <v>42758</v>
      </c>
    </row>
    <row r="233" ht="15" customHeight="1" s="24">
      <c r="A233" s="27" t="n">
        <v>232</v>
      </c>
      <c r="B233" s="27" t="inlineStr">
        <is>
          <t>Francis Hobbs</t>
        </is>
      </c>
      <c r="C233" s="27" t="inlineStr">
        <is>
          <t>Gauteng</t>
        </is>
      </c>
      <c r="D233" s="27" t="inlineStr">
        <is>
          <t>Motorcycle</t>
        </is>
      </c>
      <c r="E233" s="41" t="n">
        <v>45496</v>
      </c>
    </row>
    <row r="234" ht="15" customHeight="1" s="24">
      <c r="A234" s="27" t="n">
        <v>233</v>
      </c>
      <c r="B234" s="27" t="inlineStr">
        <is>
          <t>Bryan Griffiths</t>
        </is>
      </c>
      <c r="C234" s="27" t="inlineStr">
        <is>
          <t>Gauteng</t>
        </is>
      </c>
      <c r="D234" s="27" t="inlineStr">
        <is>
          <t>1-Ton Bakkie</t>
        </is>
      </c>
      <c r="E234" s="41" t="n">
        <v>42870</v>
      </c>
    </row>
    <row r="235" ht="15" customHeight="1" s="24">
      <c r="A235" s="27" t="n">
        <v>234</v>
      </c>
      <c r="B235" s="27" t="inlineStr">
        <is>
          <t>Jamie Harding</t>
        </is>
      </c>
      <c r="C235" s="27" t="inlineStr">
        <is>
          <t>KwaZulu-Natal</t>
        </is>
      </c>
      <c r="D235" s="27" t="inlineStr">
        <is>
          <t>Motorcycle</t>
        </is>
      </c>
      <c r="E235" s="41" t="n">
        <v>45493</v>
      </c>
    </row>
    <row r="236" ht="15" customHeight="1" s="24">
      <c r="A236" s="27" t="n">
        <v>235</v>
      </c>
      <c r="B236" s="27" t="inlineStr">
        <is>
          <t>Lydia Bishop</t>
        </is>
      </c>
      <c r="C236" s="27" t="inlineStr">
        <is>
          <t>Mpumalanga</t>
        </is>
      </c>
      <c r="D236" s="27" t="inlineStr">
        <is>
          <t>1-Ton Bakkie</t>
        </is>
      </c>
      <c r="E236" s="41" t="n">
        <v>45836</v>
      </c>
    </row>
    <row r="237" ht="15" customHeight="1" s="24">
      <c r="A237" s="27" t="n">
        <v>236</v>
      </c>
      <c r="B237" s="27" t="inlineStr">
        <is>
          <t>Danny Robson</t>
        </is>
      </c>
      <c r="C237" s="27" t="inlineStr">
        <is>
          <t>KwaZulu-Natal</t>
        </is>
      </c>
      <c r="D237" s="27" t="inlineStr">
        <is>
          <t>Panel Van</t>
        </is>
      </c>
      <c r="E237" s="41" t="n">
        <v>45344</v>
      </c>
    </row>
    <row r="238" ht="15" customHeight="1" s="24">
      <c r="A238" s="27" t="n">
        <v>237</v>
      </c>
      <c r="B238" s="27" t="inlineStr">
        <is>
          <t>Marilyn Baker</t>
        </is>
      </c>
      <c r="C238" s="27" t="inlineStr">
        <is>
          <t>KwaZulu-Natal</t>
        </is>
      </c>
      <c r="D238" s="27" t="inlineStr">
        <is>
          <t>4-Ton Truck</t>
        </is>
      </c>
      <c r="E238" s="41" t="n">
        <v>45968</v>
      </c>
    </row>
    <row r="239" ht="15" customHeight="1" s="24">
      <c r="A239" s="27" t="n">
        <v>238</v>
      </c>
      <c r="B239" s="27" t="inlineStr">
        <is>
          <t>Mrs Grace Edwards</t>
        </is>
      </c>
      <c r="C239" s="27" t="inlineStr">
        <is>
          <t>Limpopo</t>
        </is>
      </c>
      <c r="D239" s="27" t="inlineStr">
        <is>
          <t>Motorcycle</t>
        </is>
      </c>
      <c r="E239" s="41" t="n">
        <v>44239</v>
      </c>
    </row>
    <row r="240" ht="15" customHeight="1" s="24">
      <c r="A240" s="27" t="n">
        <v>239</v>
      </c>
      <c r="B240" s="27" t="inlineStr">
        <is>
          <t>Alan Sutton</t>
        </is>
      </c>
      <c r="C240" s="27" t="inlineStr">
        <is>
          <t>North West</t>
        </is>
      </c>
      <c r="D240" s="27" t="inlineStr">
        <is>
          <t>Panel Van</t>
        </is>
      </c>
      <c r="E240" s="41" t="n">
        <v>44843</v>
      </c>
    </row>
    <row r="241" ht="15" customHeight="1" s="24">
      <c r="A241" s="27" t="n">
        <v>240</v>
      </c>
      <c r="B241" s="27" t="inlineStr">
        <is>
          <t>Ms Charlotte Clarke</t>
        </is>
      </c>
      <c r="C241" s="27" t="inlineStr">
        <is>
          <t>Mpumalanga</t>
        </is>
      </c>
      <c r="D241" s="27" t="inlineStr">
        <is>
          <t>Motorcycle</t>
        </is>
      </c>
      <c r="E241" s="41" t="n">
        <v>44785</v>
      </c>
    </row>
    <row r="242" ht="15" customHeight="1" s="24">
      <c r="A242" s="27" t="n">
        <v>241</v>
      </c>
      <c r="B242" s="27" t="inlineStr">
        <is>
          <t>Elliott Grant</t>
        </is>
      </c>
      <c r="C242" s="27" t="inlineStr">
        <is>
          <t>Western Cape</t>
        </is>
      </c>
      <c r="D242" s="27" t="inlineStr">
        <is>
          <t>4-Ton Truck</t>
        </is>
      </c>
      <c r="E242" s="41" t="n">
        <v>42774</v>
      </c>
    </row>
    <row r="243" ht="15" customHeight="1" s="24">
      <c r="A243" s="27" t="n">
        <v>242</v>
      </c>
      <c r="B243" s="27" t="inlineStr">
        <is>
          <t>Ben Palmer-Anderson</t>
        </is>
      </c>
      <c r="C243" s="27" t="inlineStr">
        <is>
          <t>Gauteng</t>
        </is>
      </c>
      <c r="D243" s="27" t="inlineStr">
        <is>
          <t>Motorcycle</t>
        </is>
      </c>
      <c r="E243" s="41" t="n">
        <v>45553</v>
      </c>
    </row>
    <row r="244" ht="15" customHeight="1" s="24">
      <c r="A244" s="27" t="n">
        <v>243</v>
      </c>
      <c r="B244" s="27" t="inlineStr">
        <is>
          <t>Carole Lowe-Sykes</t>
        </is>
      </c>
      <c r="C244" s="27" t="inlineStr">
        <is>
          <t>Gauteng</t>
        </is>
      </c>
      <c r="D244" s="27" t="inlineStr">
        <is>
          <t>Panel Van</t>
        </is>
      </c>
      <c r="E244" s="41" t="n">
        <v>45052</v>
      </c>
    </row>
    <row r="245" ht="15" customHeight="1" s="24">
      <c r="A245" s="27" t="n">
        <v>244</v>
      </c>
      <c r="B245" s="27" t="inlineStr">
        <is>
          <t>Mr Toby Horton</t>
        </is>
      </c>
      <c r="C245" s="27" t="inlineStr">
        <is>
          <t>Gauteng</t>
        </is>
      </c>
      <c r="D245" s="27" t="inlineStr">
        <is>
          <t>Motorcycle</t>
        </is>
      </c>
      <c r="E245" s="41" t="n">
        <v>44116</v>
      </c>
    </row>
    <row r="246" ht="15" customHeight="1" s="24">
      <c r="A246" s="27" t="n">
        <v>245</v>
      </c>
      <c r="B246" s="27" t="inlineStr">
        <is>
          <t>Mr Robin Price</t>
        </is>
      </c>
      <c r="C246" s="27" t="inlineStr">
        <is>
          <t>KwaZulu-Natal</t>
        </is>
      </c>
      <c r="D246" s="27" t="inlineStr">
        <is>
          <t>1-Ton Bakkie</t>
        </is>
      </c>
      <c r="E246" s="41" t="n">
        <v>43441</v>
      </c>
    </row>
    <row r="247" ht="15" customHeight="1" s="24">
      <c r="A247" s="27" t="n">
        <v>246</v>
      </c>
      <c r="B247" s="27" t="inlineStr">
        <is>
          <t>Chelsea Cook</t>
        </is>
      </c>
      <c r="C247" s="27" t="inlineStr">
        <is>
          <t>KwaZulu-Natal</t>
        </is>
      </c>
      <c r="D247" s="27" t="inlineStr">
        <is>
          <t>Motorcycle</t>
        </is>
      </c>
      <c r="E247" s="41" t="n">
        <v>44939</v>
      </c>
    </row>
    <row r="248" ht="15" customHeight="1" s="24">
      <c r="A248" s="27" t="n">
        <v>247</v>
      </c>
      <c r="B248" s="27" t="inlineStr">
        <is>
          <t>Marc Sanderson</t>
        </is>
      </c>
      <c r="C248" s="27" t="inlineStr">
        <is>
          <t>Western Cape</t>
        </is>
      </c>
      <c r="D248" s="27" t="inlineStr">
        <is>
          <t>Panel Van</t>
        </is>
      </c>
      <c r="E248" s="41" t="n">
        <v>45960</v>
      </c>
    </row>
    <row r="249" ht="15" customHeight="1" s="24">
      <c r="A249" s="27" t="n">
        <v>248</v>
      </c>
      <c r="B249" s="27" t="inlineStr">
        <is>
          <t>Sally Pugh</t>
        </is>
      </c>
      <c r="C249" s="27" t="inlineStr">
        <is>
          <t>KwaZulu-Natal</t>
        </is>
      </c>
      <c r="D249" s="27" t="inlineStr">
        <is>
          <t>Motorcycle</t>
        </is>
      </c>
      <c r="E249" s="41" t="n">
        <v>43260</v>
      </c>
    </row>
    <row r="250" ht="15" customHeight="1" s="24">
      <c r="A250" s="27" t="n">
        <v>249</v>
      </c>
      <c r="B250" s="27" t="inlineStr">
        <is>
          <t>Scott Patel</t>
        </is>
      </c>
      <c r="C250" s="27" t="inlineStr">
        <is>
          <t>Limpopo</t>
        </is>
      </c>
      <c r="D250" s="27" t="inlineStr">
        <is>
          <t>Panel Van</t>
        </is>
      </c>
      <c r="E250" s="41" t="n">
        <v>45758</v>
      </c>
    </row>
    <row r="251" ht="15" customHeight="1" s="24">
      <c r="A251" s="27" t="n">
        <v>250</v>
      </c>
      <c r="B251" s="27" t="inlineStr">
        <is>
          <t>Amelia Preston</t>
        </is>
      </c>
      <c r="C251" s="27" t="inlineStr">
        <is>
          <t>Gauteng</t>
        </is>
      </c>
      <c r="D251" s="27" t="inlineStr">
        <is>
          <t>Motorcycle</t>
        </is>
      </c>
      <c r="E251" s="41" t="n">
        <v>44591</v>
      </c>
    </row>
    <row r="252" ht="15" customHeight="1" s="24">
      <c r="A252" s="27" t="n">
        <v>251</v>
      </c>
      <c r="B252" s="27" t="inlineStr">
        <is>
          <t>Joanne Lee</t>
        </is>
      </c>
      <c r="C252" s="27" t="inlineStr">
        <is>
          <t>Northern Cape</t>
        </is>
      </c>
      <c r="D252" s="27" t="inlineStr">
        <is>
          <t>Panel Van</t>
        </is>
      </c>
      <c r="E252" s="41" t="n">
        <v>45327</v>
      </c>
    </row>
    <row r="253" ht="15" customHeight="1" s="24">
      <c r="A253" s="27" t="n">
        <v>252</v>
      </c>
      <c r="B253" s="27" t="inlineStr">
        <is>
          <t>Alexandra Glover</t>
        </is>
      </c>
      <c r="C253" s="27" t="inlineStr">
        <is>
          <t>Mpumalanga</t>
        </is>
      </c>
      <c r="D253" s="27" t="inlineStr">
        <is>
          <t>Motorcycle</t>
        </is>
      </c>
      <c r="E253" s="41" t="n">
        <v>43199</v>
      </c>
    </row>
    <row r="254" ht="15" customHeight="1" s="24">
      <c r="A254" s="27" t="n">
        <v>253</v>
      </c>
      <c r="B254" s="27" t="inlineStr">
        <is>
          <t>Christian Barker-Humphreys</t>
        </is>
      </c>
      <c r="C254" s="27" t="inlineStr">
        <is>
          <t>KwaZulu-Natal</t>
        </is>
      </c>
      <c r="D254" s="27" t="inlineStr">
        <is>
          <t>8-Ton Truck</t>
        </is>
      </c>
      <c r="E254" s="41" t="n">
        <v>43079</v>
      </c>
    </row>
    <row r="255" ht="15" customHeight="1" s="24">
      <c r="A255" s="27" t="n">
        <v>254</v>
      </c>
      <c r="B255" s="27" t="inlineStr">
        <is>
          <t>Leonard Moore</t>
        </is>
      </c>
      <c r="C255" s="27" t="inlineStr">
        <is>
          <t>KwaZulu-Natal</t>
        </is>
      </c>
      <c r="D255" s="27" t="inlineStr">
        <is>
          <t>Panel Van</t>
        </is>
      </c>
      <c r="E255" s="41" t="n">
        <v>44905</v>
      </c>
    </row>
    <row r="256" ht="15" customHeight="1" s="24">
      <c r="A256" s="27" t="n">
        <v>255</v>
      </c>
      <c r="B256" s="27" t="inlineStr">
        <is>
          <t>Benjamin Ali</t>
        </is>
      </c>
      <c r="C256" s="27" t="inlineStr">
        <is>
          <t>Free State</t>
        </is>
      </c>
      <c r="D256" s="27" t="inlineStr">
        <is>
          <t>1-Ton Bakkie</t>
        </is>
      </c>
      <c r="E256" s="41" t="n">
        <v>43667</v>
      </c>
    </row>
    <row r="257" ht="15" customHeight="1" s="24">
      <c r="A257" s="27" t="n">
        <v>256</v>
      </c>
      <c r="B257" s="27" t="inlineStr">
        <is>
          <t>Dr Richard Morgan</t>
        </is>
      </c>
      <c r="C257" s="27" t="inlineStr">
        <is>
          <t>Free State</t>
        </is>
      </c>
      <c r="D257" s="27" t="inlineStr">
        <is>
          <t>Motorcycle</t>
        </is>
      </c>
      <c r="E257" s="41" t="n">
        <v>43973</v>
      </c>
    </row>
    <row r="258" ht="15" customHeight="1" s="24">
      <c r="A258" s="27" t="n">
        <v>257</v>
      </c>
      <c r="B258" s="27" t="inlineStr">
        <is>
          <t>Dean Parsons</t>
        </is>
      </c>
      <c r="C258" s="27" t="inlineStr">
        <is>
          <t>KwaZulu-Natal</t>
        </is>
      </c>
      <c r="D258" s="27" t="inlineStr">
        <is>
          <t>Motorcycle</t>
        </is>
      </c>
      <c r="E258" s="41" t="n">
        <v>44780</v>
      </c>
    </row>
    <row r="259" ht="15" customHeight="1" s="24">
      <c r="A259" s="27" t="n">
        <v>258</v>
      </c>
      <c r="B259" s="27" t="inlineStr">
        <is>
          <t>Howard Kelly</t>
        </is>
      </c>
      <c r="C259" s="27" t="inlineStr">
        <is>
          <t>Gauteng</t>
        </is>
      </c>
      <c r="D259" s="27" t="inlineStr">
        <is>
          <t>4-Ton Truck</t>
        </is>
      </c>
      <c r="E259" s="41" t="n">
        <v>43484</v>
      </c>
    </row>
    <row r="260" ht="15" customHeight="1" s="24">
      <c r="A260" s="27" t="n">
        <v>259</v>
      </c>
      <c r="B260" s="27" t="inlineStr">
        <is>
          <t>Cameron Wilson</t>
        </is>
      </c>
      <c r="C260" s="27" t="inlineStr">
        <is>
          <t>Northern Cape</t>
        </is>
      </c>
      <c r="D260" s="27" t="inlineStr">
        <is>
          <t>1-Ton Bakkie</t>
        </is>
      </c>
      <c r="E260" s="41" t="n">
        <v>43858</v>
      </c>
    </row>
    <row r="261" ht="15" customHeight="1" s="24">
      <c r="A261" s="27" t="n">
        <v>260</v>
      </c>
      <c r="B261" s="27" t="inlineStr">
        <is>
          <t>Melanie Brady</t>
        </is>
      </c>
      <c r="C261" s="27" t="inlineStr">
        <is>
          <t>Eastern Cape</t>
        </is>
      </c>
      <c r="D261" s="27" t="inlineStr">
        <is>
          <t>1-Ton Bakkie</t>
        </is>
      </c>
      <c r="E261" s="41" t="n">
        <v>43921</v>
      </c>
    </row>
    <row r="262" ht="15" customHeight="1" s="24">
      <c r="A262" s="27" t="n">
        <v>261</v>
      </c>
      <c r="B262" s="27" t="inlineStr">
        <is>
          <t>Mrs Olivia Allen</t>
        </is>
      </c>
      <c r="C262" s="27" t="inlineStr">
        <is>
          <t>Limpopo</t>
        </is>
      </c>
      <c r="D262" s="27" t="inlineStr">
        <is>
          <t>1-Ton Bakkie</t>
        </is>
      </c>
      <c r="E262" s="41" t="n">
        <v>43894</v>
      </c>
    </row>
    <row r="263" ht="15" customHeight="1" s="24">
      <c r="A263" s="27" t="n">
        <v>262</v>
      </c>
      <c r="B263" s="27" t="inlineStr">
        <is>
          <t>Dr Leonard Simpson</t>
        </is>
      </c>
      <c r="C263" s="27" t="inlineStr">
        <is>
          <t>KwaZulu-Natal</t>
        </is>
      </c>
      <c r="D263" s="27" t="inlineStr">
        <is>
          <t>Motorcycle</t>
        </is>
      </c>
      <c r="E263" s="41" t="n">
        <v>45040</v>
      </c>
    </row>
    <row r="264" ht="15" customHeight="1" s="24">
      <c r="A264" s="27" t="n">
        <v>263</v>
      </c>
      <c r="B264" s="27" t="inlineStr">
        <is>
          <t>Mr Leon Murray</t>
        </is>
      </c>
      <c r="C264" s="27" t="inlineStr">
        <is>
          <t>Mpumalanga</t>
        </is>
      </c>
      <c r="D264" s="27" t="inlineStr">
        <is>
          <t>4-Ton Truck</t>
        </is>
      </c>
      <c r="E264" s="41" t="n">
        <v>43234</v>
      </c>
    </row>
    <row r="265" ht="15" customHeight="1" s="24">
      <c r="A265" s="27" t="n">
        <v>264</v>
      </c>
      <c r="B265" s="27" t="inlineStr">
        <is>
          <t>Dr Stephen Gardner</t>
        </is>
      </c>
      <c r="C265" s="27" t="inlineStr">
        <is>
          <t>Western Cape</t>
        </is>
      </c>
      <c r="D265" s="27" t="inlineStr">
        <is>
          <t>Panel Van</t>
        </is>
      </c>
      <c r="E265" s="41" t="n">
        <v>45718</v>
      </c>
    </row>
    <row r="266" ht="15" customHeight="1" s="24">
      <c r="A266" s="27" t="n">
        <v>265</v>
      </c>
      <c r="B266" s="27" t="inlineStr">
        <is>
          <t>Dean Woodward-Dodd</t>
        </is>
      </c>
      <c r="C266" s="27" t="inlineStr">
        <is>
          <t>Western Cape</t>
        </is>
      </c>
      <c r="D266" s="27" t="inlineStr">
        <is>
          <t>4-Ton Truck</t>
        </is>
      </c>
      <c r="E266" s="41" t="n">
        <v>45088</v>
      </c>
    </row>
    <row r="267" ht="15" customHeight="1" s="24">
      <c r="A267" s="27" t="n">
        <v>266</v>
      </c>
      <c r="B267" s="27" t="inlineStr">
        <is>
          <t>Rachel Sullivan</t>
        </is>
      </c>
      <c r="C267" s="27" t="inlineStr">
        <is>
          <t>Limpopo</t>
        </is>
      </c>
      <c r="D267" s="27" t="inlineStr">
        <is>
          <t>1-Ton Bakkie</t>
        </is>
      </c>
      <c r="E267" s="41" t="n">
        <v>42773</v>
      </c>
    </row>
    <row r="268" ht="15" customHeight="1" s="24">
      <c r="A268" s="27" t="n">
        <v>267</v>
      </c>
      <c r="B268" s="27" t="inlineStr">
        <is>
          <t>Mrs Rachel Cox</t>
        </is>
      </c>
      <c r="C268" s="27" t="inlineStr">
        <is>
          <t>KwaZulu-Natal</t>
        </is>
      </c>
      <c r="D268" s="27" t="inlineStr">
        <is>
          <t>Motorcycle</t>
        </is>
      </c>
      <c r="E268" s="41" t="n">
        <v>44592</v>
      </c>
    </row>
    <row r="269" ht="15" customHeight="1" s="24">
      <c r="A269" s="27" t="n">
        <v>268</v>
      </c>
      <c r="B269" s="27" t="inlineStr">
        <is>
          <t>Joanne Morris</t>
        </is>
      </c>
      <c r="C269" s="27" t="inlineStr">
        <is>
          <t>KwaZulu-Natal</t>
        </is>
      </c>
      <c r="D269" s="27" t="inlineStr">
        <is>
          <t>Panel Van</t>
        </is>
      </c>
      <c r="E269" s="41" t="n">
        <v>43287</v>
      </c>
    </row>
    <row r="270" ht="15" customHeight="1" s="24">
      <c r="A270" s="27" t="n">
        <v>269</v>
      </c>
      <c r="B270" s="27" t="inlineStr">
        <is>
          <t>Paige Burton</t>
        </is>
      </c>
      <c r="C270" s="27" t="inlineStr">
        <is>
          <t>Eastern Cape</t>
        </is>
      </c>
      <c r="D270" s="27" t="inlineStr">
        <is>
          <t>8-Ton Truck</t>
        </is>
      </c>
      <c r="E270" s="41" t="n">
        <v>43237</v>
      </c>
    </row>
    <row r="271" ht="15" customHeight="1" s="24">
      <c r="A271" s="27" t="n">
        <v>270</v>
      </c>
      <c r="B271" s="27" t="inlineStr">
        <is>
          <t>Ms Sheila Webster</t>
        </is>
      </c>
      <c r="C271" s="27" t="inlineStr">
        <is>
          <t>Eastern Cape</t>
        </is>
      </c>
      <c r="D271" s="27" t="inlineStr">
        <is>
          <t>Motorcycle</t>
        </is>
      </c>
      <c r="E271" s="41" t="n">
        <v>45054</v>
      </c>
    </row>
    <row r="272" ht="15" customHeight="1" s="24">
      <c r="A272" s="27" t="n">
        <v>271</v>
      </c>
      <c r="B272" s="27" t="inlineStr">
        <is>
          <t>Mrs Margaret Bryan</t>
        </is>
      </c>
      <c r="C272" s="27" t="inlineStr">
        <is>
          <t>Free State</t>
        </is>
      </c>
      <c r="D272" s="27" t="inlineStr">
        <is>
          <t>Panel Van</t>
        </is>
      </c>
      <c r="E272" s="41" t="n">
        <v>43554</v>
      </c>
    </row>
    <row r="273" ht="15" customHeight="1" s="24">
      <c r="A273" s="27" t="n">
        <v>272</v>
      </c>
      <c r="B273" s="27" t="inlineStr">
        <is>
          <t>Mr Tom Reeves</t>
        </is>
      </c>
      <c r="C273" s="27" t="inlineStr">
        <is>
          <t>Western Cape</t>
        </is>
      </c>
      <c r="D273" s="27" t="inlineStr">
        <is>
          <t>1-Ton Bakkie</t>
        </is>
      </c>
      <c r="E273" s="41" t="n">
        <v>44604</v>
      </c>
    </row>
    <row r="274" ht="15" customHeight="1" s="24">
      <c r="A274" s="27" t="n">
        <v>273</v>
      </c>
      <c r="B274" s="27" t="inlineStr">
        <is>
          <t>Mohamed Douglas</t>
        </is>
      </c>
      <c r="C274" s="27" t="inlineStr">
        <is>
          <t>KwaZulu-Natal</t>
        </is>
      </c>
      <c r="D274" s="27" t="inlineStr">
        <is>
          <t>Panel Van</t>
        </is>
      </c>
      <c r="E274" s="41" t="n">
        <v>43669</v>
      </c>
    </row>
    <row r="275" ht="15" customHeight="1" s="24">
      <c r="A275" s="27" t="n">
        <v>274</v>
      </c>
      <c r="B275" s="27" t="inlineStr">
        <is>
          <t>Ross Carroll</t>
        </is>
      </c>
      <c r="C275" s="27" t="inlineStr">
        <is>
          <t>KwaZulu-Natal</t>
        </is>
      </c>
      <c r="D275" s="27" t="inlineStr">
        <is>
          <t>Panel Van</t>
        </is>
      </c>
      <c r="E275" s="41" t="n">
        <v>43784</v>
      </c>
    </row>
    <row r="276" ht="15" customHeight="1" s="24">
      <c r="A276" s="27" t="n">
        <v>275</v>
      </c>
      <c r="B276" s="27" t="inlineStr">
        <is>
          <t>Molly Clark</t>
        </is>
      </c>
      <c r="C276" s="27" t="inlineStr">
        <is>
          <t>Western Cape</t>
        </is>
      </c>
      <c r="D276" s="27" t="inlineStr">
        <is>
          <t>1-Ton Bakkie</t>
        </is>
      </c>
      <c r="E276" s="41" t="n">
        <v>44939</v>
      </c>
    </row>
    <row r="277" ht="15" customHeight="1" s="24">
      <c r="A277" s="27" t="n">
        <v>276</v>
      </c>
      <c r="B277" s="27" t="inlineStr">
        <is>
          <t>Mrs Jean Davies</t>
        </is>
      </c>
      <c r="C277" s="27" t="inlineStr">
        <is>
          <t>Gauteng</t>
        </is>
      </c>
      <c r="D277" s="27" t="inlineStr">
        <is>
          <t>4-Ton Truck</t>
        </is>
      </c>
      <c r="E277" s="41" t="n">
        <v>44877</v>
      </c>
    </row>
    <row r="278" ht="15" customHeight="1" s="24">
      <c r="A278" s="27" t="n">
        <v>277</v>
      </c>
      <c r="B278" s="27" t="inlineStr">
        <is>
          <t>Norman Hill</t>
        </is>
      </c>
      <c r="C278" s="27" t="inlineStr">
        <is>
          <t>Eastern Cape</t>
        </is>
      </c>
      <c r="D278" s="27" t="inlineStr">
        <is>
          <t>Panel Van</t>
        </is>
      </c>
      <c r="E278" s="41" t="n">
        <v>42806</v>
      </c>
    </row>
    <row r="279" ht="15" customHeight="1" s="24">
      <c r="A279" s="27" t="n">
        <v>278</v>
      </c>
      <c r="B279" s="27" t="inlineStr">
        <is>
          <t>Gemma Quinn-Robinson</t>
        </is>
      </c>
      <c r="C279" s="27" t="inlineStr">
        <is>
          <t>KwaZulu-Natal</t>
        </is>
      </c>
      <c r="D279" s="27" t="inlineStr">
        <is>
          <t>8-Ton Truck</t>
        </is>
      </c>
      <c r="E279" s="41" t="n">
        <v>45584</v>
      </c>
    </row>
    <row r="280" ht="15" customHeight="1" s="24">
      <c r="A280" s="27" t="n">
        <v>279</v>
      </c>
      <c r="B280" s="27" t="inlineStr">
        <is>
          <t>Sarah Martin</t>
        </is>
      </c>
      <c r="C280" s="27" t="inlineStr">
        <is>
          <t>KwaZulu-Natal</t>
        </is>
      </c>
      <c r="D280" s="27" t="inlineStr">
        <is>
          <t>Motorcycle</t>
        </is>
      </c>
      <c r="E280" s="41" t="n">
        <v>44664</v>
      </c>
    </row>
    <row r="281" ht="15" customHeight="1" s="24">
      <c r="A281" s="27" t="n">
        <v>280</v>
      </c>
      <c r="B281" s="27" t="inlineStr">
        <is>
          <t>Diane Miller</t>
        </is>
      </c>
      <c r="C281" s="27" t="inlineStr">
        <is>
          <t>Gauteng</t>
        </is>
      </c>
      <c r="D281" s="27" t="inlineStr">
        <is>
          <t>Motorcycle</t>
        </is>
      </c>
      <c r="E281" s="41" t="n">
        <v>43583</v>
      </c>
    </row>
    <row r="282" ht="15" customHeight="1" s="24">
      <c r="A282" s="27" t="n">
        <v>281</v>
      </c>
      <c r="B282" s="27" t="inlineStr">
        <is>
          <t>Maureen O'Neill-Stephenson</t>
        </is>
      </c>
      <c r="C282" s="27" t="inlineStr">
        <is>
          <t>Western Cape</t>
        </is>
      </c>
      <c r="D282" s="27" t="inlineStr">
        <is>
          <t>Motorcycle</t>
        </is>
      </c>
      <c r="E282" s="41" t="n">
        <v>43106</v>
      </c>
    </row>
    <row r="283" ht="15" customHeight="1" s="24">
      <c r="A283" s="27" t="n">
        <v>282</v>
      </c>
      <c r="B283" s="27" t="inlineStr">
        <is>
          <t>Ms Emily Palmer</t>
        </is>
      </c>
      <c r="C283" s="27" t="inlineStr">
        <is>
          <t>Gauteng</t>
        </is>
      </c>
      <c r="D283" s="27" t="inlineStr">
        <is>
          <t>Panel Van</t>
        </is>
      </c>
      <c r="E283" s="41" t="n">
        <v>44331</v>
      </c>
    </row>
    <row r="284" ht="15" customHeight="1" s="24">
      <c r="A284" s="27" t="n">
        <v>283</v>
      </c>
      <c r="B284" s="27" t="inlineStr">
        <is>
          <t>Geoffrey Knight-Lee</t>
        </is>
      </c>
      <c r="C284" s="27" t="inlineStr">
        <is>
          <t>Eastern Cape</t>
        </is>
      </c>
      <c r="D284" s="27" t="inlineStr">
        <is>
          <t>1-Ton Bakkie</t>
        </is>
      </c>
      <c r="E284" s="41" t="n">
        <v>45021</v>
      </c>
    </row>
    <row r="285" ht="15" customHeight="1" s="24">
      <c r="A285" s="27" t="n">
        <v>284</v>
      </c>
      <c r="B285" s="27" t="inlineStr">
        <is>
          <t>Dr Alan Frost</t>
        </is>
      </c>
      <c r="C285" s="27" t="inlineStr">
        <is>
          <t>KwaZulu-Natal</t>
        </is>
      </c>
      <c r="D285" s="27" t="inlineStr">
        <is>
          <t>Motorcycle</t>
        </is>
      </c>
      <c r="E285" s="41" t="n">
        <v>42804</v>
      </c>
    </row>
    <row r="286" ht="15" customHeight="1" s="24">
      <c r="A286" s="27" t="n">
        <v>285</v>
      </c>
      <c r="B286" s="27" t="inlineStr">
        <is>
          <t>Michael Williams-Nicholls</t>
        </is>
      </c>
      <c r="C286" s="27" t="inlineStr">
        <is>
          <t>North West</t>
        </is>
      </c>
      <c r="D286" s="27" t="inlineStr">
        <is>
          <t>Panel Van</t>
        </is>
      </c>
      <c r="E286" s="41" t="n">
        <v>43688</v>
      </c>
    </row>
    <row r="287" ht="15" customHeight="1" s="24">
      <c r="A287" s="27" t="n">
        <v>286</v>
      </c>
      <c r="B287" s="27" t="inlineStr">
        <is>
          <t>Sally Allen</t>
        </is>
      </c>
      <c r="C287" s="27" t="inlineStr">
        <is>
          <t>Western Cape</t>
        </is>
      </c>
      <c r="D287" s="27" t="inlineStr">
        <is>
          <t>1-Ton Bakkie</t>
        </is>
      </c>
      <c r="E287" s="41" t="n">
        <v>45843</v>
      </c>
    </row>
    <row r="288" ht="15" customHeight="1" s="24">
      <c r="A288" s="27" t="n">
        <v>287</v>
      </c>
      <c r="B288" s="27" t="inlineStr">
        <is>
          <t>Reece Ellis</t>
        </is>
      </c>
      <c r="C288" s="27" t="inlineStr">
        <is>
          <t>Limpopo</t>
        </is>
      </c>
      <c r="D288" s="27" t="inlineStr">
        <is>
          <t>1-Ton Bakkie</t>
        </is>
      </c>
      <c r="E288" s="41" t="n">
        <v>43065</v>
      </c>
    </row>
    <row r="289" ht="15" customHeight="1" s="24">
      <c r="A289" s="27" t="n">
        <v>288</v>
      </c>
      <c r="B289" s="27" t="inlineStr">
        <is>
          <t>Miss Amy Gibbons</t>
        </is>
      </c>
      <c r="C289" s="27" t="inlineStr">
        <is>
          <t>Mpumalanga</t>
        </is>
      </c>
      <c r="D289" s="27" t="inlineStr">
        <is>
          <t>1-Ton Bakkie</t>
        </is>
      </c>
      <c r="E289" s="41" t="n">
        <v>45369</v>
      </c>
    </row>
    <row r="290" ht="15" customHeight="1" s="24">
      <c r="A290" s="27" t="n">
        <v>289</v>
      </c>
      <c r="B290" s="27" t="inlineStr">
        <is>
          <t>Ms Rosie Nicholls</t>
        </is>
      </c>
      <c r="C290" s="27" t="inlineStr">
        <is>
          <t>North West</t>
        </is>
      </c>
      <c r="D290" s="27" t="inlineStr">
        <is>
          <t>1-Ton Bakkie</t>
        </is>
      </c>
      <c r="E290" s="41" t="n">
        <v>43518</v>
      </c>
    </row>
    <row r="291" ht="15" customHeight="1" s="24">
      <c r="A291" s="27" t="n">
        <v>290</v>
      </c>
      <c r="B291" s="27" t="inlineStr">
        <is>
          <t>Jeremy Nicholson-Watts</t>
        </is>
      </c>
      <c r="C291" s="27" t="inlineStr">
        <is>
          <t>North West</t>
        </is>
      </c>
      <c r="D291" s="27" t="inlineStr">
        <is>
          <t>8-Ton Truck</t>
        </is>
      </c>
      <c r="E291" s="41" t="n">
        <v>44395</v>
      </c>
    </row>
    <row r="292" ht="15" customHeight="1" s="24">
      <c r="A292" s="27" t="n">
        <v>291</v>
      </c>
      <c r="B292" s="27" t="inlineStr">
        <is>
          <t>Marion Fox</t>
        </is>
      </c>
      <c r="C292" s="27" t="inlineStr">
        <is>
          <t>Gauteng</t>
        </is>
      </c>
      <c r="D292" s="27" t="inlineStr">
        <is>
          <t>1-Ton Bakkie</t>
        </is>
      </c>
      <c r="E292" s="41" t="n">
        <v>45243</v>
      </c>
    </row>
    <row r="293" ht="15" customHeight="1" s="24">
      <c r="A293" s="27" t="n">
        <v>292</v>
      </c>
      <c r="B293" s="27" t="inlineStr">
        <is>
          <t>Simon Byrne</t>
        </is>
      </c>
      <c r="C293" s="27" t="inlineStr">
        <is>
          <t>KwaZulu-Natal</t>
        </is>
      </c>
      <c r="D293" s="27" t="inlineStr">
        <is>
          <t>4-Ton Truck</t>
        </is>
      </c>
      <c r="E293" s="41" t="n">
        <v>45994</v>
      </c>
    </row>
    <row r="294" ht="15" customHeight="1" s="24">
      <c r="A294" s="27" t="n">
        <v>293</v>
      </c>
      <c r="B294" s="27" t="inlineStr">
        <is>
          <t>Judith Morton-Marsh</t>
        </is>
      </c>
      <c r="C294" s="27" t="inlineStr">
        <is>
          <t>Limpopo</t>
        </is>
      </c>
      <c r="D294" s="27" t="inlineStr">
        <is>
          <t>8-Ton Truck</t>
        </is>
      </c>
      <c r="E294" s="41" t="n">
        <v>44718</v>
      </c>
    </row>
    <row r="295" ht="15" customHeight="1" s="24">
      <c r="A295" s="27" t="n">
        <v>294</v>
      </c>
      <c r="B295" s="27" t="inlineStr">
        <is>
          <t>Kathryn Parkinson</t>
        </is>
      </c>
      <c r="C295" s="27" t="inlineStr">
        <is>
          <t>Western Cape</t>
        </is>
      </c>
      <c r="D295" s="27" t="inlineStr">
        <is>
          <t>4-Ton Truck</t>
        </is>
      </c>
      <c r="E295" s="41" t="n">
        <v>43459</v>
      </c>
    </row>
    <row r="296" ht="15" customHeight="1" s="24">
      <c r="A296" s="27" t="n">
        <v>295</v>
      </c>
      <c r="B296" s="27" t="inlineStr">
        <is>
          <t>Conor O'Connor</t>
        </is>
      </c>
      <c r="C296" s="27" t="inlineStr">
        <is>
          <t>Eastern Cape</t>
        </is>
      </c>
      <c r="D296" s="27" t="inlineStr">
        <is>
          <t>Motorcycle</t>
        </is>
      </c>
      <c r="E296" s="41" t="n">
        <v>43004</v>
      </c>
    </row>
    <row r="297" ht="15" customHeight="1" s="24">
      <c r="A297" s="27" t="n">
        <v>296</v>
      </c>
      <c r="B297" s="27" t="inlineStr">
        <is>
          <t>Dr Clive Wood</t>
        </is>
      </c>
      <c r="C297" s="27" t="inlineStr">
        <is>
          <t>Eastern Cape</t>
        </is>
      </c>
      <c r="D297" s="27" t="inlineStr">
        <is>
          <t>Panel Van</t>
        </is>
      </c>
      <c r="E297" s="41" t="n">
        <v>45179</v>
      </c>
    </row>
    <row r="298" ht="15" customHeight="1" s="24">
      <c r="A298" s="27" t="n">
        <v>297</v>
      </c>
      <c r="B298" s="27" t="inlineStr">
        <is>
          <t>Mr Terence Webb</t>
        </is>
      </c>
      <c r="C298" s="27" t="inlineStr">
        <is>
          <t>Gauteng</t>
        </is>
      </c>
      <c r="D298" s="27" t="inlineStr">
        <is>
          <t>Panel Van</t>
        </is>
      </c>
      <c r="E298" s="41" t="n">
        <v>44636</v>
      </c>
    </row>
    <row r="299" ht="15" customHeight="1" s="24">
      <c r="A299" s="27" t="n">
        <v>298</v>
      </c>
      <c r="B299" s="27" t="inlineStr">
        <is>
          <t>Sandra Coleman-Gould</t>
        </is>
      </c>
      <c r="C299" s="27" t="inlineStr">
        <is>
          <t>Gauteng</t>
        </is>
      </c>
      <c r="D299" s="27" t="inlineStr">
        <is>
          <t>Motorcycle</t>
        </is>
      </c>
      <c r="E299" s="41" t="n">
        <v>45263</v>
      </c>
    </row>
    <row r="300" ht="15" customHeight="1" s="24">
      <c r="A300" s="27" t="n">
        <v>299</v>
      </c>
      <c r="B300" s="27" t="inlineStr">
        <is>
          <t>Mr Craig Watson</t>
        </is>
      </c>
      <c r="C300" s="27" t="inlineStr">
        <is>
          <t>Eastern Cape</t>
        </is>
      </c>
      <c r="D300" s="27" t="inlineStr">
        <is>
          <t>Panel Van</t>
        </is>
      </c>
      <c r="E300" s="41" t="n">
        <v>45979</v>
      </c>
    </row>
    <row r="301" ht="15" customHeight="1" s="24">
      <c r="A301" s="27" t="n">
        <v>300</v>
      </c>
      <c r="B301" s="27" t="inlineStr">
        <is>
          <t>Louis Hall</t>
        </is>
      </c>
      <c r="C301" s="27" t="inlineStr">
        <is>
          <t>Eastern Cape</t>
        </is>
      </c>
      <c r="D301" s="27" t="inlineStr">
        <is>
          <t>Motorcycle</t>
        </is>
      </c>
      <c r="E301" s="41" t="n">
        <v>45465</v>
      </c>
    </row>
    <row r="302" ht="15" customHeight="1" s="24">
      <c r="A302" s="27" t="n">
        <v>301</v>
      </c>
      <c r="B302" s="27" t="inlineStr">
        <is>
          <t>Gregory Patterson</t>
        </is>
      </c>
      <c r="C302" s="27" t="inlineStr">
        <is>
          <t>Mpumalanga</t>
        </is>
      </c>
      <c r="D302" s="27" t="inlineStr">
        <is>
          <t>Panel Van</t>
        </is>
      </c>
      <c r="E302" s="41" t="n">
        <v>44383</v>
      </c>
    </row>
    <row r="303" ht="15" customHeight="1" s="24">
      <c r="A303" s="27" t="n">
        <v>302</v>
      </c>
      <c r="B303" s="27" t="inlineStr">
        <is>
          <t>Danny Woods</t>
        </is>
      </c>
      <c r="C303" s="27" t="inlineStr">
        <is>
          <t>Limpopo</t>
        </is>
      </c>
      <c r="D303" s="27" t="inlineStr">
        <is>
          <t>1-Ton Bakkie</t>
        </is>
      </c>
      <c r="E303" s="41" t="n">
        <v>44986</v>
      </c>
    </row>
    <row r="304" ht="15" customHeight="1" s="24">
      <c r="A304" s="27" t="n">
        <v>303</v>
      </c>
      <c r="B304" s="27" t="inlineStr">
        <is>
          <t>Shaun Taylor</t>
        </is>
      </c>
      <c r="C304" s="27" t="inlineStr">
        <is>
          <t>Gauteng</t>
        </is>
      </c>
      <c r="D304" s="27" t="inlineStr">
        <is>
          <t>Panel Van</t>
        </is>
      </c>
      <c r="E304" s="41" t="n">
        <v>44789</v>
      </c>
    </row>
    <row r="305" ht="15" customHeight="1" s="24">
      <c r="A305" s="27" t="n">
        <v>304</v>
      </c>
      <c r="B305" s="27" t="inlineStr">
        <is>
          <t>Charles Hayes</t>
        </is>
      </c>
      <c r="C305" s="27" t="inlineStr">
        <is>
          <t>Gauteng</t>
        </is>
      </c>
      <c r="D305" s="27" t="inlineStr">
        <is>
          <t>8-Ton Truck</t>
        </is>
      </c>
      <c r="E305" s="41" t="n">
        <v>43362</v>
      </c>
    </row>
    <row r="306" ht="15" customHeight="1" s="24">
      <c r="A306" s="27" t="n">
        <v>305</v>
      </c>
      <c r="B306" s="27" t="inlineStr">
        <is>
          <t>Marie Williams</t>
        </is>
      </c>
      <c r="C306" s="27" t="inlineStr">
        <is>
          <t>KwaZulu-Natal</t>
        </is>
      </c>
      <c r="D306" s="27" t="inlineStr">
        <is>
          <t>1-Ton Bakkie</t>
        </is>
      </c>
      <c r="E306" s="41" t="n">
        <v>43750</v>
      </c>
    </row>
    <row r="307" ht="15" customHeight="1" s="24">
      <c r="A307" s="27" t="n">
        <v>306</v>
      </c>
      <c r="B307" s="27" t="inlineStr">
        <is>
          <t>Valerie Wright-Parsons</t>
        </is>
      </c>
      <c r="C307" s="27" t="inlineStr">
        <is>
          <t>KwaZulu-Natal</t>
        </is>
      </c>
      <c r="D307" s="27" t="inlineStr">
        <is>
          <t>1-Ton Bakkie</t>
        </is>
      </c>
      <c r="E307" s="41" t="n">
        <v>43036</v>
      </c>
    </row>
    <row r="308" ht="15" customHeight="1" s="24">
      <c r="A308" s="27" t="n">
        <v>307</v>
      </c>
      <c r="B308" s="27" t="inlineStr">
        <is>
          <t>Denise Hall</t>
        </is>
      </c>
      <c r="C308" s="27" t="inlineStr">
        <is>
          <t>Limpopo</t>
        </is>
      </c>
      <c r="D308" s="27" t="inlineStr">
        <is>
          <t>Motorcycle</t>
        </is>
      </c>
      <c r="E308" s="41" t="n">
        <v>43946</v>
      </c>
    </row>
    <row r="309" ht="15" customHeight="1" s="24">
      <c r="A309" s="27" t="n">
        <v>308</v>
      </c>
      <c r="B309" s="27" t="inlineStr">
        <is>
          <t>Jacqueline Connolly</t>
        </is>
      </c>
      <c r="C309" s="27" t="inlineStr">
        <is>
          <t>Eastern Cape</t>
        </is>
      </c>
      <c r="D309" s="27" t="inlineStr">
        <is>
          <t>8-Ton Truck</t>
        </is>
      </c>
      <c r="E309" s="41" t="n">
        <v>43328</v>
      </c>
    </row>
    <row r="310" ht="15" customHeight="1" s="24">
      <c r="A310" s="27" t="n">
        <v>309</v>
      </c>
      <c r="B310" s="27" t="inlineStr">
        <is>
          <t>Lisa Berry-Stewart</t>
        </is>
      </c>
      <c r="C310" s="27" t="inlineStr">
        <is>
          <t>North West</t>
        </is>
      </c>
      <c r="D310" s="27" t="inlineStr">
        <is>
          <t>Motorcycle</t>
        </is>
      </c>
      <c r="E310" s="41" t="n">
        <v>45682</v>
      </c>
    </row>
    <row r="311" ht="15" customHeight="1" s="24">
      <c r="A311" s="27" t="n">
        <v>310</v>
      </c>
      <c r="B311" s="27" t="inlineStr">
        <is>
          <t>Cheryl Wright</t>
        </is>
      </c>
      <c r="C311" s="27" t="inlineStr">
        <is>
          <t>Western Cape</t>
        </is>
      </c>
      <c r="D311" s="27" t="inlineStr">
        <is>
          <t>4-Ton Truck</t>
        </is>
      </c>
      <c r="E311" s="41" t="n">
        <v>45555</v>
      </c>
    </row>
    <row r="312" ht="15" customHeight="1" s="24">
      <c r="A312" s="27" t="n">
        <v>311</v>
      </c>
      <c r="B312" s="27" t="inlineStr">
        <is>
          <t>Dr Leah Naylor</t>
        </is>
      </c>
      <c r="C312" s="27" t="inlineStr">
        <is>
          <t>KwaZulu-Natal</t>
        </is>
      </c>
      <c r="D312" s="27" t="inlineStr">
        <is>
          <t>Motorcycle</t>
        </is>
      </c>
      <c r="E312" s="41" t="n">
        <v>45126</v>
      </c>
    </row>
    <row r="313" ht="15" customHeight="1" s="24">
      <c r="A313" s="27" t="n">
        <v>312</v>
      </c>
      <c r="B313" s="27" t="inlineStr">
        <is>
          <t>Mr Eric Walker</t>
        </is>
      </c>
      <c r="C313" s="27" t="inlineStr">
        <is>
          <t>Western Cape</t>
        </is>
      </c>
      <c r="D313" s="27" t="inlineStr">
        <is>
          <t>Motorcycle</t>
        </is>
      </c>
      <c r="E313" s="41" t="n">
        <v>44056</v>
      </c>
    </row>
    <row r="314" ht="15" customHeight="1" s="24">
      <c r="A314" s="27" t="n">
        <v>313</v>
      </c>
      <c r="B314" s="27" t="inlineStr">
        <is>
          <t>Victor Kay</t>
        </is>
      </c>
      <c r="C314" s="27" t="inlineStr">
        <is>
          <t>Gauteng</t>
        </is>
      </c>
      <c r="D314" s="27" t="inlineStr">
        <is>
          <t>Panel Van</t>
        </is>
      </c>
      <c r="E314" s="41" t="n">
        <v>42760</v>
      </c>
    </row>
    <row r="315" ht="15" customHeight="1" s="24">
      <c r="A315" s="27" t="n">
        <v>314</v>
      </c>
      <c r="B315" s="27" t="inlineStr">
        <is>
          <t>Frank Knight</t>
        </is>
      </c>
      <c r="C315" s="27" t="inlineStr">
        <is>
          <t>Gauteng</t>
        </is>
      </c>
      <c r="D315" s="27" t="inlineStr">
        <is>
          <t>1-Ton Bakkie</t>
        </is>
      </c>
      <c r="E315" s="41" t="n">
        <v>44530</v>
      </c>
    </row>
    <row r="316" ht="15" customHeight="1" s="24">
      <c r="A316" s="27" t="n">
        <v>315</v>
      </c>
      <c r="B316" s="27" t="inlineStr">
        <is>
          <t>Kimberley Webb</t>
        </is>
      </c>
      <c r="C316" s="27" t="inlineStr">
        <is>
          <t>Western Cape</t>
        </is>
      </c>
      <c r="D316" s="27" t="inlineStr">
        <is>
          <t>4-Ton Truck</t>
        </is>
      </c>
      <c r="E316" s="41" t="n">
        <v>42817</v>
      </c>
    </row>
    <row r="317" ht="15" customHeight="1" s="24">
      <c r="A317" s="27" t="n">
        <v>316</v>
      </c>
      <c r="B317" s="27" t="inlineStr">
        <is>
          <t>Dr Luke Pollard</t>
        </is>
      </c>
      <c r="C317" s="27" t="inlineStr">
        <is>
          <t>KwaZulu-Natal</t>
        </is>
      </c>
      <c r="D317" s="27" t="inlineStr">
        <is>
          <t>1-Ton Bakkie</t>
        </is>
      </c>
      <c r="E317" s="41" t="n">
        <v>42819</v>
      </c>
    </row>
    <row r="318" ht="15" customHeight="1" s="24">
      <c r="A318" s="27" t="n">
        <v>317</v>
      </c>
      <c r="B318" s="27" t="inlineStr">
        <is>
          <t>Nicola Smith</t>
        </is>
      </c>
      <c r="C318" s="27" t="inlineStr">
        <is>
          <t>Gauteng</t>
        </is>
      </c>
      <c r="D318" s="27" t="inlineStr">
        <is>
          <t>1-Ton Bakkie</t>
        </is>
      </c>
      <c r="E318" s="41" t="n">
        <v>43244</v>
      </c>
    </row>
    <row r="319" ht="15" customHeight="1" s="24">
      <c r="A319" s="27" t="n">
        <v>318</v>
      </c>
      <c r="B319" s="27" t="inlineStr">
        <is>
          <t>Gerald Barry</t>
        </is>
      </c>
      <c r="C319" s="27" t="inlineStr">
        <is>
          <t>Limpopo</t>
        </is>
      </c>
      <c r="D319" s="27" t="inlineStr">
        <is>
          <t>Motorcycle</t>
        </is>
      </c>
      <c r="E319" s="41" t="n">
        <v>44350</v>
      </c>
    </row>
    <row r="320" ht="15" customHeight="1" s="24">
      <c r="A320" s="27" t="n">
        <v>319</v>
      </c>
      <c r="B320" s="27" t="inlineStr">
        <is>
          <t>Jason Evans</t>
        </is>
      </c>
      <c r="C320" s="27" t="inlineStr">
        <is>
          <t>Eastern Cape</t>
        </is>
      </c>
      <c r="D320" s="27" t="inlineStr">
        <is>
          <t>8-Ton Truck</t>
        </is>
      </c>
      <c r="E320" s="41" t="n">
        <v>45196</v>
      </c>
    </row>
    <row r="321" ht="15" customHeight="1" s="24">
      <c r="A321" s="27" t="n">
        <v>320</v>
      </c>
      <c r="B321" s="27" t="inlineStr">
        <is>
          <t>Georgina Hanson-Haynes</t>
        </is>
      </c>
      <c r="C321" s="27" t="inlineStr">
        <is>
          <t>Gauteng</t>
        </is>
      </c>
      <c r="D321" s="27" t="inlineStr">
        <is>
          <t>Panel Van</t>
        </is>
      </c>
      <c r="E321" s="41" t="n">
        <v>44080</v>
      </c>
    </row>
    <row r="322" ht="15" customHeight="1" s="24">
      <c r="A322" s="27" t="n">
        <v>321</v>
      </c>
      <c r="B322" s="27" t="inlineStr">
        <is>
          <t>Richard Pearson</t>
        </is>
      </c>
      <c r="C322" s="27" t="inlineStr">
        <is>
          <t>Limpopo</t>
        </is>
      </c>
      <c r="D322" s="27" t="inlineStr">
        <is>
          <t>4-Ton Truck</t>
        </is>
      </c>
      <c r="E322" s="41" t="n">
        <v>45282</v>
      </c>
    </row>
    <row r="323" ht="15" customHeight="1" s="24">
      <c r="A323" s="27" t="n">
        <v>322</v>
      </c>
      <c r="B323" s="27" t="inlineStr">
        <is>
          <t>Mohammed Collins</t>
        </is>
      </c>
      <c r="C323" s="27" t="inlineStr">
        <is>
          <t>Gauteng</t>
        </is>
      </c>
      <c r="D323" s="27" t="inlineStr">
        <is>
          <t>1-Ton Bakkie</t>
        </is>
      </c>
      <c r="E323" s="41" t="n">
        <v>44492</v>
      </c>
    </row>
    <row r="324" ht="15" customHeight="1" s="24">
      <c r="A324" s="27" t="n">
        <v>323</v>
      </c>
      <c r="B324" s="27" t="inlineStr">
        <is>
          <t>Ashleigh Davies</t>
        </is>
      </c>
      <c r="C324" s="27" t="inlineStr">
        <is>
          <t>Western Cape</t>
        </is>
      </c>
      <c r="D324" s="27" t="inlineStr">
        <is>
          <t>Panel Van</t>
        </is>
      </c>
      <c r="E324" s="41" t="n">
        <v>45671</v>
      </c>
    </row>
    <row r="325" ht="15" customHeight="1" s="24">
      <c r="A325" s="27" t="n">
        <v>324</v>
      </c>
      <c r="B325" s="27" t="inlineStr">
        <is>
          <t>Hayley Wood-Moss</t>
        </is>
      </c>
      <c r="C325" s="27" t="inlineStr">
        <is>
          <t>Eastern Cape</t>
        </is>
      </c>
      <c r="D325" s="27" t="inlineStr">
        <is>
          <t>Panel Van</t>
        </is>
      </c>
      <c r="E325" s="41" t="n">
        <v>43968</v>
      </c>
    </row>
    <row r="326" ht="15" customHeight="1" s="24">
      <c r="A326" s="27" t="n">
        <v>325</v>
      </c>
      <c r="B326" s="27" t="inlineStr">
        <is>
          <t>Keith Shepherd</t>
        </is>
      </c>
      <c r="C326" s="27" t="inlineStr">
        <is>
          <t>Western Cape</t>
        </is>
      </c>
      <c r="D326" s="27" t="inlineStr">
        <is>
          <t>1-Ton Bakkie</t>
        </is>
      </c>
      <c r="E326" s="41" t="n">
        <v>43722</v>
      </c>
    </row>
    <row r="327" ht="15" customHeight="1" s="24">
      <c r="A327" s="27" t="n">
        <v>326</v>
      </c>
      <c r="B327" s="27" t="inlineStr">
        <is>
          <t>Mohamed Dale</t>
        </is>
      </c>
      <c r="C327" s="27" t="inlineStr">
        <is>
          <t>Limpopo</t>
        </is>
      </c>
      <c r="D327" s="27" t="inlineStr">
        <is>
          <t>8-Ton Truck</t>
        </is>
      </c>
      <c r="E327" s="41" t="n">
        <v>42983</v>
      </c>
    </row>
    <row r="328" ht="15" customHeight="1" s="24">
      <c r="A328" s="27" t="n">
        <v>327</v>
      </c>
      <c r="B328" s="27" t="inlineStr">
        <is>
          <t>Miss Jill Harrison</t>
        </is>
      </c>
      <c r="C328" s="27" t="inlineStr">
        <is>
          <t>KwaZulu-Natal</t>
        </is>
      </c>
      <c r="D328" s="27" t="inlineStr">
        <is>
          <t>1-Ton Bakkie</t>
        </is>
      </c>
      <c r="E328" s="41" t="n">
        <v>43455</v>
      </c>
    </row>
    <row r="329" ht="15" customHeight="1" s="24">
      <c r="A329" s="27" t="n">
        <v>328</v>
      </c>
      <c r="B329" s="27" t="inlineStr">
        <is>
          <t>Ms Hilary Walters</t>
        </is>
      </c>
      <c r="C329" s="27" t="inlineStr">
        <is>
          <t>Gauteng</t>
        </is>
      </c>
      <c r="D329" s="27" t="inlineStr">
        <is>
          <t>4-Ton Truck</t>
        </is>
      </c>
      <c r="E329" s="41" t="n">
        <v>42880</v>
      </c>
    </row>
    <row r="330" ht="15" customHeight="1" s="24">
      <c r="A330" s="27" t="n">
        <v>329</v>
      </c>
      <c r="B330" s="27" t="inlineStr">
        <is>
          <t>Denise Moore</t>
        </is>
      </c>
      <c r="C330" s="27" t="inlineStr">
        <is>
          <t>Western Cape</t>
        </is>
      </c>
      <c r="D330" s="27" t="inlineStr">
        <is>
          <t>8-Ton Truck</t>
        </is>
      </c>
      <c r="E330" s="41" t="n">
        <v>43306</v>
      </c>
    </row>
    <row r="331" ht="15" customHeight="1" s="24">
      <c r="A331" s="27" t="n">
        <v>330</v>
      </c>
      <c r="B331" s="27" t="inlineStr">
        <is>
          <t>Roger Bradley</t>
        </is>
      </c>
      <c r="C331" s="27" t="inlineStr">
        <is>
          <t>KwaZulu-Natal</t>
        </is>
      </c>
      <c r="D331" s="27" t="inlineStr">
        <is>
          <t>Panel Van</t>
        </is>
      </c>
      <c r="E331" s="41" t="n">
        <v>45856</v>
      </c>
    </row>
    <row r="332" ht="15" customHeight="1" s="24">
      <c r="A332" s="27" t="n">
        <v>331</v>
      </c>
      <c r="B332" s="27" t="inlineStr">
        <is>
          <t>Bruce Norton</t>
        </is>
      </c>
      <c r="C332" s="27" t="inlineStr">
        <is>
          <t>Gauteng</t>
        </is>
      </c>
      <c r="D332" s="27" t="inlineStr">
        <is>
          <t>Panel Van</t>
        </is>
      </c>
      <c r="E332" s="41" t="n">
        <v>44524</v>
      </c>
    </row>
    <row r="333" ht="15" customHeight="1" s="24">
      <c r="A333" s="27" t="n">
        <v>332</v>
      </c>
      <c r="B333" s="27" t="inlineStr">
        <is>
          <t>Glenn Walker-Green</t>
        </is>
      </c>
      <c r="C333" s="27" t="inlineStr">
        <is>
          <t>Western Cape</t>
        </is>
      </c>
      <c r="D333" s="27" t="inlineStr">
        <is>
          <t>1-Ton Bakkie</t>
        </is>
      </c>
      <c r="E333" s="41" t="n">
        <v>44719</v>
      </c>
    </row>
    <row r="334" ht="15" customHeight="1" s="24">
      <c r="A334" s="27" t="n">
        <v>333</v>
      </c>
      <c r="B334" s="27" t="inlineStr">
        <is>
          <t>Phillip Buckley</t>
        </is>
      </c>
      <c r="C334" s="27" t="inlineStr">
        <is>
          <t>Gauteng</t>
        </is>
      </c>
      <c r="D334" s="27" t="inlineStr">
        <is>
          <t>Motorcycle</t>
        </is>
      </c>
      <c r="E334" s="41" t="n">
        <v>43999</v>
      </c>
    </row>
    <row r="335" ht="15" customHeight="1" s="24">
      <c r="A335" s="27" t="n">
        <v>334</v>
      </c>
      <c r="B335" s="27" t="inlineStr">
        <is>
          <t>Paula Herbert</t>
        </is>
      </c>
      <c r="C335" s="27" t="inlineStr">
        <is>
          <t>Western Cape</t>
        </is>
      </c>
      <c r="D335" s="27" t="inlineStr">
        <is>
          <t>1-Ton Bakkie</t>
        </is>
      </c>
      <c r="E335" s="41" t="n">
        <v>44849</v>
      </c>
    </row>
    <row r="336" ht="15" customHeight="1" s="24">
      <c r="A336" s="27" t="n">
        <v>335</v>
      </c>
      <c r="B336" s="27" t="inlineStr">
        <is>
          <t>Kerry May</t>
        </is>
      </c>
      <c r="C336" s="27" t="inlineStr">
        <is>
          <t>Eastern Cape</t>
        </is>
      </c>
      <c r="D336" s="27" t="inlineStr">
        <is>
          <t>Motorcycle</t>
        </is>
      </c>
      <c r="E336" s="41" t="n">
        <v>44582</v>
      </c>
    </row>
    <row r="337" ht="15" customHeight="1" s="24">
      <c r="A337" s="27" t="n">
        <v>336</v>
      </c>
      <c r="B337" s="27" t="inlineStr">
        <is>
          <t>Lewis Wilson</t>
        </is>
      </c>
      <c r="C337" s="27" t="inlineStr">
        <is>
          <t>Limpopo</t>
        </is>
      </c>
      <c r="D337" s="27" t="inlineStr">
        <is>
          <t>1-Ton Bakkie</t>
        </is>
      </c>
      <c r="E337" s="41" t="n">
        <v>45743</v>
      </c>
    </row>
    <row r="338" ht="15" customHeight="1" s="24">
      <c r="A338" s="27" t="n">
        <v>337</v>
      </c>
      <c r="B338" s="27" t="inlineStr">
        <is>
          <t>Ann Hamilton</t>
        </is>
      </c>
      <c r="C338" s="27" t="inlineStr">
        <is>
          <t>Mpumalanga</t>
        </is>
      </c>
      <c r="D338" s="27" t="inlineStr">
        <is>
          <t>Panel Van</t>
        </is>
      </c>
      <c r="E338" s="41" t="n">
        <v>45349</v>
      </c>
    </row>
    <row r="339" ht="15" customHeight="1" s="24">
      <c r="A339" s="27" t="n">
        <v>338</v>
      </c>
      <c r="B339" s="27" t="inlineStr">
        <is>
          <t>Mr Howard Welch</t>
        </is>
      </c>
      <c r="C339" s="27" t="inlineStr">
        <is>
          <t>Eastern Cape</t>
        </is>
      </c>
      <c r="D339" s="27" t="inlineStr">
        <is>
          <t>4-Ton Truck</t>
        </is>
      </c>
      <c r="E339" s="41" t="n">
        <v>44545</v>
      </c>
    </row>
    <row r="340" ht="15" customHeight="1" s="24">
      <c r="A340" s="27" t="n">
        <v>339</v>
      </c>
      <c r="B340" s="27" t="inlineStr">
        <is>
          <t>Mr Mohamed Holt</t>
        </is>
      </c>
      <c r="C340" s="27" t="inlineStr">
        <is>
          <t>North West</t>
        </is>
      </c>
      <c r="D340" s="27" t="inlineStr">
        <is>
          <t>Panel Van</t>
        </is>
      </c>
      <c r="E340" s="41" t="n">
        <v>45303</v>
      </c>
    </row>
    <row r="341" ht="15" customHeight="1" s="24">
      <c r="A341" s="27" t="n">
        <v>340</v>
      </c>
      <c r="B341" s="27" t="inlineStr">
        <is>
          <t>Mr Joel Patel</t>
        </is>
      </c>
      <c r="C341" s="27" t="inlineStr">
        <is>
          <t>Western Cape</t>
        </is>
      </c>
      <c r="D341" s="27" t="inlineStr">
        <is>
          <t>Panel Van</t>
        </is>
      </c>
      <c r="E341" s="41" t="n">
        <v>44758</v>
      </c>
    </row>
    <row r="342" ht="15" customHeight="1" s="24">
      <c r="A342" s="27" t="n">
        <v>341</v>
      </c>
      <c r="B342" s="27" t="inlineStr">
        <is>
          <t>Katie Holden</t>
        </is>
      </c>
      <c r="C342" s="27" t="inlineStr">
        <is>
          <t>Limpopo</t>
        </is>
      </c>
      <c r="D342" s="27" t="inlineStr">
        <is>
          <t>Motorcycle</t>
        </is>
      </c>
      <c r="E342" s="41" t="n">
        <v>46003</v>
      </c>
    </row>
    <row r="343" ht="15" customHeight="1" s="24">
      <c r="A343" s="27" t="n">
        <v>342</v>
      </c>
      <c r="B343" s="27" t="inlineStr">
        <is>
          <t>Mr Gerald Thomas</t>
        </is>
      </c>
      <c r="C343" s="27" t="inlineStr">
        <is>
          <t>Limpopo</t>
        </is>
      </c>
      <c r="D343" s="27" t="inlineStr">
        <is>
          <t>1-Ton Bakkie</t>
        </is>
      </c>
      <c r="E343" s="41" t="n">
        <v>44454</v>
      </c>
    </row>
    <row r="344" ht="15" customHeight="1" s="24">
      <c r="A344" s="27" t="n">
        <v>343</v>
      </c>
      <c r="B344" s="27" t="inlineStr">
        <is>
          <t>Ms Melissa Morrison</t>
        </is>
      </c>
      <c r="C344" s="27" t="inlineStr">
        <is>
          <t>Mpumalanga</t>
        </is>
      </c>
      <c r="D344" s="27" t="inlineStr">
        <is>
          <t>Panel Van</t>
        </is>
      </c>
      <c r="E344" s="41" t="n">
        <v>45531</v>
      </c>
    </row>
    <row r="345" ht="15" customHeight="1" s="24">
      <c r="A345" s="27" t="n">
        <v>344</v>
      </c>
      <c r="B345" s="27" t="inlineStr">
        <is>
          <t>Dr Connor Wilkinson</t>
        </is>
      </c>
      <c r="C345" s="27" t="inlineStr">
        <is>
          <t>Limpopo</t>
        </is>
      </c>
      <c r="D345" s="27" t="inlineStr">
        <is>
          <t>Panel Van</t>
        </is>
      </c>
      <c r="E345" s="41" t="n">
        <v>43314</v>
      </c>
    </row>
    <row r="346" ht="15" customHeight="1" s="24">
      <c r="A346" s="27" t="n">
        <v>345</v>
      </c>
      <c r="B346" s="27" t="inlineStr">
        <is>
          <t>Marie Cooke-O'Connor</t>
        </is>
      </c>
      <c r="C346" s="27" t="inlineStr">
        <is>
          <t>North West</t>
        </is>
      </c>
      <c r="D346" s="27" t="inlineStr">
        <is>
          <t>4-Ton Truck</t>
        </is>
      </c>
      <c r="E346" s="41" t="n">
        <v>43288</v>
      </c>
    </row>
    <row r="347" ht="15" customHeight="1" s="24">
      <c r="A347" s="27" t="n">
        <v>346</v>
      </c>
      <c r="B347" s="27" t="inlineStr">
        <is>
          <t>Mitchell Robinson</t>
        </is>
      </c>
      <c r="C347" s="27" t="inlineStr">
        <is>
          <t>Western Cape</t>
        </is>
      </c>
      <c r="D347" s="27" t="inlineStr">
        <is>
          <t>Panel Van</t>
        </is>
      </c>
      <c r="E347" s="41" t="n">
        <v>43759</v>
      </c>
    </row>
    <row r="348" ht="15" customHeight="1" s="24">
      <c r="A348" s="27" t="n">
        <v>347</v>
      </c>
      <c r="B348" s="27" t="inlineStr">
        <is>
          <t>Patrick Marsh</t>
        </is>
      </c>
      <c r="C348" s="27" t="inlineStr">
        <is>
          <t>Free State</t>
        </is>
      </c>
      <c r="D348" s="27" t="inlineStr">
        <is>
          <t>Motorcycle</t>
        </is>
      </c>
      <c r="E348" s="41" t="n">
        <v>45441</v>
      </c>
    </row>
    <row r="349" ht="15" customHeight="1" s="24">
      <c r="A349" s="27" t="n">
        <v>348</v>
      </c>
      <c r="B349" s="27" t="inlineStr">
        <is>
          <t>Arthur Fletcher</t>
        </is>
      </c>
      <c r="C349" s="27" t="inlineStr">
        <is>
          <t>KwaZulu-Natal</t>
        </is>
      </c>
      <c r="D349" s="27" t="inlineStr">
        <is>
          <t>Motorcycle</t>
        </is>
      </c>
      <c r="E349" s="41" t="n">
        <v>45641</v>
      </c>
    </row>
    <row r="350" ht="15" customHeight="1" s="24">
      <c r="A350" s="27" t="n">
        <v>349</v>
      </c>
      <c r="B350" s="27" t="inlineStr">
        <is>
          <t>Caroline Roberts</t>
        </is>
      </c>
      <c r="C350" s="27" t="inlineStr">
        <is>
          <t>Gauteng</t>
        </is>
      </c>
      <c r="D350" s="27" t="inlineStr">
        <is>
          <t>Panel Van</t>
        </is>
      </c>
      <c r="E350" s="41" t="n">
        <v>44053</v>
      </c>
    </row>
    <row r="351" ht="15" customHeight="1" s="24">
      <c r="A351" s="27" t="n">
        <v>350</v>
      </c>
      <c r="B351" s="27" t="inlineStr">
        <is>
          <t>Hayley Barnett</t>
        </is>
      </c>
      <c r="C351" s="27" t="inlineStr">
        <is>
          <t>Gauteng</t>
        </is>
      </c>
      <c r="D351" s="27" t="inlineStr">
        <is>
          <t>Motorcycle</t>
        </is>
      </c>
      <c r="E351" s="41" t="n">
        <v>44194</v>
      </c>
    </row>
    <row r="352" ht="15" customHeight="1" s="24">
      <c r="A352" s="27" t="n">
        <v>351</v>
      </c>
      <c r="B352" s="27" t="inlineStr">
        <is>
          <t>Christian Naylor</t>
        </is>
      </c>
      <c r="C352" s="27" t="inlineStr">
        <is>
          <t>Western Cape</t>
        </is>
      </c>
      <c r="D352" s="27" t="inlineStr">
        <is>
          <t>Panel Van</t>
        </is>
      </c>
      <c r="E352" s="41" t="n">
        <v>44343</v>
      </c>
    </row>
    <row r="353" ht="15" customHeight="1" s="24">
      <c r="A353" s="27" t="n">
        <v>352</v>
      </c>
      <c r="B353" s="27" t="inlineStr">
        <is>
          <t>Jayne Barton</t>
        </is>
      </c>
      <c r="C353" s="27" t="inlineStr">
        <is>
          <t>Gauteng</t>
        </is>
      </c>
      <c r="D353" s="27" t="inlineStr">
        <is>
          <t>Motorcycle</t>
        </is>
      </c>
      <c r="E353" s="41" t="n">
        <v>43406</v>
      </c>
    </row>
    <row r="354" ht="15" customHeight="1" s="24">
      <c r="A354" s="27" t="n">
        <v>353</v>
      </c>
      <c r="B354" s="27" t="inlineStr">
        <is>
          <t>Patricia Miller-Sharpe</t>
        </is>
      </c>
      <c r="C354" s="27" t="inlineStr">
        <is>
          <t>Gauteng</t>
        </is>
      </c>
      <c r="D354" s="27" t="inlineStr">
        <is>
          <t>Panel Van</t>
        </is>
      </c>
      <c r="E354" s="41" t="n">
        <v>44500</v>
      </c>
    </row>
    <row r="355" ht="15" customHeight="1" s="24">
      <c r="A355" s="27" t="n">
        <v>354</v>
      </c>
      <c r="B355" s="27" t="inlineStr">
        <is>
          <t>Liam Holden</t>
        </is>
      </c>
      <c r="C355" s="27" t="inlineStr">
        <is>
          <t>KwaZulu-Natal</t>
        </is>
      </c>
      <c r="D355" s="27" t="inlineStr">
        <is>
          <t>Panel Van</t>
        </is>
      </c>
      <c r="E355" s="41" t="n">
        <v>45456</v>
      </c>
    </row>
    <row r="356" ht="15" customHeight="1" s="24">
      <c r="A356" s="27" t="n">
        <v>355</v>
      </c>
      <c r="B356" s="27" t="inlineStr">
        <is>
          <t>Natalie Warren</t>
        </is>
      </c>
      <c r="C356" s="27" t="inlineStr">
        <is>
          <t>Eastern Cape</t>
        </is>
      </c>
      <c r="D356" s="27" t="inlineStr">
        <is>
          <t>Panel Van</t>
        </is>
      </c>
      <c r="E356" s="41" t="n">
        <v>45203</v>
      </c>
    </row>
    <row r="357" ht="15" customHeight="1" s="24">
      <c r="A357" s="27" t="n">
        <v>356</v>
      </c>
      <c r="B357" s="27" t="inlineStr">
        <is>
          <t>Mrs Lynne Manning</t>
        </is>
      </c>
      <c r="C357" s="27" t="inlineStr">
        <is>
          <t>Gauteng</t>
        </is>
      </c>
      <c r="D357" s="27" t="inlineStr">
        <is>
          <t>Panel Van</t>
        </is>
      </c>
      <c r="E357" s="41" t="n">
        <v>43022</v>
      </c>
    </row>
    <row r="358" ht="15" customHeight="1" s="24">
      <c r="A358" s="27" t="n">
        <v>357</v>
      </c>
      <c r="B358" s="27" t="inlineStr">
        <is>
          <t>Christian Smith</t>
        </is>
      </c>
      <c r="C358" s="27" t="inlineStr">
        <is>
          <t>Western Cape</t>
        </is>
      </c>
      <c r="D358" s="27" t="inlineStr">
        <is>
          <t>Panel Van</t>
        </is>
      </c>
      <c r="E358" s="41" t="n">
        <v>43897</v>
      </c>
    </row>
    <row r="359" ht="15" customHeight="1" s="24">
      <c r="A359" s="27" t="n">
        <v>358</v>
      </c>
      <c r="B359" s="27" t="inlineStr">
        <is>
          <t>Joanna Wilson</t>
        </is>
      </c>
      <c r="C359" s="27" t="inlineStr">
        <is>
          <t>Eastern Cape</t>
        </is>
      </c>
      <c r="D359" s="27" t="inlineStr">
        <is>
          <t>Panel Van</t>
        </is>
      </c>
      <c r="E359" s="41" t="n">
        <v>44836</v>
      </c>
    </row>
    <row r="360" ht="15" customHeight="1" s="24">
      <c r="A360" s="27" t="n">
        <v>359</v>
      </c>
      <c r="B360" s="27" t="inlineStr">
        <is>
          <t>Mrs Gail Goodwin</t>
        </is>
      </c>
      <c r="C360" s="27" t="inlineStr">
        <is>
          <t>Limpopo</t>
        </is>
      </c>
      <c r="D360" s="27" t="inlineStr">
        <is>
          <t>4-Ton Truck</t>
        </is>
      </c>
      <c r="E360" s="41" t="n">
        <v>44684</v>
      </c>
    </row>
    <row r="361" ht="15" customHeight="1" s="24">
      <c r="A361" s="27" t="n">
        <v>360</v>
      </c>
      <c r="B361" s="27" t="inlineStr">
        <is>
          <t>Diane Thomas</t>
        </is>
      </c>
      <c r="C361" s="27" t="inlineStr">
        <is>
          <t>Eastern Cape</t>
        </is>
      </c>
      <c r="D361" s="27" t="inlineStr">
        <is>
          <t>Panel Van</t>
        </is>
      </c>
      <c r="E361" s="41" t="n">
        <v>45035</v>
      </c>
    </row>
    <row r="362" ht="15" customHeight="1" s="24">
      <c r="A362" s="27" t="n">
        <v>361</v>
      </c>
      <c r="B362" s="27" t="inlineStr">
        <is>
          <t>Dr Damien Holden</t>
        </is>
      </c>
      <c r="C362" s="27" t="inlineStr">
        <is>
          <t>Gauteng</t>
        </is>
      </c>
      <c r="D362" s="27" t="inlineStr">
        <is>
          <t>4-Ton Truck</t>
        </is>
      </c>
      <c r="E362" s="41" t="n">
        <v>45190</v>
      </c>
    </row>
    <row r="363" ht="15" customHeight="1" s="24">
      <c r="A363" s="27" t="n">
        <v>362</v>
      </c>
      <c r="B363" s="27" t="inlineStr">
        <is>
          <t>Dr Francis Richards</t>
        </is>
      </c>
      <c r="C363" s="27" t="inlineStr">
        <is>
          <t>Northern Cape</t>
        </is>
      </c>
      <c r="D363" s="27" t="inlineStr">
        <is>
          <t>Panel Van</t>
        </is>
      </c>
      <c r="E363" s="41" t="n">
        <v>43733</v>
      </c>
    </row>
    <row r="364" ht="15" customHeight="1" s="24">
      <c r="A364" s="27" t="n">
        <v>363</v>
      </c>
      <c r="B364" s="27" t="inlineStr">
        <is>
          <t>Julie Smith</t>
        </is>
      </c>
      <c r="C364" s="27" t="inlineStr">
        <is>
          <t>North West</t>
        </is>
      </c>
      <c r="D364" s="27" t="inlineStr">
        <is>
          <t>Panel Van</t>
        </is>
      </c>
      <c r="E364" s="41" t="n">
        <v>44279</v>
      </c>
    </row>
    <row r="365" ht="15" customHeight="1" s="24">
      <c r="A365" s="27" t="n">
        <v>364</v>
      </c>
      <c r="B365" s="27" t="inlineStr">
        <is>
          <t>Mr Henry Singh</t>
        </is>
      </c>
      <c r="C365" s="27" t="inlineStr">
        <is>
          <t>KwaZulu-Natal</t>
        </is>
      </c>
      <c r="D365" s="27" t="inlineStr">
        <is>
          <t>1-Ton Bakkie</t>
        </is>
      </c>
      <c r="E365" s="41" t="n">
        <v>43284</v>
      </c>
    </row>
    <row r="366" ht="15" customHeight="1" s="24">
      <c r="A366" s="27" t="n">
        <v>365</v>
      </c>
      <c r="B366" s="27" t="inlineStr">
        <is>
          <t>Arthur Davison</t>
        </is>
      </c>
      <c r="C366" s="27" t="inlineStr">
        <is>
          <t>Gauteng</t>
        </is>
      </c>
      <c r="D366" s="27" t="inlineStr">
        <is>
          <t>Motorcycle</t>
        </is>
      </c>
      <c r="E366" s="41" t="n">
        <v>45091</v>
      </c>
    </row>
    <row r="367" ht="15" customHeight="1" s="24">
      <c r="A367" s="27" t="n">
        <v>366</v>
      </c>
      <c r="B367" s="27" t="inlineStr">
        <is>
          <t>Dr Terence Hodgson</t>
        </is>
      </c>
      <c r="C367" s="27" t="inlineStr">
        <is>
          <t>Western Cape</t>
        </is>
      </c>
      <c r="D367" s="27" t="inlineStr">
        <is>
          <t>8-Ton Truck</t>
        </is>
      </c>
      <c r="E367" s="41" t="n">
        <v>44208</v>
      </c>
    </row>
    <row r="368" ht="15" customHeight="1" s="24">
      <c r="A368" s="27" t="n">
        <v>367</v>
      </c>
      <c r="B368" s="27" t="inlineStr">
        <is>
          <t>Alice Burton</t>
        </is>
      </c>
      <c r="C368" s="27" t="inlineStr">
        <is>
          <t>Mpumalanga</t>
        </is>
      </c>
      <c r="D368" s="27" t="inlineStr">
        <is>
          <t>Panel Van</t>
        </is>
      </c>
      <c r="E368" s="41" t="n">
        <v>43881</v>
      </c>
    </row>
    <row r="369" ht="15" customHeight="1" s="24">
      <c r="A369" s="27" t="n">
        <v>368</v>
      </c>
      <c r="B369" s="27" t="inlineStr">
        <is>
          <t>Dr Ryan Griffiths</t>
        </is>
      </c>
      <c r="C369" s="27" t="inlineStr">
        <is>
          <t>Mpumalanga</t>
        </is>
      </c>
      <c r="D369" s="27" t="inlineStr">
        <is>
          <t>Motorcycle</t>
        </is>
      </c>
      <c r="E369" s="41" t="n">
        <v>45216</v>
      </c>
    </row>
    <row r="370" ht="15" customHeight="1" s="24">
      <c r="A370" s="27" t="n">
        <v>369</v>
      </c>
      <c r="B370" s="27" t="inlineStr">
        <is>
          <t>Joel Wilkinson</t>
        </is>
      </c>
      <c r="C370" s="27" t="inlineStr">
        <is>
          <t>North West</t>
        </is>
      </c>
      <c r="D370" s="27" t="inlineStr">
        <is>
          <t>Panel Van</t>
        </is>
      </c>
      <c r="E370" s="41" t="n">
        <v>45816</v>
      </c>
    </row>
    <row r="371" ht="15" customHeight="1" s="24">
      <c r="A371" s="27" t="n">
        <v>370</v>
      </c>
      <c r="B371" s="27" t="inlineStr">
        <is>
          <t>Douglas Allen</t>
        </is>
      </c>
      <c r="C371" s="27" t="inlineStr">
        <is>
          <t>Free State</t>
        </is>
      </c>
      <c r="D371" s="27" t="inlineStr">
        <is>
          <t>1-Ton Bakkie</t>
        </is>
      </c>
      <c r="E371" s="41" t="n">
        <v>45648</v>
      </c>
    </row>
    <row r="372" ht="15" customHeight="1" s="24">
      <c r="A372" s="27" t="n">
        <v>371</v>
      </c>
      <c r="B372" s="27" t="inlineStr">
        <is>
          <t>Steven Harris-Winter</t>
        </is>
      </c>
      <c r="C372" s="27" t="inlineStr">
        <is>
          <t>Limpopo</t>
        </is>
      </c>
      <c r="D372" s="27" t="inlineStr">
        <is>
          <t>Motorcycle</t>
        </is>
      </c>
      <c r="E372" s="41" t="n">
        <v>43179</v>
      </c>
    </row>
    <row r="373" ht="15" customHeight="1" s="24">
      <c r="A373" s="27" t="n">
        <v>372</v>
      </c>
      <c r="B373" s="27" t="inlineStr">
        <is>
          <t>Ms Jemma Fletcher</t>
        </is>
      </c>
      <c r="C373" s="27" t="inlineStr">
        <is>
          <t>Gauteng</t>
        </is>
      </c>
      <c r="D373" s="27" t="inlineStr">
        <is>
          <t>Motorcycle</t>
        </is>
      </c>
      <c r="E373" s="41" t="n">
        <v>45414</v>
      </c>
    </row>
    <row r="374" ht="15" customHeight="1" s="24">
      <c r="A374" s="27" t="n">
        <v>373</v>
      </c>
      <c r="B374" s="27" t="inlineStr">
        <is>
          <t>Albert Cunningham</t>
        </is>
      </c>
      <c r="C374" s="27" t="inlineStr">
        <is>
          <t>Gauteng</t>
        </is>
      </c>
      <c r="D374" s="27" t="inlineStr">
        <is>
          <t>4-Ton Truck</t>
        </is>
      </c>
      <c r="E374" s="41" t="n">
        <v>44598</v>
      </c>
    </row>
    <row r="375" ht="15" customHeight="1" s="24">
      <c r="A375" s="27" t="n">
        <v>374</v>
      </c>
      <c r="B375" s="27" t="inlineStr">
        <is>
          <t>Mrs Marian Dunn</t>
        </is>
      </c>
      <c r="C375" s="27" t="inlineStr">
        <is>
          <t>Gauteng</t>
        </is>
      </c>
      <c r="D375" s="27" t="inlineStr">
        <is>
          <t>Panel Van</t>
        </is>
      </c>
      <c r="E375" s="41" t="n">
        <v>43095</v>
      </c>
    </row>
    <row r="376" ht="15" customHeight="1" s="24">
      <c r="A376" s="27" t="n">
        <v>375</v>
      </c>
      <c r="B376" s="27" t="inlineStr">
        <is>
          <t>Mr Gordon Wong</t>
        </is>
      </c>
      <c r="C376" s="27" t="inlineStr">
        <is>
          <t>Gauteng</t>
        </is>
      </c>
      <c r="D376" s="27" t="inlineStr">
        <is>
          <t>Motorcycle</t>
        </is>
      </c>
      <c r="E376" s="41" t="n">
        <v>44010</v>
      </c>
    </row>
    <row r="377" ht="15" customHeight="1" s="24">
      <c r="A377" s="27" t="n">
        <v>376</v>
      </c>
      <c r="B377" s="27" t="inlineStr">
        <is>
          <t>Ellie Cooper</t>
        </is>
      </c>
      <c r="C377" s="27" t="inlineStr">
        <is>
          <t>Gauteng</t>
        </is>
      </c>
      <c r="D377" s="27" t="inlineStr">
        <is>
          <t>Motorcycle</t>
        </is>
      </c>
      <c r="E377" s="41" t="n">
        <v>43467</v>
      </c>
    </row>
    <row r="378" ht="15" customHeight="1" s="24">
      <c r="A378" s="27" t="n">
        <v>377</v>
      </c>
      <c r="B378" s="27" t="inlineStr">
        <is>
          <t>Miss Julie Evans</t>
        </is>
      </c>
      <c r="C378" s="27" t="inlineStr">
        <is>
          <t>Western Cape</t>
        </is>
      </c>
      <c r="D378" s="27" t="inlineStr">
        <is>
          <t>1-Ton Bakkie</t>
        </is>
      </c>
      <c r="E378" s="41" t="n">
        <v>43584</v>
      </c>
    </row>
    <row r="379" ht="15" customHeight="1" s="24">
      <c r="A379" s="27" t="n">
        <v>378</v>
      </c>
      <c r="B379" s="27" t="inlineStr">
        <is>
          <t>Debra Smith</t>
        </is>
      </c>
      <c r="C379" s="27" t="inlineStr">
        <is>
          <t>Limpopo</t>
        </is>
      </c>
      <c r="D379" s="27" t="inlineStr">
        <is>
          <t>Panel Van</t>
        </is>
      </c>
      <c r="E379" s="41" t="n">
        <v>44762</v>
      </c>
    </row>
    <row r="380" ht="15" customHeight="1" s="24">
      <c r="A380" s="27" t="n">
        <v>379</v>
      </c>
      <c r="B380" s="27" t="inlineStr">
        <is>
          <t>Terry Webb</t>
        </is>
      </c>
      <c r="C380" s="27" t="inlineStr">
        <is>
          <t>Gauteng</t>
        </is>
      </c>
      <c r="D380" s="27" t="inlineStr">
        <is>
          <t>1-Ton Bakkie</t>
        </is>
      </c>
      <c r="E380" s="41" t="n">
        <v>44061</v>
      </c>
    </row>
    <row r="381" ht="15" customHeight="1" s="24">
      <c r="A381" s="27" t="n">
        <v>380</v>
      </c>
      <c r="B381" s="27" t="inlineStr">
        <is>
          <t>Mohammed Browne</t>
        </is>
      </c>
      <c r="C381" s="27" t="inlineStr">
        <is>
          <t>Mpumalanga</t>
        </is>
      </c>
      <c r="D381" s="27" t="inlineStr">
        <is>
          <t>8-Ton Truck</t>
        </is>
      </c>
      <c r="E381" s="41" t="n">
        <v>45068</v>
      </c>
    </row>
    <row r="382" ht="15" customHeight="1" s="24">
      <c r="A382" s="27" t="n">
        <v>381</v>
      </c>
      <c r="B382" s="27" t="inlineStr">
        <is>
          <t>Miss Sian Jarvis</t>
        </is>
      </c>
      <c r="C382" s="27" t="inlineStr">
        <is>
          <t>North West</t>
        </is>
      </c>
      <c r="D382" s="27" t="inlineStr">
        <is>
          <t>Motorcycle</t>
        </is>
      </c>
      <c r="E382" s="41" t="n">
        <v>45384</v>
      </c>
    </row>
    <row r="383" ht="15" customHeight="1" s="24">
      <c r="A383" s="27" t="n">
        <v>382</v>
      </c>
      <c r="B383" s="27" t="inlineStr">
        <is>
          <t>Dr Damien Jones</t>
        </is>
      </c>
      <c r="C383" s="27" t="inlineStr">
        <is>
          <t>Gauteng</t>
        </is>
      </c>
      <c r="D383" s="27" t="inlineStr">
        <is>
          <t>Motorcycle</t>
        </is>
      </c>
      <c r="E383" s="41" t="n">
        <v>42764</v>
      </c>
    </row>
    <row r="384" ht="15" customHeight="1" s="24">
      <c r="A384" s="27" t="n">
        <v>383</v>
      </c>
      <c r="B384" s="27" t="inlineStr">
        <is>
          <t>Mary Collins</t>
        </is>
      </c>
      <c r="C384" s="27" t="inlineStr">
        <is>
          <t>Gauteng</t>
        </is>
      </c>
      <c r="D384" s="27" t="inlineStr">
        <is>
          <t>Motorcycle</t>
        </is>
      </c>
      <c r="E384" s="41" t="n">
        <v>45444</v>
      </c>
    </row>
    <row r="385" ht="15" customHeight="1" s="24">
      <c r="A385" s="27" t="n">
        <v>384</v>
      </c>
      <c r="B385" s="27" t="inlineStr">
        <is>
          <t>Dr Jack Harris</t>
        </is>
      </c>
      <c r="C385" s="27" t="inlineStr">
        <is>
          <t>Western Cape</t>
        </is>
      </c>
      <c r="D385" s="27" t="inlineStr">
        <is>
          <t>Panel Van</t>
        </is>
      </c>
      <c r="E385" s="41" t="n">
        <v>43204</v>
      </c>
    </row>
    <row r="386" ht="15" customHeight="1" s="24">
      <c r="A386" s="27" t="n">
        <v>385</v>
      </c>
      <c r="B386" s="27" t="inlineStr">
        <is>
          <t>Caroline Young</t>
        </is>
      </c>
      <c r="C386" s="27" t="inlineStr">
        <is>
          <t>Mpumalanga</t>
        </is>
      </c>
      <c r="D386" s="27" t="inlineStr">
        <is>
          <t>Motorcycle</t>
        </is>
      </c>
      <c r="E386" s="41" t="n">
        <v>42755</v>
      </c>
    </row>
    <row r="387" ht="15" customHeight="1" s="24">
      <c r="A387" s="27" t="n">
        <v>386</v>
      </c>
      <c r="B387" s="27" t="inlineStr">
        <is>
          <t>Miss Molly Matthews</t>
        </is>
      </c>
      <c r="C387" s="27" t="inlineStr">
        <is>
          <t>Limpopo</t>
        </is>
      </c>
      <c r="D387" s="27" t="inlineStr">
        <is>
          <t>Panel Van</t>
        </is>
      </c>
      <c r="E387" s="41" t="n">
        <v>43044</v>
      </c>
    </row>
    <row r="388" ht="15" customHeight="1" s="24">
      <c r="A388" s="27" t="n">
        <v>387</v>
      </c>
      <c r="B388" s="27" t="inlineStr">
        <is>
          <t>Dr Malcolm Sims</t>
        </is>
      </c>
      <c r="C388" s="27" t="inlineStr">
        <is>
          <t>Gauteng</t>
        </is>
      </c>
      <c r="D388" s="27" t="inlineStr">
        <is>
          <t>1-Ton Bakkie</t>
        </is>
      </c>
      <c r="E388" s="41" t="n">
        <v>42902</v>
      </c>
    </row>
    <row r="389" ht="15" customHeight="1" s="24">
      <c r="A389" s="27" t="n">
        <v>388</v>
      </c>
      <c r="B389" s="27" t="inlineStr">
        <is>
          <t>Neil Hussain</t>
        </is>
      </c>
      <c r="C389" s="27" t="inlineStr">
        <is>
          <t>Eastern Cape</t>
        </is>
      </c>
      <c r="D389" s="27" t="inlineStr">
        <is>
          <t>Motorcycle</t>
        </is>
      </c>
      <c r="E389" s="41" t="n">
        <v>43856</v>
      </c>
    </row>
    <row r="390" ht="15" customHeight="1" s="24">
      <c r="A390" s="27" t="n">
        <v>389</v>
      </c>
      <c r="B390" s="27" t="inlineStr">
        <is>
          <t>Mr Toby Ross</t>
        </is>
      </c>
      <c r="C390" s="27" t="inlineStr">
        <is>
          <t>Mpumalanga</t>
        </is>
      </c>
      <c r="D390" s="27" t="inlineStr">
        <is>
          <t>4-Ton Truck</t>
        </is>
      </c>
      <c r="E390" s="41" t="n">
        <v>45494</v>
      </c>
    </row>
    <row r="391" ht="15" customHeight="1" s="24">
      <c r="A391" s="27" t="n">
        <v>390</v>
      </c>
      <c r="B391" s="27" t="inlineStr">
        <is>
          <t>Sheila Williams</t>
        </is>
      </c>
      <c r="C391" s="27" t="inlineStr">
        <is>
          <t>KwaZulu-Natal</t>
        </is>
      </c>
      <c r="D391" s="27" t="inlineStr">
        <is>
          <t>4-Ton Truck</t>
        </is>
      </c>
      <c r="E391" s="41" t="n">
        <v>44972</v>
      </c>
    </row>
    <row r="392" ht="15" customHeight="1" s="24">
      <c r="A392" s="27" t="n">
        <v>391</v>
      </c>
      <c r="B392" s="27" t="inlineStr">
        <is>
          <t>Dr Lorraine Cook</t>
        </is>
      </c>
      <c r="C392" s="27" t="inlineStr">
        <is>
          <t>Eastern Cape</t>
        </is>
      </c>
      <c r="D392" s="27" t="inlineStr">
        <is>
          <t>Panel Van</t>
        </is>
      </c>
      <c r="E392" s="41" t="n">
        <v>44188</v>
      </c>
    </row>
    <row r="393" ht="15" customHeight="1" s="24">
      <c r="A393" s="27" t="n">
        <v>392</v>
      </c>
      <c r="B393" s="27" t="inlineStr">
        <is>
          <t>Rachael Marshall</t>
        </is>
      </c>
      <c r="C393" s="27" t="inlineStr">
        <is>
          <t>Western Cape</t>
        </is>
      </c>
      <c r="D393" s="27" t="inlineStr">
        <is>
          <t>4-Ton Truck</t>
        </is>
      </c>
      <c r="E393" s="41" t="n">
        <v>45834</v>
      </c>
    </row>
    <row r="394" ht="15" customHeight="1" s="24">
      <c r="A394" s="27" t="n">
        <v>393</v>
      </c>
      <c r="B394" s="27" t="inlineStr">
        <is>
          <t>Miss Patricia Wood</t>
        </is>
      </c>
      <c r="C394" s="27" t="inlineStr">
        <is>
          <t>Gauteng</t>
        </is>
      </c>
      <c r="D394" s="27" t="inlineStr">
        <is>
          <t>1-Ton Bakkie</t>
        </is>
      </c>
      <c r="E394" s="41" t="n">
        <v>44336</v>
      </c>
    </row>
    <row r="395" ht="15" customHeight="1" s="24">
      <c r="A395" s="27" t="n">
        <v>394</v>
      </c>
      <c r="B395" s="27" t="inlineStr">
        <is>
          <t>Alexandra Foster</t>
        </is>
      </c>
      <c r="C395" s="27" t="inlineStr">
        <is>
          <t>North West</t>
        </is>
      </c>
      <c r="D395" s="27" t="inlineStr">
        <is>
          <t>Panel Van</t>
        </is>
      </c>
      <c r="E395" s="41" t="n">
        <v>43030</v>
      </c>
    </row>
    <row r="396" ht="15" customHeight="1" s="24">
      <c r="A396" s="27" t="n">
        <v>395</v>
      </c>
      <c r="B396" s="27" t="inlineStr">
        <is>
          <t>Mr Abdul Harris</t>
        </is>
      </c>
      <c r="C396" s="27" t="inlineStr">
        <is>
          <t>Gauteng</t>
        </is>
      </c>
      <c r="D396" s="27" t="inlineStr">
        <is>
          <t>Panel Van</t>
        </is>
      </c>
      <c r="E396" s="41" t="n">
        <v>42800</v>
      </c>
    </row>
    <row r="397" ht="15" customHeight="1" s="24">
      <c r="A397" s="27" t="n">
        <v>396</v>
      </c>
      <c r="B397" s="27" t="inlineStr">
        <is>
          <t>Hannah Mills</t>
        </is>
      </c>
      <c r="C397" s="27" t="inlineStr">
        <is>
          <t>Mpumalanga</t>
        </is>
      </c>
      <c r="D397" s="27" t="inlineStr">
        <is>
          <t>Motorcycle</t>
        </is>
      </c>
      <c r="E397" s="41" t="n">
        <v>44398</v>
      </c>
    </row>
    <row r="398" ht="15" customHeight="1" s="24">
      <c r="A398" s="27" t="n">
        <v>397</v>
      </c>
      <c r="B398" s="27" t="inlineStr">
        <is>
          <t>Natasha Williams-Edwards</t>
        </is>
      </c>
      <c r="C398" s="27" t="inlineStr">
        <is>
          <t>Limpopo</t>
        </is>
      </c>
      <c r="D398" s="27" t="inlineStr">
        <is>
          <t>Panel Van</t>
        </is>
      </c>
      <c r="E398" s="41" t="n">
        <v>43475</v>
      </c>
    </row>
    <row r="399" ht="15" customHeight="1" s="24">
      <c r="A399" s="27" t="n">
        <v>398</v>
      </c>
      <c r="B399" s="27" t="inlineStr">
        <is>
          <t>Beth Williams</t>
        </is>
      </c>
      <c r="C399" s="27" t="inlineStr">
        <is>
          <t>Gauteng</t>
        </is>
      </c>
      <c r="D399" s="27" t="inlineStr">
        <is>
          <t>4-Ton Truck</t>
        </is>
      </c>
      <c r="E399" s="41" t="n">
        <v>43959</v>
      </c>
    </row>
    <row r="400" ht="15" customHeight="1" s="24">
      <c r="A400" s="27" t="n">
        <v>399</v>
      </c>
      <c r="B400" s="27" t="inlineStr">
        <is>
          <t>Michael Wood</t>
        </is>
      </c>
      <c r="C400" s="27" t="inlineStr">
        <is>
          <t>Limpopo</t>
        </is>
      </c>
      <c r="D400" s="27" t="inlineStr">
        <is>
          <t>Panel Van</t>
        </is>
      </c>
      <c r="E400" s="41" t="n">
        <v>43752</v>
      </c>
    </row>
    <row r="401" ht="15" customHeight="1" s="24">
      <c r="A401" s="27" t="n">
        <v>400</v>
      </c>
      <c r="B401" s="27" t="inlineStr">
        <is>
          <t>Dr Valerie Dawson</t>
        </is>
      </c>
      <c r="C401" s="27" t="inlineStr">
        <is>
          <t>Gauteng</t>
        </is>
      </c>
      <c r="D401" s="27" t="inlineStr">
        <is>
          <t>Panel Van</t>
        </is>
      </c>
      <c r="E401" s="41" t="n">
        <v>44044</v>
      </c>
    </row>
    <row r="402" ht="15" customHeight="1" s="24">
      <c r="A402" s="27" t="n">
        <v>401</v>
      </c>
      <c r="B402" s="27" t="inlineStr">
        <is>
          <t>Mr Ian Davies</t>
        </is>
      </c>
      <c r="C402" s="27" t="inlineStr">
        <is>
          <t>Gauteng</t>
        </is>
      </c>
      <c r="D402" s="27" t="inlineStr">
        <is>
          <t>1-Ton Bakkie</t>
        </is>
      </c>
      <c r="E402" s="41" t="n">
        <v>45896</v>
      </c>
    </row>
    <row r="403" ht="15" customHeight="1" s="24">
      <c r="A403" s="27" t="n">
        <v>402</v>
      </c>
      <c r="B403" s="27" t="inlineStr">
        <is>
          <t>Miss Molly Roberts</t>
        </is>
      </c>
      <c r="C403" s="27" t="inlineStr">
        <is>
          <t>KwaZulu-Natal</t>
        </is>
      </c>
      <c r="D403" s="27" t="inlineStr">
        <is>
          <t>8-Ton Truck</t>
        </is>
      </c>
      <c r="E403" s="41" t="n">
        <v>42959</v>
      </c>
    </row>
    <row r="404" ht="15" customHeight="1" s="24">
      <c r="A404" s="27" t="n">
        <v>403</v>
      </c>
      <c r="B404" s="27" t="inlineStr">
        <is>
          <t>Jason Watson</t>
        </is>
      </c>
      <c r="C404" s="27" t="inlineStr">
        <is>
          <t>North West</t>
        </is>
      </c>
      <c r="D404" s="27" t="inlineStr">
        <is>
          <t>Motorcycle</t>
        </is>
      </c>
      <c r="E404" s="41" t="n">
        <v>43094</v>
      </c>
    </row>
    <row r="405" ht="15" customHeight="1" s="24">
      <c r="A405" s="27" t="n">
        <v>404</v>
      </c>
      <c r="B405" s="27" t="inlineStr">
        <is>
          <t>Katy Davies</t>
        </is>
      </c>
      <c r="C405" s="27" t="inlineStr">
        <is>
          <t>North West</t>
        </is>
      </c>
      <c r="D405" s="27" t="inlineStr">
        <is>
          <t>Panel Van</t>
        </is>
      </c>
      <c r="E405" s="41" t="n">
        <v>43683</v>
      </c>
    </row>
    <row r="406" ht="15" customHeight="1" s="24">
      <c r="A406" s="27" t="n">
        <v>405</v>
      </c>
      <c r="B406" s="27" t="inlineStr">
        <is>
          <t>Andrew Clarke</t>
        </is>
      </c>
      <c r="C406" s="27" t="inlineStr">
        <is>
          <t>KwaZulu-Natal</t>
        </is>
      </c>
      <c r="D406" s="27" t="inlineStr">
        <is>
          <t>Motorcycle</t>
        </is>
      </c>
      <c r="E406" s="41" t="n">
        <v>45175</v>
      </c>
    </row>
    <row r="407" ht="15" customHeight="1" s="24">
      <c r="A407" s="27" t="n">
        <v>406</v>
      </c>
      <c r="B407" s="27" t="inlineStr">
        <is>
          <t>Josephine Owen</t>
        </is>
      </c>
      <c r="C407" s="27" t="inlineStr">
        <is>
          <t>Western Cape</t>
        </is>
      </c>
      <c r="D407" s="27" t="inlineStr">
        <is>
          <t>8-Ton Truck</t>
        </is>
      </c>
      <c r="E407" s="41" t="n">
        <v>43565</v>
      </c>
    </row>
    <row r="408" ht="15" customHeight="1" s="24">
      <c r="A408" s="27" t="n">
        <v>407</v>
      </c>
      <c r="B408" s="27" t="inlineStr">
        <is>
          <t>Mrs Sylvia Dyer</t>
        </is>
      </c>
      <c r="C408" s="27" t="inlineStr">
        <is>
          <t>Northern Cape</t>
        </is>
      </c>
      <c r="D408" s="27" t="inlineStr">
        <is>
          <t>Panel Van</t>
        </is>
      </c>
      <c r="E408" s="41" t="n">
        <v>43554</v>
      </c>
    </row>
    <row r="409" ht="15" customHeight="1" s="24">
      <c r="A409" s="27" t="n">
        <v>408</v>
      </c>
      <c r="B409" s="27" t="inlineStr">
        <is>
          <t>Jeffrey Patel</t>
        </is>
      </c>
      <c r="C409" s="27" t="inlineStr">
        <is>
          <t>Eastern Cape</t>
        </is>
      </c>
      <c r="D409" s="27" t="inlineStr">
        <is>
          <t>Motorcycle</t>
        </is>
      </c>
      <c r="E409" s="41" t="n">
        <v>45095</v>
      </c>
    </row>
    <row r="410" ht="15" customHeight="1" s="24">
      <c r="A410" s="27" t="n">
        <v>409</v>
      </c>
      <c r="B410" s="27" t="inlineStr">
        <is>
          <t>Mr Mitchell Khan</t>
        </is>
      </c>
      <c r="C410" s="27" t="inlineStr">
        <is>
          <t>Gauteng</t>
        </is>
      </c>
      <c r="D410" s="27" t="inlineStr">
        <is>
          <t>1-Ton Bakkie</t>
        </is>
      </c>
      <c r="E410" s="41" t="n">
        <v>44712</v>
      </c>
    </row>
    <row r="411" ht="15" customHeight="1" s="24">
      <c r="A411" s="27" t="n">
        <v>410</v>
      </c>
      <c r="B411" s="27" t="inlineStr">
        <is>
          <t>Dr Sally Brooks</t>
        </is>
      </c>
      <c r="C411" s="27" t="inlineStr">
        <is>
          <t>KwaZulu-Natal</t>
        </is>
      </c>
      <c r="D411" s="27" t="inlineStr">
        <is>
          <t>Panel Van</t>
        </is>
      </c>
      <c r="E411" s="41" t="n">
        <v>44844</v>
      </c>
    </row>
    <row r="412" ht="15" customHeight="1" s="24">
      <c r="A412" s="27" t="n">
        <v>411</v>
      </c>
      <c r="B412" s="27" t="inlineStr">
        <is>
          <t>Amy Payne</t>
        </is>
      </c>
      <c r="C412" s="27" t="inlineStr">
        <is>
          <t>KwaZulu-Natal</t>
        </is>
      </c>
      <c r="D412" s="27" t="inlineStr">
        <is>
          <t>Motorcycle</t>
        </is>
      </c>
      <c r="E412" s="41" t="n">
        <v>44902</v>
      </c>
    </row>
    <row r="413" ht="15" customHeight="1" s="24">
      <c r="A413" s="27" t="n">
        <v>412</v>
      </c>
      <c r="B413" s="27" t="inlineStr">
        <is>
          <t>Rachael Weston</t>
        </is>
      </c>
      <c r="C413" s="27" t="inlineStr">
        <is>
          <t>KwaZulu-Natal</t>
        </is>
      </c>
      <c r="D413" s="27" t="inlineStr">
        <is>
          <t>4-Ton Truck</t>
        </is>
      </c>
      <c r="E413" s="41" t="n">
        <v>44826</v>
      </c>
    </row>
    <row r="414" ht="15" customHeight="1" s="24">
      <c r="A414" s="27" t="n">
        <v>413</v>
      </c>
      <c r="B414" s="27" t="inlineStr">
        <is>
          <t>Darren Smith</t>
        </is>
      </c>
      <c r="C414" s="27" t="inlineStr">
        <is>
          <t>Western Cape</t>
        </is>
      </c>
      <c r="D414" s="27" t="inlineStr">
        <is>
          <t>1-Ton Bakkie</t>
        </is>
      </c>
      <c r="E414" s="41" t="n">
        <v>44560</v>
      </c>
    </row>
    <row r="415" ht="15" customHeight="1" s="24">
      <c r="A415" s="27" t="n">
        <v>414</v>
      </c>
      <c r="B415" s="27" t="inlineStr">
        <is>
          <t>Lindsey Williams-Turner</t>
        </is>
      </c>
      <c r="C415" s="27" t="inlineStr">
        <is>
          <t>Limpopo</t>
        </is>
      </c>
      <c r="D415" s="27" t="inlineStr">
        <is>
          <t>Motorcycle</t>
        </is>
      </c>
      <c r="E415" s="41" t="n">
        <v>44441</v>
      </c>
    </row>
    <row r="416" ht="15" customHeight="1" s="24">
      <c r="A416" s="27" t="n">
        <v>415</v>
      </c>
      <c r="B416" s="27" t="inlineStr">
        <is>
          <t>Rita Bell-Hughes</t>
        </is>
      </c>
      <c r="C416" s="27" t="inlineStr">
        <is>
          <t>Limpopo</t>
        </is>
      </c>
      <c r="D416" s="27" t="inlineStr">
        <is>
          <t>8-Ton Truck</t>
        </is>
      </c>
      <c r="E416" s="41" t="n">
        <v>45255</v>
      </c>
    </row>
    <row r="417" ht="15" customHeight="1" s="24">
      <c r="A417" s="27" t="n">
        <v>416</v>
      </c>
      <c r="B417" s="27" t="inlineStr">
        <is>
          <t>Mary Davis</t>
        </is>
      </c>
      <c r="C417" s="27" t="inlineStr">
        <is>
          <t>KwaZulu-Natal</t>
        </is>
      </c>
      <c r="D417" s="27" t="inlineStr">
        <is>
          <t>Motorcycle</t>
        </is>
      </c>
      <c r="E417" s="41" t="n">
        <v>43859</v>
      </c>
    </row>
    <row r="418" ht="15" customHeight="1" s="24">
      <c r="A418" s="27" t="n">
        <v>417</v>
      </c>
      <c r="B418" s="27" t="inlineStr">
        <is>
          <t>Nicholas Sutton</t>
        </is>
      </c>
      <c r="C418" s="27" t="inlineStr">
        <is>
          <t>Limpopo</t>
        </is>
      </c>
      <c r="D418" s="27" t="inlineStr">
        <is>
          <t>Motorcycle</t>
        </is>
      </c>
      <c r="E418" s="41" t="n">
        <v>43793</v>
      </c>
    </row>
    <row r="419" ht="15" customHeight="1" s="24">
      <c r="A419" s="27" t="n">
        <v>418</v>
      </c>
      <c r="B419" s="27" t="inlineStr">
        <is>
          <t>Samuel Barker</t>
        </is>
      </c>
      <c r="C419" s="27" t="inlineStr">
        <is>
          <t>Western Cape</t>
        </is>
      </c>
      <c r="D419" s="27" t="inlineStr">
        <is>
          <t>Panel Van</t>
        </is>
      </c>
      <c r="E419" s="41" t="n">
        <v>43536</v>
      </c>
    </row>
    <row r="420" ht="15" customHeight="1" s="24">
      <c r="A420" s="27" t="n">
        <v>419</v>
      </c>
      <c r="B420" s="27" t="inlineStr">
        <is>
          <t>Dr Brett Ward</t>
        </is>
      </c>
      <c r="C420" s="27" t="inlineStr">
        <is>
          <t>Limpopo</t>
        </is>
      </c>
      <c r="D420" s="27" t="inlineStr">
        <is>
          <t>Motorcycle</t>
        </is>
      </c>
      <c r="E420" s="41" t="n">
        <v>45463</v>
      </c>
    </row>
    <row r="421" ht="15" customHeight="1" s="24">
      <c r="A421" s="27" t="n">
        <v>420</v>
      </c>
      <c r="B421" s="27" t="inlineStr">
        <is>
          <t>Harriet Freeman</t>
        </is>
      </c>
      <c r="C421" s="27" t="inlineStr">
        <is>
          <t>Gauteng</t>
        </is>
      </c>
      <c r="D421" s="27" t="inlineStr">
        <is>
          <t>Panel Van</t>
        </is>
      </c>
      <c r="E421" s="41" t="n">
        <v>42773</v>
      </c>
    </row>
    <row r="422" ht="15" customHeight="1" s="24">
      <c r="A422" s="27" t="n">
        <v>421</v>
      </c>
      <c r="B422" s="27" t="inlineStr">
        <is>
          <t>Tracy Ellis-Bennett</t>
        </is>
      </c>
      <c r="C422" s="27" t="inlineStr">
        <is>
          <t>KwaZulu-Natal</t>
        </is>
      </c>
      <c r="D422" s="27" t="inlineStr">
        <is>
          <t>Panel Van</t>
        </is>
      </c>
      <c r="E422" s="41" t="n">
        <v>43423</v>
      </c>
    </row>
    <row r="423" ht="15" customHeight="1" s="24">
      <c r="A423" s="27" t="n">
        <v>422</v>
      </c>
      <c r="B423" s="27" t="inlineStr">
        <is>
          <t>Nicholas James</t>
        </is>
      </c>
      <c r="C423" s="27" t="inlineStr">
        <is>
          <t>KwaZulu-Natal</t>
        </is>
      </c>
      <c r="D423" s="27" t="inlineStr">
        <is>
          <t>Motorcycle</t>
        </is>
      </c>
      <c r="E423" s="41" t="n">
        <v>43221</v>
      </c>
    </row>
    <row r="424" ht="15" customHeight="1" s="24">
      <c r="A424" s="27" t="n">
        <v>423</v>
      </c>
      <c r="B424" s="27" t="inlineStr">
        <is>
          <t>Nathan O'Neill</t>
        </is>
      </c>
      <c r="C424" s="27" t="inlineStr">
        <is>
          <t>KwaZulu-Natal</t>
        </is>
      </c>
      <c r="D424" s="27" t="inlineStr">
        <is>
          <t>8-Ton Truck</t>
        </is>
      </c>
      <c r="E424" s="41" t="n">
        <v>43963</v>
      </c>
    </row>
    <row r="425" ht="15" customHeight="1" s="24">
      <c r="A425" s="27" t="n">
        <v>424</v>
      </c>
      <c r="B425" s="27" t="inlineStr">
        <is>
          <t>Diane Smith</t>
        </is>
      </c>
      <c r="C425" s="27" t="inlineStr">
        <is>
          <t>Limpopo</t>
        </is>
      </c>
      <c r="D425" s="27" t="inlineStr">
        <is>
          <t>Panel Van</t>
        </is>
      </c>
      <c r="E425" s="41" t="n">
        <v>43458</v>
      </c>
    </row>
    <row r="426" ht="15" customHeight="1" s="24">
      <c r="A426" s="27" t="n">
        <v>425</v>
      </c>
      <c r="B426" s="27" t="inlineStr">
        <is>
          <t>James Evans</t>
        </is>
      </c>
      <c r="C426" s="27" t="inlineStr">
        <is>
          <t>Western Cape</t>
        </is>
      </c>
      <c r="D426" s="27" t="inlineStr">
        <is>
          <t>Panel Van</t>
        </is>
      </c>
      <c r="E426" s="41" t="n">
        <v>44395</v>
      </c>
    </row>
    <row r="427" ht="15" customHeight="1" s="24">
      <c r="A427" s="27" t="n">
        <v>426</v>
      </c>
      <c r="B427" s="27" t="inlineStr">
        <is>
          <t>Jeffrey Jones</t>
        </is>
      </c>
      <c r="C427" s="27" t="inlineStr">
        <is>
          <t>KwaZulu-Natal</t>
        </is>
      </c>
      <c r="D427" s="27" t="inlineStr">
        <is>
          <t>Motorcycle</t>
        </is>
      </c>
      <c r="E427" s="41" t="n">
        <v>45940</v>
      </c>
    </row>
    <row r="428" ht="15" customHeight="1" s="24">
      <c r="A428" s="27" t="n">
        <v>427</v>
      </c>
      <c r="B428" s="27" t="inlineStr">
        <is>
          <t>Gary Blackburn</t>
        </is>
      </c>
      <c r="C428" s="27" t="inlineStr">
        <is>
          <t>Western Cape</t>
        </is>
      </c>
      <c r="D428" s="27" t="inlineStr">
        <is>
          <t>4-Ton Truck</t>
        </is>
      </c>
      <c r="E428" s="41" t="n">
        <v>44139</v>
      </c>
    </row>
    <row r="429" ht="15" customHeight="1" s="24">
      <c r="A429" s="27" t="n">
        <v>428</v>
      </c>
      <c r="B429" s="27" t="inlineStr">
        <is>
          <t>Charlotte Gordon</t>
        </is>
      </c>
      <c r="C429" s="27" t="inlineStr">
        <is>
          <t>Limpopo</t>
        </is>
      </c>
      <c r="D429" s="27" t="inlineStr">
        <is>
          <t>Motorcycle</t>
        </is>
      </c>
      <c r="E429" s="41" t="n">
        <v>45923</v>
      </c>
    </row>
    <row r="430" ht="15" customHeight="1" s="24">
      <c r="A430" s="27" t="n">
        <v>429</v>
      </c>
      <c r="B430" s="27" t="inlineStr">
        <is>
          <t>Shane Carey-Hilton</t>
        </is>
      </c>
      <c r="C430" s="27" t="inlineStr">
        <is>
          <t>Eastern Cape</t>
        </is>
      </c>
      <c r="D430" s="27" t="inlineStr">
        <is>
          <t>Motorcycle</t>
        </is>
      </c>
      <c r="E430" s="41" t="n">
        <v>43750</v>
      </c>
    </row>
    <row r="431" ht="15" customHeight="1" s="24">
      <c r="A431" s="27" t="n">
        <v>430</v>
      </c>
      <c r="B431" s="27" t="inlineStr">
        <is>
          <t>Mr Philip Page</t>
        </is>
      </c>
      <c r="C431" s="27" t="inlineStr">
        <is>
          <t>Limpopo</t>
        </is>
      </c>
      <c r="D431" s="27" t="inlineStr">
        <is>
          <t>4-Ton Truck</t>
        </is>
      </c>
      <c r="E431" s="41" t="n">
        <v>45257</v>
      </c>
    </row>
    <row r="432" ht="15" customHeight="1" s="24">
      <c r="A432" s="27" t="n">
        <v>431</v>
      </c>
      <c r="B432" s="27" t="inlineStr">
        <is>
          <t>Alan Power</t>
        </is>
      </c>
      <c r="C432" s="27" t="inlineStr">
        <is>
          <t>Mpumalanga</t>
        </is>
      </c>
      <c r="D432" s="27" t="inlineStr">
        <is>
          <t>Motorcycle</t>
        </is>
      </c>
      <c r="E432" s="41" t="n">
        <v>43189</v>
      </c>
    </row>
    <row r="433" ht="15" customHeight="1" s="24">
      <c r="A433" s="27" t="n">
        <v>432</v>
      </c>
      <c r="B433" s="27" t="inlineStr">
        <is>
          <t>Garry Ward</t>
        </is>
      </c>
      <c r="C433" s="27" t="inlineStr">
        <is>
          <t>Limpopo</t>
        </is>
      </c>
      <c r="D433" s="27" t="inlineStr">
        <is>
          <t>4-Ton Truck</t>
        </is>
      </c>
      <c r="E433" s="41" t="n">
        <v>44740</v>
      </c>
    </row>
    <row r="434" ht="15" customHeight="1" s="24">
      <c r="A434" s="27" t="n">
        <v>433</v>
      </c>
      <c r="B434" s="27" t="inlineStr">
        <is>
          <t>Mr Gary Williams</t>
        </is>
      </c>
      <c r="C434" s="27" t="inlineStr">
        <is>
          <t>Gauteng</t>
        </is>
      </c>
      <c r="D434" s="27" t="inlineStr">
        <is>
          <t>Panel Van</t>
        </is>
      </c>
      <c r="E434" s="41" t="n">
        <v>45204</v>
      </c>
    </row>
    <row r="435" ht="15" customHeight="1" s="24">
      <c r="A435" s="27" t="n">
        <v>434</v>
      </c>
      <c r="B435" s="27" t="inlineStr">
        <is>
          <t>Mr Benjamin Joyce</t>
        </is>
      </c>
      <c r="C435" s="27" t="inlineStr">
        <is>
          <t>Mpumalanga</t>
        </is>
      </c>
      <c r="D435" s="27" t="inlineStr">
        <is>
          <t>4-Ton Truck</t>
        </is>
      </c>
      <c r="E435" s="41" t="n">
        <v>44933</v>
      </c>
    </row>
    <row r="436" ht="15" customHeight="1" s="24">
      <c r="A436" s="27" t="n">
        <v>435</v>
      </c>
      <c r="B436" s="27" t="inlineStr">
        <is>
          <t>Jennifer Wade-Hudson</t>
        </is>
      </c>
      <c r="C436" s="27" t="inlineStr">
        <is>
          <t>KwaZulu-Natal</t>
        </is>
      </c>
      <c r="D436" s="27" t="inlineStr">
        <is>
          <t>Motorcycle</t>
        </is>
      </c>
      <c r="E436" s="41" t="n">
        <v>45816</v>
      </c>
    </row>
    <row r="437" ht="15" customHeight="1" s="24">
      <c r="A437" s="27" t="n">
        <v>436</v>
      </c>
      <c r="B437" s="27" t="inlineStr">
        <is>
          <t>Debra May</t>
        </is>
      </c>
      <c r="C437" s="27" t="inlineStr">
        <is>
          <t>Eastern Cape</t>
        </is>
      </c>
      <c r="D437" s="27" t="inlineStr">
        <is>
          <t>8-Ton Truck</t>
        </is>
      </c>
      <c r="E437" s="41" t="n">
        <v>44708</v>
      </c>
    </row>
    <row r="438" ht="15" customHeight="1" s="24">
      <c r="A438" s="27" t="n">
        <v>437</v>
      </c>
      <c r="B438" s="27" t="inlineStr">
        <is>
          <t>Patrick Baker</t>
        </is>
      </c>
      <c r="C438" s="27" t="inlineStr">
        <is>
          <t>Northern Cape</t>
        </is>
      </c>
      <c r="D438" s="27" t="inlineStr">
        <is>
          <t>Motorcycle</t>
        </is>
      </c>
      <c r="E438" s="41" t="n">
        <v>44662</v>
      </c>
    </row>
    <row r="439" ht="15" customHeight="1" s="24">
      <c r="A439" s="27" t="n">
        <v>438</v>
      </c>
      <c r="B439" s="27" t="inlineStr">
        <is>
          <t>Sandra Woods-Walton</t>
        </is>
      </c>
      <c r="C439" s="27" t="inlineStr">
        <is>
          <t>KwaZulu-Natal</t>
        </is>
      </c>
      <c r="D439" s="27" t="inlineStr">
        <is>
          <t>Motorcycle</t>
        </is>
      </c>
      <c r="E439" s="41" t="n">
        <v>44860</v>
      </c>
    </row>
    <row r="440" ht="15" customHeight="1" s="24">
      <c r="A440" s="27" t="n">
        <v>439</v>
      </c>
      <c r="B440" s="27" t="inlineStr">
        <is>
          <t>Aimee Stokes</t>
        </is>
      </c>
      <c r="C440" s="27" t="inlineStr">
        <is>
          <t>KwaZulu-Natal</t>
        </is>
      </c>
      <c r="D440" s="27" t="inlineStr">
        <is>
          <t>1-Ton Bakkie</t>
        </is>
      </c>
      <c r="E440" s="41" t="n">
        <v>43897</v>
      </c>
    </row>
    <row r="441" ht="15" customHeight="1" s="24">
      <c r="A441" s="27" t="n">
        <v>440</v>
      </c>
      <c r="B441" s="27" t="inlineStr">
        <is>
          <t>Jordan Kerr</t>
        </is>
      </c>
      <c r="C441" s="27" t="inlineStr">
        <is>
          <t>Gauteng</t>
        </is>
      </c>
      <c r="D441" s="27" t="inlineStr">
        <is>
          <t>Motorcycle</t>
        </is>
      </c>
      <c r="E441" s="41" t="n">
        <v>43456</v>
      </c>
    </row>
    <row r="442" ht="15" customHeight="1" s="24">
      <c r="A442" s="27" t="n">
        <v>441</v>
      </c>
      <c r="B442" s="27" t="inlineStr">
        <is>
          <t>Naomi Howarth</t>
        </is>
      </c>
      <c r="C442" s="27" t="inlineStr">
        <is>
          <t>Northern Cape</t>
        </is>
      </c>
      <c r="D442" s="27" t="inlineStr">
        <is>
          <t>Panel Van</t>
        </is>
      </c>
      <c r="E442" s="41" t="n">
        <v>45710</v>
      </c>
    </row>
    <row r="443" ht="15" customHeight="1" s="24">
      <c r="A443" s="27" t="n">
        <v>442</v>
      </c>
      <c r="B443" s="27" t="inlineStr">
        <is>
          <t>Chloe Slater</t>
        </is>
      </c>
      <c r="C443" s="27" t="inlineStr">
        <is>
          <t>KwaZulu-Natal</t>
        </is>
      </c>
      <c r="D443" s="27" t="inlineStr">
        <is>
          <t>Panel Van</t>
        </is>
      </c>
      <c r="E443" s="41" t="n">
        <v>45944</v>
      </c>
    </row>
    <row r="444" ht="15" customHeight="1" s="24">
      <c r="A444" s="27" t="n">
        <v>443</v>
      </c>
      <c r="B444" s="27" t="inlineStr">
        <is>
          <t>Josh Haynes-Bennett</t>
        </is>
      </c>
      <c r="C444" s="27" t="inlineStr">
        <is>
          <t>Limpopo</t>
        </is>
      </c>
      <c r="D444" s="27" t="inlineStr">
        <is>
          <t>Motorcycle</t>
        </is>
      </c>
      <c r="E444" s="41" t="n">
        <v>45795</v>
      </c>
    </row>
    <row r="445" ht="15" customHeight="1" s="24">
      <c r="A445" s="27" t="n">
        <v>444</v>
      </c>
      <c r="B445" s="27" t="inlineStr">
        <is>
          <t>Lauren Francis</t>
        </is>
      </c>
      <c r="C445" s="27" t="inlineStr">
        <is>
          <t>Gauteng</t>
        </is>
      </c>
      <c r="D445" s="27" t="inlineStr">
        <is>
          <t>Motorcycle</t>
        </is>
      </c>
      <c r="E445" s="41" t="n">
        <v>45221</v>
      </c>
    </row>
    <row r="446" ht="15" customHeight="1" s="24">
      <c r="A446" s="27" t="n">
        <v>445</v>
      </c>
      <c r="B446" s="27" t="inlineStr">
        <is>
          <t>Gerard Pritchard</t>
        </is>
      </c>
      <c r="C446" s="27" t="inlineStr">
        <is>
          <t>Gauteng</t>
        </is>
      </c>
      <c r="D446" s="27" t="inlineStr">
        <is>
          <t>Panel Van</t>
        </is>
      </c>
      <c r="E446" s="41" t="n">
        <v>43470</v>
      </c>
    </row>
    <row r="447" ht="15" customHeight="1" s="24">
      <c r="A447" s="27" t="n">
        <v>446</v>
      </c>
      <c r="B447" s="27" t="inlineStr">
        <is>
          <t>Jemma Fletcher</t>
        </is>
      </c>
      <c r="C447" s="27" t="inlineStr">
        <is>
          <t>Gauteng</t>
        </is>
      </c>
      <c r="D447" s="27" t="inlineStr">
        <is>
          <t>Panel Van</t>
        </is>
      </c>
      <c r="E447" s="41" t="n">
        <v>43505</v>
      </c>
    </row>
    <row r="448" ht="15" customHeight="1" s="24">
      <c r="A448" s="27" t="n">
        <v>447</v>
      </c>
      <c r="B448" s="27" t="inlineStr">
        <is>
          <t>Stephen Stephenson</t>
        </is>
      </c>
      <c r="C448" s="27" t="inlineStr">
        <is>
          <t>Mpumalanga</t>
        </is>
      </c>
      <c r="D448" s="27" t="inlineStr">
        <is>
          <t>Panel Van</t>
        </is>
      </c>
      <c r="E448" s="41" t="n">
        <v>43752</v>
      </c>
    </row>
    <row r="449" ht="15" customHeight="1" s="24">
      <c r="A449" s="27" t="n">
        <v>448</v>
      </c>
      <c r="B449" s="27" t="inlineStr">
        <is>
          <t>Abdul Harris</t>
        </is>
      </c>
      <c r="C449" s="27" t="inlineStr">
        <is>
          <t>Gauteng</t>
        </is>
      </c>
      <c r="D449" s="27" t="inlineStr">
        <is>
          <t>1-Ton Bakkie</t>
        </is>
      </c>
      <c r="E449" s="41" t="n">
        <v>44423</v>
      </c>
    </row>
    <row r="450" ht="15" customHeight="1" s="24">
      <c r="A450" s="27" t="n">
        <v>449</v>
      </c>
      <c r="B450" s="27" t="inlineStr">
        <is>
          <t>Jodie Smith-Gough</t>
        </is>
      </c>
      <c r="C450" s="27" t="inlineStr">
        <is>
          <t>North West</t>
        </is>
      </c>
      <c r="D450" s="27" t="inlineStr">
        <is>
          <t>Panel Van</t>
        </is>
      </c>
      <c r="E450" s="41" t="n">
        <v>43511</v>
      </c>
    </row>
    <row r="451" ht="15" customHeight="1" s="24">
      <c r="A451" s="27" t="n">
        <v>450</v>
      </c>
      <c r="B451" s="27" t="inlineStr">
        <is>
          <t>Miss Carole Ford</t>
        </is>
      </c>
      <c r="C451" s="27" t="inlineStr">
        <is>
          <t>Eastern Cape</t>
        </is>
      </c>
      <c r="D451" s="27" t="inlineStr">
        <is>
          <t>Panel Van</t>
        </is>
      </c>
      <c r="E451" s="41" t="n">
        <v>45328</v>
      </c>
    </row>
    <row r="452" ht="15" customHeight="1" s="24">
      <c r="A452" s="27" t="n">
        <v>451</v>
      </c>
      <c r="B452" s="27" t="inlineStr">
        <is>
          <t>Tracy Williams</t>
        </is>
      </c>
      <c r="C452" s="27" t="inlineStr">
        <is>
          <t>North West</t>
        </is>
      </c>
      <c r="D452" s="27" t="inlineStr">
        <is>
          <t>Motorcycle</t>
        </is>
      </c>
      <c r="E452" s="41" t="n">
        <v>43013</v>
      </c>
    </row>
    <row r="453" ht="15" customHeight="1" s="24">
      <c r="A453" s="27" t="n">
        <v>452</v>
      </c>
      <c r="B453" s="27" t="inlineStr">
        <is>
          <t>Dale Martin</t>
        </is>
      </c>
      <c r="C453" s="27" t="inlineStr">
        <is>
          <t>KwaZulu-Natal</t>
        </is>
      </c>
      <c r="D453" s="27" t="inlineStr">
        <is>
          <t>Panel Van</t>
        </is>
      </c>
      <c r="E453" s="41" t="n">
        <v>45729</v>
      </c>
    </row>
    <row r="454" ht="15" customHeight="1" s="24">
      <c r="A454" s="27" t="n">
        <v>453</v>
      </c>
      <c r="B454" s="27" t="inlineStr">
        <is>
          <t>Steven Webster</t>
        </is>
      </c>
      <c r="C454" s="27" t="inlineStr">
        <is>
          <t>Western Cape</t>
        </is>
      </c>
      <c r="D454" s="27" t="inlineStr">
        <is>
          <t>Motorcycle</t>
        </is>
      </c>
      <c r="E454" s="41" t="n">
        <v>44222</v>
      </c>
    </row>
    <row r="455" ht="15" customHeight="1" s="24">
      <c r="A455" s="27" t="n">
        <v>454</v>
      </c>
      <c r="B455" s="27" t="inlineStr">
        <is>
          <t>Sam Hunter-Taylor</t>
        </is>
      </c>
      <c r="C455" s="27" t="inlineStr">
        <is>
          <t>Gauteng</t>
        </is>
      </c>
      <c r="D455" s="27" t="inlineStr">
        <is>
          <t>Panel Van</t>
        </is>
      </c>
      <c r="E455" s="41" t="n">
        <v>43996</v>
      </c>
    </row>
    <row r="456" ht="15" customHeight="1" s="24">
      <c r="A456" s="27" t="n">
        <v>455</v>
      </c>
      <c r="B456" s="27" t="inlineStr">
        <is>
          <t>Ms Sheila Lewis</t>
        </is>
      </c>
      <c r="C456" s="27" t="inlineStr">
        <is>
          <t>Western Cape</t>
        </is>
      </c>
      <c r="D456" s="27" t="inlineStr">
        <is>
          <t>Motorcycle</t>
        </is>
      </c>
      <c r="E456" s="41" t="n">
        <v>44214</v>
      </c>
    </row>
    <row r="457" ht="15" customHeight="1" s="24">
      <c r="A457" s="27" t="n">
        <v>456</v>
      </c>
      <c r="B457" s="27" t="inlineStr">
        <is>
          <t>Katherine Smith</t>
        </is>
      </c>
      <c r="C457" s="27" t="inlineStr">
        <is>
          <t>Eastern Cape</t>
        </is>
      </c>
      <c r="D457" s="27" t="inlineStr">
        <is>
          <t>1-Ton Bakkie</t>
        </is>
      </c>
      <c r="E457" s="41" t="n">
        <v>44325</v>
      </c>
    </row>
    <row r="458" ht="15" customHeight="1" s="24">
      <c r="A458" s="27" t="n">
        <v>457</v>
      </c>
      <c r="B458" s="27" t="inlineStr">
        <is>
          <t>Wendy Power</t>
        </is>
      </c>
      <c r="C458" s="27" t="inlineStr">
        <is>
          <t>Gauteng</t>
        </is>
      </c>
      <c r="D458" s="27" t="inlineStr">
        <is>
          <t>Motorcycle</t>
        </is>
      </c>
      <c r="E458" s="41" t="n">
        <v>44547</v>
      </c>
    </row>
    <row r="459" ht="15" customHeight="1" s="24">
      <c r="A459" s="27" t="n">
        <v>458</v>
      </c>
      <c r="B459" s="27" t="inlineStr">
        <is>
          <t>Sophie Bentley</t>
        </is>
      </c>
      <c r="C459" s="27" t="inlineStr">
        <is>
          <t>Northern Cape</t>
        </is>
      </c>
      <c r="D459" s="27" t="inlineStr">
        <is>
          <t>Motorcycle</t>
        </is>
      </c>
      <c r="E459" s="41" t="n">
        <v>43753</v>
      </c>
    </row>
    <row r="460" ht="15" customHeight="1" s="24">
      <c r="A460" s="27" t="n">
        <v>459</v>
      </c>
      <c r="B460" s="27" t="inlineStr">
        <is>
          <t>Dr Catherine Hunt</t>
        </is>
      </c>
      <c r="C460" s="27" t="inlineStr">
        <is>
          <t>Gauteng</t>
        </is>
      </c>
      <c r="D460" s="27" t="inlineStr">
        <is>
          <t>Motorcycle</t>
        </is>
      </c>
      <c r="E460" s="41" t="n">
        <v>43734</v>
      </c>
    </row>
    <row r="461" ht="15" customHeight="1" s="24">
      <c r="A461" s="27" t="n">
        <v>460</v>
      </c>
      <c r="B461" s="27" t="inlineStr">
        <is>
          <t>Maureen McDonald</t>
        </is>
      </c>
      <c r="C461" s="27" t="inlineStr">
        <is>
          <t>KwaZulu-Natal</t>
        </is>
      </c>
      <c r="D461" s="27" t="inlineStr">
        <is>
          <t>Panel Van</t>
        </is>
      </c>
      <c r="E461" s="41" t="n">
        <v>43973</v>
      </c>
    </row>
    <row r="462" ht="15" customHeight="1" s="24">
      <c r="A462" s="27" t="n">
        <v>461</v>
      </c>
      <c r="B462" s="27" t="inlineStr">
        <is>
          <t>Charles Barrett-Walsh</t>
        </is>
      </c>
      <c r="C462" s="27" t="inlineStr">
        <is>
          <t>Eastern Cape</t>
        </is>
      </c>
      <c r="D462" s="27" t="inlineStr">
        <is>
          <t>1-Ton Bakkie</t>
        </is>
      </c>
      <c r="E462" s="41" t="n">
        <v>43248</v>
      </c>
    </row>
    <row r="463" ht="15" customHeight="1" s="24">
      <c r="A463" s="27" t="n">
        <v>462</v>
      </c>
      <c r="B463" s="27" t="inlineStr">
        <is>
          <t>Donald Morley</t>
        </is>
      </c>
      <c r="C463" s="27" t="inlineStr">
        <is>
          <t>Western Cape</t>
        </is>
      </c>
      <c r="D463" s="27" t="inlineStr">
        <is>
          <t>1-Ton Bakkie</t>
        </is>
      </c>
      <c r="E463" s="41" t="n">
        <v>43484</v>
      </c>
    </row>
    <row r="464" ht="15" customHeight="1" s="24">
      <c r="A464" s="27" t="n">
        <v>463</v>
      </c>
      <c r="B464" s="27" t="inlineStr">
        <is>
          <t>Rachael Brown-Harding</t>
        </is>
      </c>
      <c r="C464" s="27" t="inlineStr">
        <is>
          <t>Gauteng</t>
        </is>
      </c>
      <c r="D464" s="27" t="inlineStr">
        <is>
          <t>8-Ton Truck</t>
        </is>
      </c>
      <c r="E464" s="41" t="n">
        <v>44111</v>
      </c>
    </row>
    <row r="465" ht="15" customHeight="1" s="24">
      <c r="A465" s="27" t="n">
        <v>464</v>
      </c>
      <c r="B465" s="27" t="inlineStr">
        <is>
          <t>Bernard Morgan</t>
        </is>
      </c>
      <c r="C465" s="27" t="inlineStr">
        <is>
          <t>Northern Cape</t>
        </is>
      </c>
      <c r="D465" s="27" t="inlineStr">
        <is>
          <t>Panel Van</t>
        </is>
      </c>
      <c r="E465" s="41" t="n">
        <v>42834</v>
      </c>
    </row>
    <row r="466" ht="15" customHeight="1" s="24">
      <c r="A466" s="27" t="n">
        <v>465</v>
      </c>
      <c r="B466" s="27" t="inlineStr">
        <is>
          <t>Eileen Ingram</t>
        </is>
      </c>
      <c r="C466" s="27" t="inlineStr">
        <is>
          <t>Gauteng</t>
        </is>
      </c>
      <c r="D466" s="27" t="inlineStr">
        <is>
          <t>Motorcycle</t>
        </is>
      </c>
      <c r="E466" s="41" t="n">
        <v>44115</v>
      </c>
    </row>
    <row r="467" ht="15" customHeight="1" s="24">
      <c r="A467" s="27" t="n">
        <v>466</v>
      </c>
      <c r="B467" s="27" t="inlineStr">
        <is>
          <t>Jean Hughes</t>
        </is>
      </c>
      <c r="C467" s="27" t="inlineStr">
        <is>
          <t>Western Cape</t>
        </is>
      </c>
      <c r="D467" s="27" t="inlineStr">
        <is>
          <t>4-Ton Truck</t>
        </is>
      </c>
      <c r="E467" s="41" t="n">
        <v>44103</v>
      </c>
    </row>
    <row r="468" ht="15" customHeight="1" s="24">
      <c r="A468" s="27" t="n">
        <v>467</v>
      </c>
      <c r="B468" s="27" t="inlineStr">
        <is>
          <t>Dr Gareth Wilkinson</t>
        </is>
      </c>
      <c r="C468" s="27" t="inlineStr">
        <is>
          <t>Gauteng</t>
        </is>
      </c>
      <c r="D468" s="27" t="inlineStr">
        <is>
          <t>1-Ton Bakkie</t>
        </is>
      </c>
      <c r="E468" s="41" t="n">
        <v>42744</v>
      </c>
    </row>
    <row r="469" ht="15" customHeight="1" s="24">
      <c r="A469" s="27" t="n">
        <v>468</v>
      </c>
      <c r="B469" s="27" t="inlineStr">
        <is>
          <t>Mr Robin Macdonald</t>
        </is>
      </c>
      <c r="C469" s="27" t="inlineStr">
        <is>
          <t>Gauteng</t>
        </is>
      </c>
      <c r="D469" s="27" t="inlineStr">
        <is>
          <t>Motorcycle</t>
        </is>
      </c>
      <c r="E469" s="41" t="n">
        <v>44281</v>
      </c>
    </row>
    <row r="470" ht="15" customHeight="1" s="24">
      <c r="A470" s="27" t="n">
        <v>469</v>
      </c>
      <c r="B470" s="27" t="inlineStr">
        <is>
          <t>Shannon Miller-Owen</t>
        </is>
      </c>
      <c r="C470" s="27" t="inlineStr">
        <is>
          <t>Western Cape</t>
        </is>
      </c>
      <c r="D470" s="27" t="inlineStr">
        <is>
          <t>Motorcycle</t>
        </is>
      </c>
      <c r="E470" s="41" t="n">
        <v>44909</v>
      </c>
    </row>
    <row r="471" ht="15" customHeight="1" s="24">
      <c r="A471" s="27" t="n">
        <v>470</v>
      </c>
      <c r="B471" s="27" t="inlineStr">
        <is>
          <t>Mrs Ruth Moore</t>
        </is>
      </c>
      <c r="C471" s="27" t="inlineStr">
        <is>
          <t>Mpumalanga</t>
        </is>
      </c>
      <c r="D471" s="27" t="inlineStr">
        <is>
          <t>Panel Van</t>
        </is>
      </c>
      <c r="E471" s="41" t="n">
        <v>45297</v>
      </c>
    </row>
    <row r="472" ht="15" customHeight="1" s="24">
      <c r="A472" s="27" t="n">
        <v>471</v>
      </c>
      <c r="B472" s="27" t="inlineStr">
        <is>
          <t>Miss Deborah Cooper</t>
        </is>
      </c>
      <c r="C472" s="27" t="inlineStr">
        <is>
          <t>Western Cape</t>
        </is>
      </c>
      <c r="D472" s="27" t="inlineStr">
        <is>
          <t>Panel Van</t>
        </is>
      </c>
      <c r="E472" s="41" t="n">
        <v>44007</v>
      </c>
    </row>
    <row r="473" ht="15" customHeight="1" s="24">
      <c r="A473" s="27" t="n">
        <v>472</v>
      </c>
      <c r="B473" s="27" t="inlineStr">
        <is>
          <t>Henry White</t>
        </is>
      </c>
      <c r="C473" s="27" t="inlineStr">
        <is>
          <t>KwaZulu-Natal</t>
        </is>
      </c>
      <c r="D473" s="27" t="inlineStr">
        <is>
          <t>Panel Van</t>
        </is>
      </c>
      <c r="E473" s="41" t="n">
        <v>44452</v>
      </c>
    </row>
    <row r="474" ht="15" customHeight="1" s="24">
      <c r="A474" s="27" t="n">
        <v>473</v>
      </c>
      <c r="B474" s="27" t="inlineStr">
        <is>
          <t>Maurice Talbot</t>
        </is>
      </c>
      <c r="C474" s="27" t="inlineStr">
        <is>
          <t>Gauteng</t>
        </is>
      </c>
      <c r="D474" s="27" t="inlineStr">
        <is>
          <t>Motorcycle</t>
        </is>
      </c>
      <c r="E474" s="41" t="n">
        <v>42993</v>
      </c>
    </row>
    <row r="475" ht="15" customHeight="1" s="24">
      <c r="A475" s="27" t="n">
        <v>474</v>
      </c>
      <c r="B475" s="27" t="inlineStr">
        <is>
          <t>Sophie North</t>
        </is>
      </c>
      <c r="C475" s="27" t="inlineStr">
        <is>
          <t>Free State</t>
        </is>
      </c>
      <c r="D475" s="27" t="inlineStr">
        <is>
          <t>8-Ton Truck</t>
        </is>
      </c>
      <c r="E475" s="41" t="n">
        <v>43808</v>
      </c>
    </row>
    <row r="476" ht="15" customHeight="1" s="24">
      <c r="A476" s="27" t="n">
        <v>475</v>
      </c>
      <c r="B476" s="27" t="inlineStr">
        <is>
          <t>Dr Ricky Singh</t>
        </is>
      </c>
      <c r="C476" s="27" t="inlineStr">
        <is>
          <t>Gauteng</t>
        </is>
      </c>
      <c r="D476" s="27" t="inlineStr">
        <is>
          <t>Panel Van</t>
        </is>
      </c>
      <c r="E476" s="41" t="n">
        <v>44916</v>
      </c>
    </row>
    <row r="477" ht="15" customHeight="1" s="24">
      <c r="A477" s="27" t="n">
        <v>476</v>
      </c>
      <c r="B477" s="27" t="inlineStr">
        <is>
          <t>Mr Nigel Foster</t>
        </is>
      </c>
      <c r="C477" s="27" t="inlineStr">
        <is>
          <t>Western Cape</t>
        </is>
      </c>
      <c r="D477" s="27" t="inlineStr">
        <is>
          <t>1-Ton Bakkie</t>
        </is>
      </c>
      <c r="E477" s="41" t="n">
        <v>44257</v>
      </c>
    </row>
    <row r="478" ht="15" customHeight="1" s="24">
      <c r="A478" s="27" t="n">
        <v>477</v>
      </c>
      <c r="B478" s="27" t="inlineStr">
        <is>
          <t>Mrs Gemma Thomas</t>
        </is>
      </c>
      <c r="C478" s="27" t="inlineStr">
        <is>
          <t>Gauteng</t>
        </is>
      </c>
      <c r="D478" s="27" t="inlineStr">
        <is>
          <t>Motorcycle</t>
        </is>
      </c>
      <c r="E478" s="41" t="n">
        <v>45870</v>
      </c>
    </row>
    <row r="479" ht="15" customHeight="1" s="24">
      <c r="A479" s="27" t="n">
        <v>478</v>
      </c>
      <c r="B479" s="27" t="inlineStr">
        <is>
          <t>Mohammed Roberts-Reynolds</t>
        </is>
      </c>
      <c r="C479" s="27" t="inlineStr">
        <is>
          <t>Gauteng</t>
        </is>
      </c>
      <c r="D479" s="27" t="inlineStr">
        <is>
          <t>1-Ton Bakkie</t>
        </is>
      </c>
      <c r="E479" s="41" t="n">
        <v>45351</v>
      </c>
    </row>
    <row r="480" ht="15" customHeight="1" s="24">
      <c r="A480" s="27" t="n">
        <v>479</v>
      </c>
      <c r="B480" s="27" t="inlineStr">
        <is>
          <t>Katy Lawrence</t>
        </is>
      </c>
      <c r="C480" s="27" t="inlineStr">
        <is>
          <t>Gauteng</t>
        </is>
      </c>
      <c r="D480" s="27" t="inlineStr">
        <is>
          <t>4-Ton Truck</t>
        </is>
      </c>
      <c r="E480" s="41" t="n">
        <v>45715</v>
      </c>
    </row>
    <row r="481" ht="15" customHeight="1" s="24">
      <c r="A481" s="27" t="n">
        <v>480</v>
      </c>
      <c r="B481" s="27" t="inlineStr">
        <is>
          <t>Maureen Begum</t>
        </is>
      </c>
      <c r="C481" s="27" t="inlineStr">
        <is>
          <t>Gauteng</t>
        </is>
      </c>
      <c r="D481" s="27" t="inlineStr">
        <is>
          <t>Motorcycle</t>
        </is>
      </c>
      <c r="E481" s="41" t="n">
        <v>44315</v>
      </c>
    </row>
    <row r="482" ht="15" customHeight="1" s="24">
      <c r="A482" s="27" t="n">
        <v>481</v>
      </c>
      <c r="B482" s="27" t="inlineStr">
        <is>
          <t>Ms Lynn Scott</t>
        </is>
      </c>
      <c r="C482" s="27" t="inlineStr">
        <is>
          <t>Western Cape</t>
        </is>
      </c>
      <c r="D482" s="27" t="inlineStr">
        <is>
          <t>Panel Van</t>
        </is>
      </c>
      <c r="E482" s="41" t="n">
        <v>42987</v>
      </c>
    </row>
    <row r="483" ht="15" customHeight="1" s="24">
      <c r="A483" s="27" t="n">
        <v>482</v>
      </c>
      <c r="B483" s="27" t="inlineStr">
        <is>
          <t>Kieran Wright-O'Sullivan</t>
        </is>
      </c>
      <c r="C483" s="27" t="inlineStr">
        <is>
          <t>KwaZulu-Natal</t>
        </is>
      </c>
      <c r="D483" s="27" t="inlineStr">
        <is>
          <t>Motorcycle</t>
        </is>
      </c>
      <c r="E483" s="41" t="n">
        <v>44559</v>
      </c>
    </row>
    <row r="484" ht="15" customHeight="1" s="24">
      <c r="A484" s="27" t="n">
        <v>483</v>
      </c>
      <c r="B484" s="27" t="inlineStr">
        <is>
          <t>Vincent Jones</t>
        </is>
      </c>
      <c r="C484" s="27" t="inlineStr">
        <is>
          <t>Mpumalanga</t>
        </is>
      </c>
      <c r="D484" s="27" t="inlineStr">
        <is>
          <t>Panel Van</t>
        </is>
      </c>
      <c r="E484" s="41" t="n">
        <v>45843</v>
      </c>
    </row>
    <row r="485" ht="15" customHeight="1" s="24">
      <c r="A485" s="27" t="n">
        <v>484</v>
      </c>
      <c r="B485" s="27" t="inlineStr">
        <is>
          <t>Kieran Jones</t>
        </is>
      </c>
      <c r="C485" s="27" t="inlineStr">
        <is>
          <t>Gauteng</t>
        </is>
      </c>
      <c r="D485" s="27" t="inlineStr">
        <is>
          <t>1-Ton Bakkie</t>
        </is>
      </c>
      <c r="E485" s="41" t="n">
        <v>43304</v>
      </c>
    </row>
    <row r="486" ht="15" customHeight="1" s="24">
      <c r="A486" s="27" t="n">
        <v>485</v>
      </c>
      <c r="B486" s="27" t="inlineStr">
        <is>
          <t>Sheila Fry</t>
        </is>
      </c>
      <c r="C486" s="27" t="inlineStr">
        <is>
          <t>KwaZulu-Natal</t>
        </is>
      </c>
      <c r="D486" s="27" t="inlineStr">
        <is>
          <t>1-Ton Bakkie</t>
        </is>
      </c>
      <c r="E486" s="41" t="n">
        <v>45890</v>
      </c>
    </row>
    <row r="487" ht="15" customHeight="1" s="24">
      <c r="A487" s="27" t="n">
        <v>486</v>
      </c>
      <c r="B487" s="27" t="inlineStr">
        <is>
          <t>Lynne Jackson</t>
        </is>
      </c>
      <c r="C487" s="27" t="inlineStr">
        <is>
          <t>KwaZulu-Natal</t>
        </is>
      </c>
      <c r="D487" s="27" t="inlineStr">
        <is>
          <t>1-Ton Bakkie</t>
        </is>
      </c>
      <c r="E487" s="41" t="n">
        <v>42761</v>
      </c>
    </row>
    <row r="488" ht="15" customHeight="1" s="24">
      <c r="A488" s="27" t="n">
        <v>487</v>
      </c>
      <c r="B488" s="27" t="inlineStr">
        <is>
          <t>Mr Joel Jones</t>
        </is>
      </c>
      <c r="C488" s="27" t="inlineStr">
        <is>
          <t>Gauteng</t>
        </is>
      </c>
      <c r="D488" s="27" t="inlineStr">
        <is>
          <t>Motorcycle</t>
        </is>
      </c>
      <c r="E488" s="41" t="n">
        <v>44753</v>
      </c>
    </row>
    <row r="489" ht="15" customHeight="1" s="24">
      <c r="A489" s="27" t="n">
        <v>488</v>
      </c>
      <c r="B489" s="27" t="inlineStr">
        <is>
          <t>Gregory Whitehead</t>
        </is>
      </c>
      <c r="C489" s="27" t="inlineStr">
        <is>
          <t>Gauteng</t>
        </is>
      </c>
      <c r="D489" s="27" t="inlineStr">
        <is>
          <t>4-Ton Truck</t>
        </is>
      </c>
      <c r="E489" s="41" t="n">
        <v>45789</v>
      </c>
    </row>
    <row r="490" ht="15" customHeight="1" s="24">
      <c r="A490" s="27" t="n">
        <v>489</v>
      </c>
      <c r="B490" s="27" t="inlineStr">
        <is>
          <t>Richard Jackson-Thompson</t>
        </is>
      </c>
      <c r="C490" s="27" t="inlineStr">
        <is>
          <t>Gauteng</t>
        </is>
      </c>
      <c r="D490" s="27" t="inlineStr">
        <is>
          <t>1-Ton Bakkie</t>
        </is>
      </c>
      <c r="E490" s="41" t="n">
        <v>43429</v>
      </c>
    </row>
    <row r="491" ht="15" customHeight="1" s="24">
      <c r="A491" s="27" t="n">
        <v>490</v>
      </c>
      <c r="B491" s="27" t="inlineStr">
        <is>
          <t>Dylan Russell</t>
        </is>
      </c>
      <c r="C491" s="27" t="inlineStr">
        <is>
          <t>Gauteng</t>
        </is>
      </c>
      <c r="D491" s="27" t="inlineStr">
        <is>
          <t>Motorcycle</t>
        </is>
      </c>
      <c r="E491" s="41" t="n">
        <v>43616</v>
      </c>
    </row>
    <row r="492" ht="15" customHeight="1" s="24">
      <c r="A492" s="27" t="n">
        <v>491</v>
      </c>
      <c r="B492" s="27" t="inlineStr">
        <is>
          <t>Ms Bethan Smith</t>
        </is>
      </c>
      <c r="C492" s="27" t="inlineStr">
        <is>
          <t>KwaZulu-Natal</t>
        </is>
      </c>
      <c r="D492" s="27" t="inlineStr">
        <is>
          <t>4-Ton Truck</t>
        </is>
      </c>
      <c r="E492" s="41" t="n">
        <v>45388</v>
      </c>
    </row>
    <row r="493" ht="15" customHeight="1" s="24">
      <c r="A493" s="27" t="n">
        <v>492</v>
      </c>
      <c r="B493" s="27" t="inlineStr">
        <is>
          <t>Bruce Griffiths</t>
        </is>
      </c>
      <c r="C493" s="27" t="inlineStr">
        <is>
          <t>Gauteng</t>
        </is>
      </c>
      <c r="D493" s="27" t="inlineStr">
        <is>
          <t>Motorcycle</t>
        </is>
      </c>
      <c r="E493" s="41" t="n">
        <v>43877</v>
      </c>
    </row>
    <row r="494" ht="15" customHeight="1" s="24">
      <c r="A494" s="27" t="n">
        <v>493</v>
      </c>
      <c r="B494" s="27" t="inlineStr">
        <is>
          <t>Beverley Sinclair</t>
        </is>
      </c>
      <c r="C494" s="27" t="inlineStr">
        <is>
          <t>KwaZulu-Natal</t>
        </is>
      </c>
      <c r="D494" s="27" t="inlineStr">
        <is>
          <t>Motorcycle</t>
        </is>
      </c>
      <c r="E494" s="41" t="n">
        <v>44888</v>
      </c>
    </row>
    <row r="495" ht="15" customHeight="1" s="24">
      <c r="A495" s="27" t="n">
        <v>494</v>
      </c>
      <c r="B495" s="27" t="inlineStr">
        <is>
          <t>Chelsea Marshall</t>
        </is>
      </c>
      <c r="C495" s="27" t="inlineStr">
        <is>
          <t>KwaZulu-Natal</t>
        </is>
      </c>
      <c r="D495" s="27" t="inlineStr">
        <is>
          <t>4-Ton Truck</t>
        </is>
      </c>
      <c r="E495" s="41" t="n">
        <v>43113</v>
      </c>
    </row>
    <row r="496" ht="15" customHeight="1" s="24">
      <c r="A496" s="27" t="n">
        <v>495</v>
      </c>
      <c r="B496" s="27" t="inlineStr">
        <is>
          <t>Dr Emma Cole</t>
        </is>
      </c>
      <c r="C496" s="27" t="inlineStr">
        <is>
          <t>KwaZulu-Natal</t>
        </is>
      </c>
      <c r="D496" s="27" t="inlineStr">
        <is>
          <t>Motorcycle</t>
        </is>
      </c>
      <c r="E496" s="41" t="n">
        <v>44943</v>
      </c>
    </row>
    <row r="497" ht="15" customHeight="1" s="24">
      <c r="A497" s="27" t="n">
        <v>496</v>
      </c>
      <c r="B497" s="27" t="inlineStr">
        <is>
          <t>Stuart Moore</t>
        </is>
      </c>
      <c r="C497" s="27" t="inlineStr">
        <is>
          <t>Gauteng</t>
        </is>
      </c>
      <c r="D497" s="27" t="inlineStr">
        <is>
          <t>Motorcycle</t>
        </is>
      </c>
      <c r="E497" s="41" t="n">
        <v>44421</v>
      </c>
    </row>
    <row r="498" ht="15" customHeight="1" s="24">
      <c r="A498" s="27" t="n">
        <v>497</v>
      </c>
      <c r="B498" s="27" t="inlineStr">
        <is>
          <t>Shane Carey</t>
        </is>
      </c>
      <c r="C498" s="27" t="inlineStr">
        <is>
          <t>Western Cape</t>
        </is>
      </c>
      <c r="D498" s="27" t="inlineStr">
        <is>
          <t>Motorcycle</t>
        </is>
      </c>
      <c r="E498" s="41" t="n">
        <v>44380</v>
      </c>
    </row>
    <row r="499" ht="15" customHeight="1" s="24">
      <c r="A499" s="27" t="n">
        <v>498</v>
      </c>
      <c r="B499" s="27" t="inlineStr">
        <is>
          <t>Ms Fiona Walker</t>
        </is>
      </c>
      <c r="C499" s="27" t="inlineStr">
        <is>
          <t>KwaZulu-Natal</t>
        </is>
      </c>
      <c r="D499" s="27" t="inlineStr">
        <is>
          <t>4-Ton Truck</t>
        </is>
      </c>
      <c r="E499" s="41" t="n">
        <v>45157</v>
      </c>
    </row>
    <row r="500" ht="15" customHeight="1" s="24">
      <c r="A500" s="27" t="n">
        <v>499</v>
      </c>
      <c r="B500" s="27" t="inlineStr">
        <is>
          <t>Miss Annette Clements</t>
        </is>
      </c>
      <c r="C500" s="27" t="inlineStr">
        <is>
          <t>Northern Cape</t>
        </is>
      </c>
      <c r="D500" s="27" t="inlineStr">
        <is>
          <t>Motorcycle</t>
        </is>
      </c>
      <c r="E500" s="41" t="n">
        <v>44206</v>
      </c>
    </row>
    <row r="501" ht="15" customHeight="1" s="24">
      <c r="A501" s="27" t="n">
        <v>500</v>
      </c>
      <c r="B501" s="27" t="inlineStr">
        <is>
          <t>Maurice Graham-Faulkner</t>
        </is>
      </c>
      <c r="C501" s="27" t="inlineStr">
        <is>
          <t>Gauteng</t>
        </is>
      </c>
      <c r="D501" s="27" t="inlineStr">
        <is>
          <t>Panel Van</t>
        </is>
      </c>
      <c r="E501" s="41" t="n">
        <v>44989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2026-06-10T18:53:13Z</dcterms:created>
  <dcterms:modified xsi:type="dcterms:W3CDTF">2026-06-17T09:05:06Z</dcterms:modified>
  <cp:revision>0</cp:revision>
</cp:coreProperties>
</file>